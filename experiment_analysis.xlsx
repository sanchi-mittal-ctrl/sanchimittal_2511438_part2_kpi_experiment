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_data_clean" sheetId="1" state="visible" r:id="rId3"/>
    <sheet name="calc_helpers" sheetId="2" state="visible" r:id="rId4"/>
    <sheet name="data_quality_checks" sheetId="3" state="visible" r:id="rId5"/>
  </sheets>
  <definedNames>
    <definedName function="false" hidden="true" localSheetId="0" name="_xlnm._FilterDatabase" vbProcedure="false">experiment_data_clean!$A$1:$Z$1401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<sst xmlns="http://schemas.openxmlformats.org/spreadsheetml/2006/main" count="12662" uniqueCount="1482">
  <si>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</si>
  <si>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</si>
  <si>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</si>
  <si>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</si>
  <si>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</si>
  <si>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device_type_filled_flag</t>
  </si>
  <si>
    <t xml:space="preserve">traffic_source</t>
  </si>
  <si>
    <t xml:space="preserve">traffic_source_filled_flag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</si>
  <si>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</si>
  <si>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</si>
  <si>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</si>
  <si>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</si>
  <si>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</si>
  <si>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invalid_binary_flag</t>
  </si>
  <si>
    <t xml:space="preserve">funnel_inconsistent_flag</t>
  </si>
  <si>
    <t xml:space="preserve">revenue_30d</t>
  </si>
  <si>
    <t xml:space="preserve">revenue_logic_mismatch_flag</t>
  </si>
  <si>
    <t xml:space="preserve">revenue_outlier_flag</t>
  </si>
  <si>
    <t xml:space="preserve">support_tickets_30d</t>
  </si>
  <si>
    <t xml:space="preserve">has_support_ticket_flag</t>
  </si>
  <si>
    <t xml:space="preserve">refund_requested</t>
  </si>
  <si>
    <t xml:space="preserve">days_to_convert</t>
  </si>
  <si>
    <t xml:space="preserve">days_logic_mismatch_flag</t>
  </si>
  <si>
    <t xml:space="preserve">engagement_score</t>
  </si>
  <si>
    <t xml:space="preserve">engagement_score_missing_flag</t>
  </si>
  <si>
    <t xml:space="preserve">revenue_if_converted_helper</t>
  </si>
  <si>
    <t xml:space="preserve">USR-100001</t>
  </si>
  <si>
    <t xml:space="preserve">Control</t>
  </si>
  <si>
    <t xml:space="preserve">North</t>
  </si>
  <si>
    <t xml:space="preserve">Desktop</t>
  </si>
  <si>
    <t xml:space="preserve">No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</si>
  <si>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</si>
  <si>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</si>
  <si>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</si>
  <si>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</si>
  <si>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</si>
  <si>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</si>
  <si>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</si>
  <si>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</si>
  <si>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</si>
  <si>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</si>
  <si>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</si>
  <si>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</si>
  <si>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</si>
  <si>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</si>
  <si>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</si>
  <si>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</si>
  <si>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</si>
  <si>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</si>
  <si>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</si>
  <si>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</si>
  <si>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</si>
  <si>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</si>
  <si>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</si>
  <si>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</si>
  <si>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</si>
  <si>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</si>
  <si>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</si>
  <si>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</si>
  <si>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</si>
  <si>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</si>
  <si>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</si>
  <si>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</si>
  <si>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</si>
  <si>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</si>
  <si>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</si>
  <si>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</si>
  <si>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</si>
  <si>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</si>
  <si>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</si>
  <si>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</si>
  <si>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</si>
  <si>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</si>
  <si>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</si>
  <si>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</si>
  <si>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</si>
  <si>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</si>
  <si>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</si>
  <si>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</si>
  <si>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</si>
  <si>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</si>
  <si>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</si>
  <si>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</si>
  <si>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</si>
  <si>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</si>
  <si>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</si>
  <si>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</si>
  <si>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</si>
  <si>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</si>
  <si>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</si>
  <si>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</si>
  <si>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</si>
  <si>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</si>
  <si>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</si>
  <si>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</si>
  <si>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</si>
  <si>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</si>
  <si>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</si>
  <si>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</si>
  <si>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</si>
  <si>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</si>
  <si>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</si>
  <si>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</si>
  <si>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</si>
  <si>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</si>
  <si>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</si>
  <si>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</si>
  <si>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</si>
  <si>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</si>
  <si>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</si>
  <si>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</si>
  <si>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</si>
  <si>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</si>
  <si>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</si>
  <si>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</si>
  <si>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</si>
  <si>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</si>
  <si>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</si>
  <si>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</si>
  <si>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</si>
  <si>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</si>
  <si>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</si>
  <si>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</si>
  <si>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</si>
  <si>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</si>
  <si>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</si>
  <si>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</si>
  <si>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</si>
  <si>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</si>
  <si>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</si>
  <si>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</si>
  <si>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</si>
  <si>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</si>
  <si>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</si>
  <si>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</si>
  <si>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</si>
  <si>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</si>
  <si>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</si>
  <si>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</si>
  <si>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</si>
  <si>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</si>
  <si>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</si>
  <si>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</si>
  <si>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</si>
  <si>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</si>
  <si>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</si>
  <si>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</si>
  <si>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</si>
  <si>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</si>
  <si>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</si>
  <si>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</si>
  <si>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</si>
  <si>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</si>
  <si>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</si>
  <si>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</si>
  <si>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</si>
  <si>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</si>
  <si>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</si>
  <si>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</si>
  <si>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</si>
  <si>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</si>
  <si>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</si>
  <si>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</si>
  <si>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</si>
  <si>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</si>
  <si>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</si>
  <si>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</si>
  <si>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Unknown</t>
  </si>
  <si>
    <t xml:space="preserve">Yes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</si>
  <si>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</si>
  <si>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</si>
  <si>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</si>
  <si>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</si>
  <si>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</si>
  <si>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</si>
  <si>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</si>
  <si>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</si>
  <si>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</si>
  <si>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</si>
  <si>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</si>
  <si>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</si>
  <si>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</si>
  <si>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</si>
  <si>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</si>
  <si>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</si>
  <si>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</si>
  <si>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</si>
  <si>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</si>
  <si>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</si>
  <si>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</si>
  <si>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</si>
  <si>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</si>
  <si>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</si>
  <si>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</si>
  <si>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</si>
  <si>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</si>
  <si>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</si>
  <si>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</si>
  <si>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</si>
  <si>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</si>
  <si>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</si>
  <si>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</si>
  <si>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</si>
  <si>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</si>
  <si>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</si>
  <si>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</si>
  <si>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</si>
  <si>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</si>
  <si>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</si>
  <si>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</si>
  <si>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</si>
  <si>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</si>
  <si>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</si>
  <si>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</si>
  <si>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</si>
  <si>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</si>
  <si>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</si>
  <si>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</si>
  <si>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</si>
  <si>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</si>
  <si>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</si>
  <si>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</si>
  <si>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</si>
  <si>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</si>
  <si>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</si>
  <si>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</si>
  <si>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</si>
  <si>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</si>
  <si>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</si>
  <si>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</si>
  <si>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</si>
  <si>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</si>
  <si>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</si>
  <si>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</si>
  <si>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</si>
  <si>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</si>
  <si>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</si>
  <si>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</si>
  <si>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</si>
  <si>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</si>
  <si>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</si>
  <si>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</si>
  <si>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</si>
  <si>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</si>
  <si>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</si>
  <si>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</si>
  <si>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</si>
  <si>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</si>
  <si>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</si>
  <si>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</si>
  <si>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</si>
  <si>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</si>
  <si>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</si>
  <si>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</si>
  <si>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</si>
  <si>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</si>
  <si>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</si>
  <si>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</si>
  <si>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</si>
  <si>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</si>
  <si>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</si>
  <si>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</si>
  <si>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</si>
  <si>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</si>
  <si>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</si>
  <si>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</si>
  <si>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</si>
  <si>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</si>
  <si>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</si>
  <si>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</si>
  <si>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</si>
  <si>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</si>
  <si>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</si>
  <si>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</si>
  <si>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</si>
  <si>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</si>
  <si>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</si>
  <si>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</si>
  <si>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</si>
  <si>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</si>
  <si>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</si>
  <si>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</si>
  <si>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</si>
  <si>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</si>
  <si>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</si>
  <si>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</si>
  <si>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</si>
  <si>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</si>
  <si>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</si>
  <si>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</si>
  <si>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</si>
  <si>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</si>
  <si>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</si>
  <si>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</si>
  <si>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</si>
  <si>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</si>
  <si>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</si>
  <si>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</si>
  <si>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</si>
  <si>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</si>
  <si>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</si>
  <si>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</si>
  <si>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</si>
  <si>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</si>
  <si>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</si>
  <si>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</si>
  <si>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</si>
  <si>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</si>
  <si>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</si>
  <si>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</si>
  <si>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</si>
  <si>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</si>
  <si>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</si>
  <si>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</si>
  <si>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</si>
  <si>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</si>
  <si>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</si>
  <si>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</si>
  <si>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</si>
  <si>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</si>
  <si>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</si>
  <si>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</si>
  <si>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</si>
  <si>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</si>
  <si>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</si>
  <si>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</si>
  <si>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</si>
  <si>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</si>
  <si>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</si>
  <si>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</si>
  <si>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</si>
  <si>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</si>
  <si>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</si>
  <si>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</si>
  <si>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</si>
  <si>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</si>
  <si>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</si>
  <si>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</si>
  <si>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</si>
  <si>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</si>
  <si>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</si>
  <si>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</si>
  <si>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</si>
  <si>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</si>
  <si>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</si>
  <si>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</si>
  <si>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</si>
  <si>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</si>
  <si>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</si>
  <si>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</si>
  <si>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</si>
  <si>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</si>
  <si>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</si>
  <si>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</si>
  <si>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</si>
  <si>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</si>
  <si>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</si>
  <si>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</si>
  <si>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</si>
  <si>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</si>
  <si>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</si>
  <si>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</si>
  <si>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</si>
  <si>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</si>
  <si>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</si>
  <si>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</si>
  <si>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</si>
  <si>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</si>
  <si>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</si>
  <si>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</si>
  <si>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</si>
  <si>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</si>
  <si>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</si>
  <si>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</si>
  <si>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</si>
  <si>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</si>
  <si>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</si>
  <si>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</si>
  <si>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</si>
  <si>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</si>
  <si>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</si>
  <si>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</si>
  <si>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</si>
  <si>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</si>
  <si>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</si>
  <si>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</si>
  <si>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</si>
  <si>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</si>
  <si>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</si>
  <si>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</si>
  <si>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</si>
  <si>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</si>
  <si>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</si>
  <si>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</si>
  <si>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</si>
  <si>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</si>
  <si>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</si>
  <si>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</si>
  <si>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</si>
  <si>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</si>
  <si>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</si>
  <si>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</si>
  <si>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</si>
  <si>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</si>
  <si>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</si>
  <si>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</si>
  <si>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</si>
  <si>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</si>
  <si>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</si>
  <si>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</si>
  <si>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</si>
  <si>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</si>
  <si>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</si>
  <si>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</si>
  <si>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</si>
  <si>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</si>
  <si>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</si>
  <si>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</si>
  <si>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</si>
  <si>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</si>
  <si>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</si>
  <si>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</si>
  <si>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</si>
  <si>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</si>
  <si>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</si>
  <si>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</si>
  <si>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</si>
  <si>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</si>
  <si>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</si>
  <si>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</si>
  <si>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</si>
  <si>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</si>
  <si>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</si>
  <si>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</si>
  <si>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</si>
  <si>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</si>
  <si>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</si>
  <si>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</si>
  <si>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</si>
  <si>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</si>
  <si>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</si>
  <si>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</si>
  <si>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</si>
  <si>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</si>
  <si>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</si>
  <si>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</si>
  <si>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</si>
  <si>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</si>
  <si>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</si>
  <si>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</si>
  <si>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</si>
  <si>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</si>
  <si>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</si>
  <si>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</si>
  <si>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</si>
  <si>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</si>
  <si>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</si>
  <si>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</si>
  <si>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</si>
  <si>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</si>
  <si>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</si>
  <si>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</si>
  <si>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</si>
  <si>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</si>
  <si>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</si>
  <si>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</si>
  <si>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</si>
  <si>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</si>
  <si>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</si>
  <si>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</si>
  <si>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</si>
  <si>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</si>
  <si>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</si>
  <si>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</si>
  <si>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</si>
  <si>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</si>
  <si>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</si>
  <si>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</si>
  <si>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</si>
  <si>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</si>
  <si>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</si>
  <si>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</si>
  <si>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</si>
  <si>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</si>
  <si>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</si>
  <si>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</si>
  <si>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</si>
  <si>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</si>
  <si>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</si>
  <si>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</si>
  <si>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</si>
  <si>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</si>
  <si>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</si>
  <si>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</si>
  <si>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</si>
  <si>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</si>
  <si>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</si>
  <si>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</si>
  <si>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</si>
  <si>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</si>
  <si>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</si>
  <si>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</si>
  <si>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</si>
  <si>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</si>
  <si>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</si>
  <si>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</si>
  <si>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</si>
  <si>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</si>
  <si>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</si>
  <si>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</si>
  <si>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</si>
  <si>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</si>
  <si>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</si>
  <si>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</si>
  <si>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</si>
  <si>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</si>
  <si>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</si>
  <si>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</si>
  <si>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</si>
  <si>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</si>
  <si>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</si>
  <si>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</si>
  <si>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</si>
  <si>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</si>
  <si>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</si>
  <si>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</si>
  <si>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</si>
  <si>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</si>
  <si>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</si>
  <si>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</si>
  <si>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</si>
  <si>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</si>
  <si>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</si>
  <si>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</si>
  <si>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</si>
  <si>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</si>
  <si>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</si>
  <si>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</si>
  <si>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</si>
  <si>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</si>
  <si>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</si>
  <si>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</si>
  <si>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</si>
  <si>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</si>
  <si>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</si>
  <si>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</si>
  <si>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</si>
  <si>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</si>
  <si>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</si>
  <si>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</si>
  <si>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</si>
  <si>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</si>
  <si>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</si>
  <si>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</si>
  <si>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</si>
  <si>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</si>
  <si>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</si>
  <si>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</si>
  <si>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</si>
  <si>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</si>
  <si>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</si>
  <si>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</si>
  <si>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</si>
  <si>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</si>
  <si>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</si>
  <si>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</si>
  <si>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</si>
  <si>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</si>
  <si>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</si>
  <si>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</si>
  <si>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</si>
  <si>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</si>
  <si>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</si>
  <si>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</si>
  <si>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</si>
  <si>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</si>
  <si>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</si>
  <si>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</si>
  <si>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</si>
  <si>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</si>
  <si>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</si>
  <si>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</si>
  <si>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</si>
  <si>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</si>
  <si>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</si>
  <si>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</si>
  <si>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</si>
  <si>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</si>
  <si>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</si>
  <si>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</si>
  <si>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</si>
  <si>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</si>
  <si>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</si>
  <si>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</si>
  <si>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</si>
  <si>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</si>
  <si>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</si>
  <si>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</si>
  <si>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</si>
  <si>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</si>
  <si>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</si>
  <si>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</si>
  <si>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</si>
  <si>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</si>
  <si>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</si>
  <si>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</si>
  <si>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</si>
  <si>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</si>
  <si>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</si>
  <si>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</si>
  <si>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</si>
  <si>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</si>
  <si>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</si>
  <si>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</si>
  <si>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</si>
  <si>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</si>
  <si>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</si>
  <si>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</si>
  <si>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</si>
  <si>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</si>
  <si>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</si>
  <si>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</si>
  <si>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</si>
  <si>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</si>
  <si>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</si>
  <si>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</si>
  <si>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</si>
  <si>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</si>
  <si>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</si>
  <si>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</si>
  <si>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</si>
  <si>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</si>
  <si>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</si>
  <si>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</si>
  <si>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</si>
  <si>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</si>
  <si>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</si>
  <si>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</si>
  <si>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</si>
  <si>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</si>
  <si>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</si>
  <si>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</si>
  <si>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</si>
  <si>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</si>
  <si>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</si>
  <si>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</si>
  <si>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</si>
  <si>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</si>
  <si>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</si>
  <si>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</si>
  <si>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</si>
  <si>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</si>
  <si>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</si>
  <si>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</si>
  <si>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</si>
  <si>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</si>
  <si>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</si>
  <si>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</si>
  <si>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</si>
  <si>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</si>
  <si>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</si>
  <si>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</si>
  <si>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</si>
  <si>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</si>
  <si>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</si>
  <si>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</si>
  <si>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</si>
  <si>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</si>
  <si>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</si>
  <si>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</si>
  <si>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</si>
  <si>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</si>
  <si>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</si>
  <si>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</si>
  <si>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</si>
  <si>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</si>
  <si>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</si>
  <si>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</si>
  <si>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</si>
  <si>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</si>
  <si>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</si>
  <si>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</si>
  <si>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</si>
  <si>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</si>
  <si>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</si>
  <si>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</si>
  <si>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</si>
  <si>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</si>
  <si>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</si>
  <si>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</si>
  <si>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</si>
  <si>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</si>
  <si>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</si>
  <si>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</si>
  <si>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</si>
  <si>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</si>
  <si>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</si>
  <si>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</si>
  <si>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</si>
  <si>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</si>
  <si>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</si>
  <si>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</si>
  <si>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</si>
  <si>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</si>
  <si>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</si>
  <si>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</si>
  <si>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</si>
  <si>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</si>
  <si>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</si>
  <si>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</si>
  <si>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</si>
  <si>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</si>
  <si>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</si>
  <si>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</si>
  <si>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</si>
  <si>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</si>
  <si>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</si>
  <si>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</si>
  <si>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</si>
  <si>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</si>
  <si>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</si>
  <si>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</si>
  <si>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</si>
  <si>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</si>
  <si>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</si>
  <si>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</si>
  <si>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</si>
  <si>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</si>
  <si>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</si>
  <si>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</si>
  <si>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</si>
  <si>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</si>
  <si>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</si>
  <si>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</si>
  <si>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</si>
  <si>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</si>
  <si>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</si>
  <si>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</si>
  <si>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</si>
  <si>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</si>
  <si>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</si>
  <si>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</si>
  <si>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</si>
  <si>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</si>
  <si>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</si>
  <si>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</si>
  <si>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</si>
  <si>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</si>
  <si>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</si>
  <si>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</si>
  <si>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</si>
  <si>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</si>
  <si>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</si>
  <si>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</si>
  <si>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</si>
  <si>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</si>
  <si>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</si>
  <si>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</si>
  <si>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</si>
  <si>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</si>
  <si>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</si>
  <si>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</si>
  <si>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</si>
  <si>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</si>
  <si>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</si>
  <si>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</si>
  <si>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</si>
  <si>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</si>
  <si>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</si>
  <si>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</si>
  <si>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</si>
  <si>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</si>
  <si>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</si>
  <si>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</si>
  <si>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</si>
  <si>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</si>
  <si>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</si>
  <si>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</si>
  <si>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</si>
  <si>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</si>
  <si>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</si>
  <si>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</si>
  <si>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</si>
  <si>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</si>
  <si>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</si>
  <si>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</si>
  <si>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</si>
  <si>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</si>
  <si>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</si>
  <si>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</si>
  <si>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</si>
  <si>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</si>
  <si>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</si>
  <si>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</si>
  <si>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</si>
  <si>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</si>
  <si>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</si>
  <si>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</si>
  <si>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</si>
  <si>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</si>
  <si>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</si>
  <si>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</si>
  <si>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</si>
  <si>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</si>
  <si>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</si>
  <si>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</si>
  <si>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</si>
  <si>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</si>
  <si>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</si>
  <si>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</si>
  <si>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</si>
  <si>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</si>
  <si>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</si>
  <si>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</si>
  <si>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</si>
  <si>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</si>
  <si>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</si>
  <si>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</si>
  <si>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</si>
  <si>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</si>
  <si>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</si>
  <si>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</si>
  <si>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</si>
  <si>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</si>
  <si>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</si>
  <si>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</si>
  <si>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</si>
  <si>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</si>
  <si>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</si>
  <si>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</si>
  <si>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</si>
  <si>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</si>
  <si>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</si>
  <si>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</si>
  <si>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</si>
  <si>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</si>
  <si>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</si>
  <si>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</si>
  <si>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</si>
  <si>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</si>
  <si>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</si>
  <si>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</si>
  <si>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</si>
  <si>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</si>
  <si>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</si>
  <si>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</si>
  <si>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</si>
  <si>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</si>
  <si>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</si>
  <si>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</si>
  <si>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</si>
  <si>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</si>
  <si>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</si>
  <si>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</si>
  <si>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</si>
  <si>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</si>
  <si>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</si>
  <si>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</si>
  <si>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</si>
  <si>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</si>
  <si>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</si>
  <si>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</si>
  <si>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</si>
  <si>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</si>
  <si>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</si>
  <si>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</si>
  <si>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</si>
  <si>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</si>
  <si>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</si>
  <si>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</si>
  <si>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</si>
  <si>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</si>
  <si>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</si>
  <si>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</si>
  <si>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</si>
  <si>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</si>
  <si>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</si>
  <si>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</si>
  <si>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</si>
  <si>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</si>
  <si>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</si>
  <si>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</si>
  <si>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</si>
  <si>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</si>
  <si>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</si>
  <si>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</si>
  <si>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</si>
  <si>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</si>
  <si>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</si>
  <si>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</si>
  <si>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</si>
  <si>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</si>
  <si>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</si>
  <si>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</si>
  <si>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</si>
  <si>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</si>
  <si>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</si>
  <si>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</si>
  <si>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</si>
  <si>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</si>
  <si>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</si>
  <si>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</si>
  <si>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</si>
  <si>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</si>
  <si>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</si>
  <si>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</si>
  <si>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</si>
  <si>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</si>
  <si>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</si>
  <si>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</si>
  <si>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</si>
  <si>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</si>
  <si>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</si>
  <si>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</si>
  <si>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</si>
  <si>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</si>
  <si>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</si>
  <si>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</si>
  <si>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</si>
  <si>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</si>
  <si>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</si>
  <si>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</si>
  <si>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</si>
  <si>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</si>
  <si>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</si>
  <si>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</si>
  <si>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</si>
  <si>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</si>
  <si>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</si>
  <si>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</si>
  <si>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</si>
  <si>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</si>
  <si>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</si>
  <si>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</si>
  <si>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</si>
  <si>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</si>
  <si>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</si>
  <si>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</si>
  <si>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</si>
  <si>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</si>
  <si>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</si>
  <si>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</si>
  <si>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</si>
  <si>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</si>
  <si>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</si>
  <si>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</si>
  <si>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</si>
  <si>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</si>
  <si>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</si>
  <si>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</si>
  <si>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</si>
  <si>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</si>
  <si>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</si>
  <si>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</si>
  <si>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</si>
  <si>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</si>
  <si>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</si>
  <si>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</si>
  <si>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</si>
  <si>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</si>
  <si>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</si>
  <si>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</si>
  <si>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</si>
  <si>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</si>
  <si>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</si>
  <si>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</si>
  <si>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</si>
  <si>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</si>
  <si>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</si>
  <si>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</si>
  <si>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</si>
  <si>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</si>
  <si>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</si>
  <si>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</si>
  <si>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</si>
  <si>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</si>
  <si>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</si>
  <si>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</si>
  <si>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</si>
  <si>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</si>
  <si>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</si>
  <si>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</si>
  <si>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</si>
  <si>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</si>
  <si>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</si>
  <si>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</si>
  <si>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</si>
  <si>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</si>
  <si>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</si>
  <si>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</si>
  <si>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</si>
  <si>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</si>
  <si>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</si>
  <si>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</si>
  <si>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</si>
  <si>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</si>
  <si>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</si>
  <si>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</si>
  <si>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</si>
  <si>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</si>
  <si>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</si>
  <si>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</si>
  <si>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</si>
  <si>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</si>
  <si>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</si>
  <si>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</si>
  <si>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</si>
  <si>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</si>
  <si>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</si>
  <si>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</si>
  <si>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</si>
  <si>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</si>
  <si>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</si>
  <si>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</si>
  <si>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</si>
  <si>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</si>
  <si>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</si>
  <si>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</si>
  <si>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</si>
  <si>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</si>
  <si>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</si>
  <si>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</si>
  <si>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</si>
  <si>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</si>
  <si>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</si>
  <si>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</si>
  <si>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</si>
  <si>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</si>
  <si>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</si>
  <si>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</si>
  <si>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</si>
  <si>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</si>
  <si>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</si>
  <si>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</si>
  <si>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</si>
  <si>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</si>
  <si>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</si>
  <si>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</si>
  <si>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</si>
  <si>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</si>
  <si>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</si>
  <si>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</si>
  <si>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</si>
  <si>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</si>
  <si>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</si>
  <si>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</si>
  <si>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</si>
  <si>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</si>
  <si>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</si>
  <si>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</si>
  <si>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</si>
  <si>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</si>
  <si>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</si>
  <si>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</si>
  <si>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</si>
  <si>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</si>
  <si>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</si>
  <si>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</si>
  <si>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</si>
  <si>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</si>
  <si>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</si>
  <si>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</si>
  <si>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</si>
  <si>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</si>
  <si>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</si>
  <si>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</si>
  <si>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</si>
  <si>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</si>
  <si>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</si>
  <si>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</si>
  <si>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</si>
  <si>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</si>
  <si>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</si>
  <si>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</si>
  <si>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</si>
  <si>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</si>
  <si>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</si>
  <si>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</si>
  <si>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</si>
  <si>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</si>
  <si>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</si>
  <si>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</si>
  <si>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</si>
  <si>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</si>
  <si>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</si>
  <si>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</si>
  <si>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</si>
  <si>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</si>
  <si>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</si>
  <si>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</si>
  <si>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</si>
  <si>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</si>
  <si>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</si>
  <si>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</si>
  <si>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</si>
  <si>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</si>
  <si>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</si>
  <si>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</si>
  <si>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</si>
  <si>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</si>
  <si>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</si>
  <si>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</si>
  <si>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</si>
  <si>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</si>
  <si>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</si>
  <si>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</si>
  <si>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</si>
  <si>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</si>
  <si>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</si>
  <si>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</si>
  <si>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</si>
  <si>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</si>
  <si>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</si>
  <si>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</si>
  <si>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</si>
  <si>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</si>
  <si>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</si>
  <si>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</si>
  <si>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</si>
  <si>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</si>
  <si>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</si>
  <si>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</si>
  <si>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</si>
  <si>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</si>
  <si>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</si>
  <si>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</si>
  <si>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</si>
  <si>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</si>
  <si>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</si>
  <si>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</si>
  <si>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</si>
  <si>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</si>
  <si>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</si>
  <si>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</si>
  <si>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</si>
  <si>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</si>
  <si>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</si>
  <si>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</si>
  <si>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</si>
  <si>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</si>
  <si>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</si>
  <si>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</si>
  <si>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</si>
  <si>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</si>
  <si>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</si>
  <si>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</si>
  <si>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</si>
  <si>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</si>
  <si>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</si>
  <si>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</si>
  <si>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</si>
  <si>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</si>
  <si>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</si>
  <si>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</si>
  <si>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</si>
  <si>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</si>
  <si>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</si>
  <si>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</si>
  <si>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</si>
  <si>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</si>
  <si>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</si>
  <si>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</si>
  <si>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</si>
  <si>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</si>
  <si>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</si>
  <si>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</si>
  <si>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</si>
  <si>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</si>
  <si>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</si>
  <si>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</si>
  <si>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</si>
  <si>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</si>
  <si>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</si>
  <si>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</si>
  <si>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</si>
  <si>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</si>
  <si>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</si>
  <si>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</si>
  <si>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</si>
  <si>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</si>
  <si>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</si>
  <si>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</si>
  <si>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</si>
  <si>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</si>
  <si>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</si>
  <si>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</si>
  <si>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</si>
  <si>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</si>
  <si>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</si>
  <si>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</si>
  <si>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</si>
  <si>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</si>
  <si>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</si>
  <si>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</si>
  <si>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</si>
  <si>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</si>
  <si>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</si>
  <si>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</si>
  <si>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</si>
  <si>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</si>
  <si>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</si>
  <si>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</si>
  <si>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</si>
  <si>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</si>
  <si>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</si>
  <si>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</si>
  <si>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</si>
  <si>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</si>
  <si>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</si>
  <si>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</si>
  <si>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</si>
  <si>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</si>
  <si>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</si>
  <si>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</si>
  <si>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</si>
  <si>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</si>
  <si>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</si>
  <si>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</si>
  <si>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</si>
  <si>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</si>
  <si>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</si>
  <si>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</si>
  <si>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</si>
  <si>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</si>
  <si>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</si>
  <si>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</si>
  <si>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</si>
  <si>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</si>
  <si>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</si>
  <si>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</si>
  <si>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</si>
  <si>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</si>
  <si>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</si>
  <si>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</si>
  <si>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</si>
  <si>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</si>
  <si>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</si>
  <si>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</si>
  <si>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</si>
  <si>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</si>
  <si>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</si>
  <si>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</si>
  <si>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</si>
  <si>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</si>
  <si>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</si>
  <si>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</si>
  <si>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</si>
  <si>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</si>
  <si>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</si>
  <si>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</si>
  <si>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</si>
  <si>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</si>
  <si>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</si>
  <si>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</si>
  <si>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</si>
  <si>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</si>
  <si>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</si>
  <si>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</si>
  <si>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</si>
  <si>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</si>
  <si>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</si>
  <si>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</si>
  <si>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</si>
  <si>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</si>
  <si>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</si>
  <si>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</si>
  <si>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</si>
  <si>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</si>
  <si>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</si>
  <si>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</si>
  <si>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</si>
  <si>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</si>
  <si>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</si>
  <si>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</si>
  <si>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</si>
  <si>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</si>
  <si>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</si>
  <si>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</si>
  <si>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</si>
  <si>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</si>
  <si>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</si>
  <si>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</si>
  <si>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</si>
  <si>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</si>
  <si>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</si>
  <si>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</si>
  <si>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</si>
  <si>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</si>
  <si>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</si>
  <si>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</si>
  <si>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</si>
  <si>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</si>
  <si>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</si>
  <si>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</si>
  <si>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</si>
  <si>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</si>
  <si>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</si>
  <si>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</si>
  <si>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</si>
  <si>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</si>
  <si>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</si>
  <si>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</si>
  <si>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</si>
  <si>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</si>
  <si>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</si>
  <si>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</si>
  <si>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</si>
  <si>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</si>
  <si>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</si>
  <si>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</si>
  <si>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</si>
  <si>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</si>
  <si>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</si>
  <si>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</si>
  <si>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</si>
  <si>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</si>
  <si>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</si>
  <si>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</si>
  <si>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</si>
  <si>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</si>
  <si>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</si>
  <si>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</si>
  <si>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</si>
  <si>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</si>
  <si>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</si>
  <si>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</si>
  <si>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</si>
  <si>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</si>
  <si>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</si>
  <si>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</si>
  <si>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</si>
  <si>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</si>
  <si>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</si>
  <si>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</si>
  <si>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</si>
  <si>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</si>
  <si>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</si>
  <si>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</si>
  <si>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</si>
  <si>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</si>
  <si>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</si>
  <si>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</si>
  <si>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</si>
  <si>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</si>
  <si>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</si>
  <si>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</si>
  <si>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</si>
  <si>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</si>
  <si>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</si>
  <si>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</si>
  <si>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</si>
  <si>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</si>
  <si>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</si>
  <si>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</si>
  <si>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</si>
  <si>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</si>
  <si>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</si>
  <si>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</si>
  <si>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</si>
  <si>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</si>
  <si>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</si>
  <si>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</si>
  <si>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</si>
  <si>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</si>
  <si>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</si>
  <si>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</si>
  <si>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</si>
  <si>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</si>
  <si>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</si>
  <si>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</si>
  <si>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</si>
  <si>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</si>
  <si>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</si>
  <si>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</si>
  <si>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</si>
  <si>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</si>
  <si>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</si>
  <si>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</si>
  <si>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</si>
  <si>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</si>
  <si>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</si>
  <si>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</si>
  <si>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</si>
  <si>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</si>
  <si>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</si>
  <si>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</si>
  <si>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</si>
  <si>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</si>
  <si>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</si>
  <si>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</si>
  <si>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</si>
  <si>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</si>
  <si>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</si>
  <si>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</si>
  <si>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</si>
  <si>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</si>
  <si>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</si>
  <si>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</si>
  <si>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</si>
  <si>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</si>
  <si>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</si>
  <si>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</si>
  <si>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</si>
  <si>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</si>
  <si>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</si>
  <si>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</si>
  <si>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</si>
  <si>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</si>
  <si>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</si>
  <si>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</si>
  <si>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</si>
  <si>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</si>
  <si>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</si>
  <si>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</si>
  <si>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</si>
  <si>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</si>
  <si>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</si>
  <si>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</si>
  <si>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</si>
  <si>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</si>
  <si>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</si>
  <si>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</si>
  <si>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</si>
  <si>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</si>
  <si>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</si>
  <si>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</si>
  <si>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</si>
  <si>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</si>
  <si>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</si>
  <si>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</si>
  <si>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</si>
  <si>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</si>
  <si>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</si>
  <si>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</si>
  <si>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</si>
  <si>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</si>
  <si>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</si>
  <si>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</si>
  <si>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</si>
  <si>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</si>
  <si>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</si>
  <si>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</si>
  <si>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</si>
  <si>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</si>
  <si>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</si>
  <si>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</si>
  <si>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Revenue outlier bound (converted users only, IQR method)</t>
  </si>
  <si>
    <t xml:space="preserve">Q1 (25th pct, converted revenue)</t>
  </si>
  <si>
    <t xml:space="preserve">Q3 (75th pct, converted revenue)</t>
  </si>
  <si>
    <t xml:space="preserve">IQR</t>
  </si>
  <si>
    <t xml:space="preserve">Upper bound (Q3 + 1.5*IQR)</t>
  </si>
  <si>
    <t xml:space="preserve">Check</t>
  </si>
  <si>
    <t xml:space="preserve">Result</t>
  </si>
  <si>
    <t xml:space="preserve">Action Taken</t>
  </si>
  <si>
    <t xml:space="preserve">Raw row count</t>
  </si>
  <si>
    <t xml:space="preserve">Exact duplicate rows found (full-row duplicates)</t>
  </si>
  <si>
    <t xml:space="preserve">Removed, kept first occurrence</t>
  </si>
  <si>
    <t xml:space="preserve">Rows after deduplication</t>
  </si>
  <si>
    <t xml:space="preserve">Remaining duplicate user_ids with conflicting data</t>
  </si>
  <si>
    <t xml:space="preserve">None found — no manual review needed</t>
  </si>
  <si>
    <t xml:space="preserve">Missing device_type</t>
  </si>
  <si>
    <t xml:space="preserve">Filled "Unknown", flagged device_type_filled_flag</t>
  </si>
  <si>
    <t xml:space="preserve">Missing traffic_source</t>
  </si>
  <si>
    <t xml:space="preserve">Filled "Unknown", flagged traffic_source_filled_flag</t>
  </si>
  <si>
    <t xml:space="preserve">Missing engagement_score</t>
  </si>
  <si>
    <t xml:space="preserve">Left blank, flagged engagement_score_missing_flag, excluded from average calculations (not imputed, to avoid biasing the metric)</t>
  </si>
  <si>
    <t xml:space="preserve">Invalid binary values (not 0/1) across all 5 binary columns</t>
  </si>
  <si>
    <t xml:space="preserve">None found — confirmed via invalid_binary_flag, all values clean</t>
  </si>
  <si>
    <t xml:space="preserve">Funnel-logic inconsistencies (e.g. converted but never onboarded)</t>
  </si>
  <si>
    <t xml:space="preserve">None found — funnel data is internally consistent</t>
  </si>
  <si>
    <t xml:space="preserve">Revenue/conversion logic mismatches</t>
  </si>
  <si>
    <t xml:space="preserve">None found — revenue is 0 exactly when not converted, &gt;0 exactly when converted</t>
  </si>
  <si>
    <t xml:space="preserve">days_to_convert logic mismatches</t>
  </si>
  <si>
    <t xml:space="preserve">None found — populated only for converted users, as expected</t>
  </si>
  <si>
    <t xml:space="preserve">Revenue outliers among converted users (IQR method)</t>
  </si>
  <si>
    <t xml:space="preserve">Flagged (not removed) — reviewed separately as part of guardrail / revenue-quality analysis</t>
  </si>
  <si>
    <t xml:space="preserve">Group counts after cleaning</t>
  </si>
  <si>
    <t xml:space="preserve">Control 690 / Treatment 710</t>
  </si>
  <si>
    <t xml:space="preserve">Reasonably balanced, no group-size concern</t>
  </si>
  <si>
    <t xml:space="preserve">Segment distribution across groups (region/device/traffic/plan)</t>
  </si>
  <si>
    <t xml:space="preserve">Balanced</t>
  </si>
  <si>
    <t xml:space="preserve">See experiment_summary.xlsx segment sheets — no major skew that would suggest broken randomization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</si>
</sst>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5"/>
    <col collapsed="false" customWidth="true" hidden="false" outlineLevel="0" max="12" min="12" style="0" width="22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22"/>
    <col collapsed="false" customWidth="true" hidden="false" outlineLevel="0" max="19" min="19" style="0" width="21"/>
    <col collapsed="false" customWidth="true" hidden="false" outlineLevel="0" max="20" min="20" style="0" width="24"/>
    <col collapsed="false" customWidth="true" hidden="false" outlineLevel="0" max="21" min="21" style="0" width="18"/>
    <col collapsed="false" customWidth="true" hidden="false" outlineLevel="0" max="22" min="22" style="0" width="17"/>
    <col collapsed="false" customWidth="true" hidden="false" outlineLevel="0" max="23" min="23" style="0" width="24"/>
    <col collapsed="false" customWidth="true" hidden="false" outlineLevel="0" max="24" min="24" style="0" width="18"/>
    <col collapsed="false" customWidth="true" hidden="false" outlineLevel="0" max="26" min="25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s">
        <v>26</v>
      </c>
      <c r="B2" s="2" t="n">
        <v>45732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30</v>
      </c>
      <c r="I2" s="3" t="s">
        <v>32</v>
      </c>
      <c r="J2" s="0" t="n">
        <v>0</v>
      </c>
      <c r="K2" s="0" t="n">
        <v>0</v>
      </c>
      <c r="L2" s="0" t="n">
        <v>0</v>
      </c>
      <c r="M2" s="0" t="n">
        <v>0</v>
      </c>
      <c r="N2" s="0" t="str">
        <f aca="false">IF(OR(NOT(OR(J2=0,J2=1)),NOT(OR(K2=0,K2=1)),NOT(OR(L2=0,L2=1)),NOT(OR(M2=0,M2=1)),NOT(OR(U2=0,U2=1))),"Yes","No")</f>
        <v>No</v>
      </c>
      <c r="O2" s="0" t="str">
        <f aca="false">IF(OR(AND(M2=1,L2=0),AND(L2=1,K2=0),AND(K2=1,J2=0)),"Yes","No")</f>
        <v>No</v>
      </c>
      <c r="P2" s="0" t="n">
        <v>0</v>
      </c>
      <c r="Q2" s="0" t="str">
        <f aca="false">IF(OR(AND(M2=0,P2&gt;0),AND(M2=1,P2&lt;=0)),"Yes","No")</f>
        <v>No</v>
      </c>
      <c r="R2" s="0" t="str">
        <f aca="false">IF(AND(M2=1,P2&gt;calc_helpers!$B$5),"Yes","No")</f>
        <v>No</v>
      </c>
      <c r="S2" s="0" t="n">
        <v>0</v>
      </c>
      <c r="T2" s="0" t="str">
        <f aca="false">IF(S2&gt;0,"Yes","No")</f>
        <v>No</v>
      </c>
      <c r="U2" s="0" t="n">
        <v>0</v>
      </c>
      <c r="W2" s="0" t="str">
        <f aca="false">IF(OR(AND(M2=1,ISBLANK(V2)),AND(M2=0,NOT(ISBLANK(V2)))),"Yes","No")</f>
        <v>No</v>
      </c>
      <c r="X2" s="0" t="n">
        <v>45.7</v>
      </c>
      <c r="Y2" s="3" t="s">
        <v>30</v>
      </c>
      <c r="Z2" s="0" t="str">
        <f aca="false">IF(M2=1,P2,"")</f>
        <v/>
      </c>
    </row>
    <row r="3" customFormat="false" ht="15" hidden="false" customHeight="false" outlineLevel="0" collapsed="false">
      <c r="A3" s="0" t="s">
        <v>33</v>
      </c>
      <c r="B3" s="2" t="n">
        <v>45724</v>
      </c>
      <c r="C3" s="3" t="s">
        <v>27</v>
      </c>
      <c r="D3" s="3" t="s">
        <v>34</v>
      </c>
      <c r="E3" s="3" t="s">
        <v>35</v>
      </c>
      <c r="F3" s="3" t="s">
        <v>30</v>
      </c>
      <c r="G3" s="3" t="s">
        <v>36</v>
      </c>
      <c r="H3" s="3" t="s">
        <v>30</v>
      </c>
      <c r="I3" s="3" t="s">
        <v>37</v>
      </c>
      <c r="J3" s="0" t="n">
        <v>1</v>
      </c>
      <c r="K3" s="0" t="n">
        <v>0</v>
      </c>
      <c r="L3" s="0" t="n">
        <v>0</v>
      </c>
      <c r="M3" s="0" t="n">
        <v>0</v>
      </c>
      <c r="N3" s="0" t="str">
        <f aca="false">IF(OR(NOT(OR(J3=0,J3=1)),NOT(OR(K3=0,K3=1)),NOT(OR(L3=0,L3=1)),NOT(OR(M3=0,M3=1)),NOT(OR(U3=0,U3=1))),"Yes","No")</f>
        <v>No</v>
      </c>
      <c r="O3" s="0" t="str">
        <f aca="false">IF(OR(AND(M3=1,L3=0),AND(L3=1,K3=0),AND(K3=1,J3=0)),"Yes","No")</f>
        <v>No</v>
      </c>
      <c r="P3" s="0" t="n">
        <v>0</v>
      </c>
      <c r="Q3" s="0" t="str">
        <f aca="false">IF(OR(AND(M3=0,P3&gt;0),AND(M3=1,P3&lt;=0)),"Yes","No")</f>
        <v>No</v>
      </c>
      <c r="R3" s="0" t="str">
        <f aca="false">IF(AND(M3=1,P3&gt;calc_helpers!$B$5),"Yes","No")</f>
        <v>No</v>
      </c>
      <c r="S3" s="0" t="n">
        <v>0</v>
      </c>
      <c r="T3" s="0" t="str">
        <f aca="false">IF(S3&gt;0,"Yes","No")</f>
        <v>No</v>
      </c>
      <c r="U3" s="0" t="n">
        <v>0</v>
      </c>
      <c r="W3" s="0" t="str">
        <f aca="false">IF(OR(AND(M3=1,ISBLANK(V3)),AND(M3=0,NOT(ISBLANK(V3)))),"Yes","No")</f>
        <v>No</v>
      </c>
      <c r="X3" s="0" t="n">
        <v>48.6</v>
      </c>
      <c r="Y3" s="3" t="s">
        <v>30</v>
      </c>
      <c r="Z3" s="0" t="str">
        <f aca="false">IF(M3=1,P3,"")</f>
        <v/>
      </c>
    </row>
    <row r="4" customFormat="false" ht="15" hidden="false" customHeight="false" outlineLevel="0" collapsed="false">
      <c r="A4" s="0" t="s">
        <v>38</v>
      </c>
      <c r="B4" s="2" t="n">
        <v>45771</v>
      </c>
      <c r="C4" s="3" t="s">
        <v>27</v>
      </c>
      <c r="D4" s="3" t="s">
        <v>39</v>
      </c>
      <c r="E4" s="3" t="s">
        <v>35</v>
      </c>
      <c r="F4" s="3" t="s">
        <v>30</v>
      </c>
      <c r="G4" s="3" t="s">
        <v>40</v>
      </c>
      <c r="H4" s="3" t="s">
        <v>30</v>
      </c>
      <c r="I4" s="3" t="s">
        <v>41</v>
      </c>
      <c r="J4" s="0" t="n">
        <v>1</v>
      </c>
      <c r="K4" s="0" t="n">
        <v>0</v>
      </c>
      <c r="L4" s="0" t="n">
        <v>0</v>
      </c>
      <c r="M4" s="0" t="n">
        <v>0</v>
      </c>
      <c r="N4" s="0" t="str">
        <f aca="false">IF(OR(NOT(OR(J4=0,J4=1)),NOT(OR(K4=0,K4=1)),NOT(OR(L4=0,L4=1)),NOT(OR(M4=0,M4=1)),NOT(OR(U4=0,U4=1))),"Yes","No")</f>
        <v>No</v>
      </c>
      <c r="O4" s="0" t="str">
        <f aca="false">IF(OR(AND(M4=1,L4=0),AND(L4=1,K4=0),AND(K4=1,J4=0)),"Yes","No")</f>
        <v>No</v>
      </c>
      <c r="P4" s="0" t="n">
        <v>0</v>
      </c>
      <c r="Q4" s="0" t="str">
        <f aca="false">IF(OR(AND(M4=0,P4&gt;0),AND(M4=1,P4&lt;=0)),"Yes","No")</f>
        <v>No</v>
      </c>
      <c r="R4" s="0" t="str">
        <f aca="false">IF(AND(M4=1,P4&gt;calc_helpers!$B$5),"Yes","No")</f>
        <v>No</v>
      </c>
      <c r="S4" s="0" t="n">
        <v>1</v>
      </c>
      <c r="T4" s="0" t="str">
        <f aca="false">IF(S4&gt;0,"Yes","No")</f>
        <v>Yes</v>
      </c>
      <c r="U4" s="0" t="n">
        <v>0</v>
      </c>
      <c r="W4" s="0" t="str">
        <f aca="false">IF(OR(AND(M4=1,ISBLANK(V4)),AND(M4=0,NOT(ISBLANK(V4)))),"Yes","No")</f>
        <v>No</v>
      </c>
      <c r="X4" s="0" t="n">
        <v>35.4</v>
      </c>
      <c r="Y4" s="3" t="s">
        <v>30</v>
      </c>
      <c r="Z4" s="0" t="str">
        <f aca="false">IF(M4=1,P4,"")</f>
        <v/>
      </c>
    </row>
    <row r="5" customFormat="false" ht="15" hidden="false" customHeight="false" outlineLevel="0" collapsed="false">
      <c r="A5" s="0" t="s">
        <v>42</v>
      </c>
      <c r="B5" s="2" t="n">
        <v>45781</v>
      </c>
      <c r="C5" s="3" t="s">
        <v>27</v>
      </c>
      <c r="D5" s="3" t="s">
        <v>43</v>
      </c>
      <c r="E5" s="3" t="s">
        <v>35</v>
      </c>
      <c r="F5" s="3" t="s">
        <v>30</v>
      </c>
      <c r="G5" s="3" t="s">
        <v>31</v>
      </c>
      <c r="H5" s="3" t="s">
        <v>30</v>
      </c>
      <c r="I5" s="3" t="s">
        <v>32</v>
      </c>
      <c r="J5" s="0" t="n">
        <v>1</v>
      </c>
      <c r="K5" s="0" t="n">
        <v>0</v>
      </c>
      <c r="L5" s="0" t="n">
        <v>0</v>
      </c>
      <c r="M5" s="0" t="n">
        <v>0</v>
      </c>
      <c r="N5" s="0" t="str">
        <f aca="false">IF(OR(NOT(OR(J5=0,J5=1)),NOT(OR(K5=0,K5=1)),NOT(OR(L5=0,L5=1)),NOT(OR(M5=0,M5=1)),NOT(OR(U5=0,U5=1))),"Yes","No")</f>
        <v>No</v>
      </c>
      <c r="O5" s="0" t="str">
        <f aca="false">IF(OR(AND(M5=1,L5=0),AND(L5=1,K5=0),AND(K5=1,J5=0)),"Yes","No")</f>
        <v>No</v>
      </c>
      <c r="P5" s="0" t="n">
        <v>0</v>
      </c>
      <c r="Q5" s="0" t="str">
        <f aca="false">IF(OR(AND(M5=0,P5&gt;0),AND(M5=1,P5&lt;=0)),"Yes","No")</f>
        <v>No</v>
      </c>
      <c r="R5" s="0" t="str">
        <f aca="false">IF(AND(M5=1,P5&gt;calc_helpers!$B$5),"Yes","No")</f>
        <v>No</v>
      </c>
      <c r="S5" s="0" t="n">
        <v>0</v>
      </c>
      <c r="T5" s="0" t="str">
        <f aca="false">IF(S5&gt;0,"Yes","No")</f>
        <v>No</v>
      </c>
      <c r="U5" s="0" t="n">
        <v>0</v>
      </c>
      <c r="W5" s="0" t="str">
        <f aca="false">IF(OR(AND(M5=1,ISBLANK(V5)),AND(M5=0,NOT(ISBLANK(V5)))),"Yes","No")</f>
        <v>No</v>
      </c>
      <c r="X5" s="0" t="n">
        <v>64.6</v>
      </c>
      <c r="Y5" s="3" t="s">
        <v>30</v>
      </c>
      <c r="Z5" s="0" t="str">
        <f aca="false">IF(M5=1,P5,"")</f>
        <v/>
      </c>
    </row>
    <row r="6" customFormat="false" ht="15" hidden="false" customHeight="false" outlineLevel="0" collapsed="false">
      <c r="A6" s="0" t="s">
        <v>44</v>
      </c>
      <c r="B6" s="2" t="n">
        <v>45700</v>
      </c>
      <c r="C6" s="3" t="s">
        <v>27</v>
      </c>
      <c r="D6" s="3" t="s">
        <v>28</v>
      </c>
      <c r="E6" s="3" t="s">
        <v>45</v>
      </c>
      <c r="F6" s="3" t="s">
        <v>30</v>
      </c>
      <c r="G6" s="3" t="s">
        <v>36</v>
      </c>
      <c r="H6" s="3" t="s">
        <v>30</v>
      </c>
      <c r="I6" s="3" t="s">
        <v>37</v>
      </c>
      <c r="J6" s="0" t="n">
        <v>0</v>
      </c>
      <c r="K6" s="0" t="n">
        <v>0</v>
      </c>
      <c r="L6" s="0" t="n">
        <v>0</v>
      </c>
      <c r="M6" s="0" t="n">
        <v>0</v>
      </c>
      <c r="N6" s="0" t="str">
        <f aca="false">IF(OR(NOT(OR(J6=0,J6=1)),NOT(OR(K6=0,K6=1)),NOT(OR(L6=0,L6=1)),NOT(OR(M6=0,M6=1)),NOT(OR(U6=0,U6=1))),"Yes","No")</f>
        <v>No</v>
      </c>
      <c r="O6" s="0" t="str">
        <f aca="false">IF(OR(AND(M6=1,L6=0),AND(L6=1,K6=0),AND(K6=1,J6=0)),"Yes","No")</f>
        <v>No</v>
      </c>
      <c r="P6" s="0" t="n">
        <v>0</v>
      </c>
      <c r="Q6" s="0" t="str">
        <f aca="false">IF(OR(AND(M6=0,P6&gt;0),AND(M6=1,P6&lt;=0)),"Yes","No")</f>
        <v>No</v>
      </c>
      <c r="R6" s="0" t="str">
        <f aca="false">IF(AND(M6=1,P6&gt;calc_helpers!$B$5),"Yes","No")</f>
        <v>No</v>
      </c>
      <c r="S6" s="0" t="n">
        <v>0</v>
      </c>
      <c r="T6" s="0" t="str">
        <f aca="false">IF(S6&gt;0,"Yes","No")</f>
        <v>No</v>
      </c>
      <c r="U6" s="0" t="n">
        <v>0</v>
      </c>
      <c r="W6" s="0" t="str">
        <f aca="false">IF(OR(AND(M6=1,ISBLANK(V6)),AND(M6=0,NOT(ISBLANK(V6)))),"Yes","No")</f>
        <v>No</v>
      </c>
      <c r="X6" s="0" t="n">
        <v>66.6</v>
      </c>
      <c r="Y6" s="3" t="s">
        <v>30</v>
      </c>
      <c r="Z6" s="0" t="str">
        <f aca="false">IF(M6=1,P6,"")</f>
        <v/>
      </c>
    </row>
    <row r="7" customFormat="false" ht="15" hidden="false" customHeight="false" outlineLevel="0" collapsed="false">
      <c r="A7" s="0" t="s">
        <v>46</v>
      </c>
      <c r="B7" s="2" t="n">
        <v>45685</v>
      </c>
      <c r="C7" s="3" t="s">
        <v>27</v>
      </c>
      <c r="D7" s="3" t="s">
        <v>39</v>
      </c>
      <c r="E7" s="3" t="s">
        <v>35</v>
      </c>
      <c r="F7" s="3" t="s">
        <v>30</v>
      </c>
      <c r="G7" s="3" t="s">
        <v>36</v>
      </c>
      <c r="H7" s="3" t="s">
        <v>30</v>
      </c>
      <c r="I7" s="3" t="s">
        <v>41</v>
      </c>
      <c r="J7" s="0" t="n">
        <v>1</v>
      </c>
      <c r="K7" s="0" t="n">
        <v>0</v>
      </c>
      <c r="L7" s="0" t="n">
        <v>0</v>
      </c>
      <c r="M7" s="0" t="n">
        <v>0</v>
      </c>
      <c r="N7" s="0" t="str">
        <f aca="false">IF(OR(NOT(OR(J7=0,J7=1)),NOT(OR(K7=0,K7=1)),NOT(OR(L7=0,L7=1)),NOT(OR(M7=0,M7=1)),NOT(OR(U7=0,U7=1))),"Yes","No")</f>
        <v>No</v>
      </c>
      <c r="O7" s="0" t="str">
        <f aca="false">IF(OR(AND(M7=1,L7=0),AND(L7=1,K7=0),AND(K7=1,J7=0)),"Yes","No")</f>
        <v>No</v>
      </c>
      <c r="P7" s="0" t="n">
        <v>0</v>
      </c>
      <c r="Q7" s="0" t="str">
        <f aca="false">IF(OR(AND(M7=0,P7&gt;0),AND(M7=1,P7&lt;=0)),"Yes","No")</f>
        <v>No</v>
      </c>
      <c r="R7" s="0" t="str">
        <f aca="false">IF(AND(M7=1,P7&gt;calc_helpers!$B$5),"Yes","No")</f>
        <v>No</v>
      </c>
      <c r="S7" s="0" t="n">
        <v>0</v>
      </c>
      <c r="T7" s="0" t="str">
        <f aca="false">IF(S7&gt;0,"Yes","No")</f>
        <v>No</v>
      </c>
      <c r="U7" s="0" t="n">
        <v>0</v>
      </c>
      <c r="W7" s="0" t="str">
        <f aca="false">IF(OR(AND(M7=1,ISBLANK(V7)),AND(M7=0,NOT(ISBLANK(V7)))),"Yes","No")</f>
        <v>No</v>
      </c>
      <c r="X7" s="0" t="n">
        <v>40.8</v>
      </c>
      <c r="Y7" s="3" t="s">
        <v>30</v>
      </c>
      <c r="Z7" s="0" t="str">
        <f aca="false">IF(M7=1,P7,"")</f>
        <v/>
      </c>
    </row>
    <row r="8" customFormat="false" ht="15" hidden="false" customHeight="false" outlineLevel="0" collapsed="false">
      <c r="A8" s="0" t="s">
        <v>47</v>
      </c>
      <c r="B8" s="2" t="n">
        <v>45755</v>
      </c>
      <c r="C8" s="3" t="s">
        <v>27</v>
      </c>
      <c r="D8" s="3" t="s">
        <v>39</v>
      </c>
      <c r="E8" s="3" t="s">
        <v>35</v>
      </c>
      <c r="F8" s="3" t="s">
        <v>30</v>
      </c>
      <c r="G8" s="3" t="s">
        <v>40</v>
      </c>
      <c r="H8" s="3" t="s">
        <v>30</v>
      </c>
      <c r="I8" s="3" t="s">
        <v>32</v>
      </c>
      <c r="J8" s="0" t="n">
        <v>1</v>
      </c>
      <c r="K8" s="0" t="n">
        <v>1</v>
      </c>
      <c r="L8" s="0" t="n">
        <v>0</v>
      </c>
      <c r="M8" s="0" t="n">
        <v>0</v>
      </c>
      <c r="N8" s="0" t="str">
        <f aca="false">IF(OR(NOT(OR(J8=0,J8=1)),NOT(OR(K8=0,K8=1)),NOT(OR(L8=0,L8=1)),NOT(OR(M8=0,M8=1)),NOT(OR(U8=0,U8=1))),"Yes","No")</f>
        <v>No</v>
      </c>
      <c r="O8" s="0" t="str">
        <f aca="false">IF(OR(AND(M8=1,L8=0),AND(L8=1,K8=0),AND(K8=1,J8=0)),"Yes","No")</f>
        <v>No</v>
      </c>
      <c r="P8" s="0" t="n">
        <v>0</v>
      </c>
      <c r="Q8" s="0" t="str">
        <f aca="false">IF(OR(AND(M8=0,P8&gt;0),AND(M8=1,P8&lt;=0)),"Yes","No")</f>
        <v>No</v>
      </c>
      <c r="R8" s="0" t="str">
        <f aca="false">IF(AND(M8=1,P8&gt;calc_helpers!$B$5),"Yes","No")</f>
        <v>No</v>
      </c>
      <c r="S8" s="0" t="n">
        <v>0</v>
      </c>
      <c r="T8" s="0" t="str">
        <f aca="false">IF(S8&gt;0,"Yes","No")</f>
        <v>No</v>
      </c>
      <c r="U8" s="0" t="n">
        <v>0</v>
      </c>
      <c r="W8" s="0" t="str">
        <f aca="false">IF(OR(AND(M8=1,ISBLANK(V8)),AND(M8=0,NOT(ISBLANK(V8)))),"Yes","No")</f>
        <v>No</v>
      </c>
      <c r="X8" s="0" t="n">
        <v>57.1</v>
      </c>
      <c r="Y8" s="3" t="s">
        <v>30</v>
      </c>
      <c r="Z8" s="0" t="str">
        <f aca="false">IF(M8=1,P8,"")</f>
        <v/>
      </c>
    </row>
    <row r="9" customFormat="false" ht="15" hidden="false" customHeight="false" outlineLevel="0" collapsed="false">
      <c r="A9" s="0" t="s">
        <v>48</v>
      </c>
      <c r="B9" s="2" t="n">
        <v>45794</v>
      </c>
      <c r="C9" s="3" t="s">
        <v>27</v>
      </c>
      <c r="D9" s="3" t="s">
        <v>43</v>
      </c>
      <c r="E9" s="3" t="s">
        <v>35</v>
      </c>
      <c r="F9" s="3" t="s">
        <v>30</v>
      </c>
      <c r="G9" s="3" t="s">
        <v>40</v>
      </c>
      <c r="H9" s="3" t="s">
        <v>30</v>
      </c>
      <c r="I9" s="3" t="s">
        <v>37</v>
      </c>
      <c r="J9" s="0" t="n">
        <v>0</v>
      </c>
      <c r="K9" s="0" t="n">
        <v>0</v>
      </c>
      <c r="L9" s="0" t="n">
        <v>0</v>
      </c>
      <c r="M9" s="0" t="n">
        <v>0</v>
      </c>
      <c r="N9" s="0" t="str">
        <f aca="false">IF(OR(NOT(OR(J9=0,J9=1)),NOT(OR(K9=0,K9=1)),NOT(OR(L9=0,L9=1)),NOT(OR(M9=0,M9=1)),NOT(OR(U9=0,U9=1))),"Yes","No")</f>
        <v>No</v>
      </c>
      <c r="O9" s="0" t="str">
        <f aca="false">IF(OR(AND(M9=1,L9=0),AND(L9=1,K9=0),AND(K9=1,J9=0)),"Yes","No")</f>
        <v>No</v>
      </c>
      <c r="P9" s="0" t="n">
        <v>0</v>
      </c>
      <c r="Q9" s="0" t="str">
        <f aca="false">IF(OR(AND(M9=0,P9&gt;0),AND(M9=1,P9&lt;=0)),"Yes","No")</f>
        <v>No</v>
      </c>
      <c r="R9" s="0" t="str">
        <f aca="false">IF(AND(M9=1,P9&gt;calc_helpers!$B$5),"Yes","No")</f>
        <v>No</v>
      </c>
      <c r="S9" s="0" t="n">
        <v>0</v>
      </c>
      <c r="T9" s="0" t="str">
        <f aca="false">IF(S9&gt;0,"Yes","No")</f>
        <v>No</v>
      </c>
      <c r="U9" s="0" t="n">
        <v>0</v>
      </c>
      <c r="W9" s="0" t="str">
        <f aca="false">IF(OR(AND(M9=1,ISBLANK(V9)),AND(M9=0,NOT(ISBLANK(V9)))),"Yes","No")</f>
        <v>No</v>
      </c>
      <c r="X9" s="0" t="n">
        <v>36.4</v>
      </c>
      <c r="Y9" s="3" t="s">
        <v>30</v>
      </c>
      <c r="Z9" s="0" t="str">
        <f aca="false">IF(M9=1,P9,"")</f>
        <v/>
      </c>
    </row>
    <row r="10" customFormat="false" ht="15" hidden="false" customHeight="false" outlineLevel="0" collapsed="false">
      <c r="A10" s="0" t="s">
        <v>49</v>
      </c>
      <c r="B10" s="2" t="n">
        <v>45711</v>
      </c>
      <c r="C10" s="3" t="s">
        <v>27</v>
      </c>
      <c r="D10" s="3" t="s">
        <v>43</v>
      </c>
      <c r="E10" s="3" t="s">
        <v>45</v>
      </c>
      <c r="F10" s="3" t="s">
        <v>30</v>
      </c>
      <c r="G10" s="3" t="s">
        <v>50</v>
      </c>
      <c r="H10" s="3" t="s">
        <v>30</v>
      </c>
      <c r="I10" s="3" t="s">
        <v>32</v>
      </c>
      <c r="J10" s="0" t="n">
        <v>0</v>
      </c>
      <c r="K10" s="0" t="n">
        <v>0</v>
      </c>
      <c r="L10" s="0" t="n">
        <v>0</v>
      </c>
      <c r="M10" s="0" t="n">
        <v>0</v>
      </c>
      <c r="N10" s="0" t="str">
        <f aca="false">IF(OR(NOT(OR(J10=0,J10=1)),NOT(OR(K10=0,K10=1)),NOT(OR(L10=0,L10=1)),NOT(OR(M10=0,M10=1)),NOT(OR(U10=0,U10=1))),"Yes","No")</f>
        <v>No</v>
      </c>
      <c r="O10" s="0" t="str">
        <f aca="false">IF(OR(AND(M10=1,L10=0),AND(L10=1,K10=0),AND(K10=1,J10=0)),"Yes","No")</f>
        <v>No</v>
      </c>
      <c r="P10" s="0" t="n">
        <v>0</v>
      </c>
      <c r="Q10" s="0" t="str">
        <f aca="false">IF(OR(AND(M10=0,P10&gt;0),AND(M10=1,P10&lt;=0)),"Yes","No")</f>
        <v>No</v>
      </c>
      <c r="R10" s="0" t="str">
        <f aca="false">IF(AND(M10=1,P10&gt;calc_helpers!$B$5),"Yes","No")</f>
        <v>No</v>
      </c>
      <c r="S10" s="0" t="n">
        <v>0</v>
      </c>
      <c r="T10" s="0" t="str">
        <f aca="false">IF(S10&gt;0,"Yes","No")</f>
        <v>No</v>
      </c>
      <c r="U10" s="0" t="n">
        <v>0</v>
      </c>
      <c r="W10" s="0" t="str">
        <f aca="false">IF(OR(AND(M10=1,ISBLANK(V10)),AND(M10=0,NOT(ISBLANK(V10)))),"Yes","No")</f>
        <v>No</v>
      </c>
      <c r="X10" s="0" t="n">
        <v>55.4</v>
      </c>
      <c r="Y10" s="3" t="s">
        <v>30</v>
      </c>
      <c r="Z10" s="0" t="str">
        <f aca="false">IF(M10=1,P10,"")</f>
        <v/>
      </c>
    </row>
    <row r="11" customFormat="false" ht="15" hidden="false" customHeight="false" outlineLevel="0" collapsed="false">
      <c r="A11" s="0" t="s">
        <v>51</v>
      </c>
      <c r="B11" s="2" t="n">
        <v>45806</v>
      </c>
      <c r="C11" s="3" t="s">
        <v>27</v>
      </c>
      <c r="D11" s="3" t="s">
        <v>34</v>
      </c>
      <c r="E11" s="3" t="s">
        <v>29</v>
      </c>
      <c r="F11" s="3" t="s">
        <v>30</v>
      </c>
      <c r="G11" s="3" t="s">
        <v>52</v>
      </c>
      <c r="H11" s="3" t="s">
        <v>30</v>
      </c>
      <c r="I11" s="3" t="s">
        <v>37</v>
      </c>
      <c r="J11" s="0" t="n">
        <v>1</v>
      </c>
      <c r="K11" s="0" t="n">
        <v>0</v>
      </c>
      <c r="L11" s="0" t="n">
        <v>0</v>
      </c>
      <c r="M11" s="0" t="n">
        <v>0</v>
      </c>
      <c r="N11" s="0" t="str">
        <f aca="false">IF(OR(NOT(OR(J11=0,J11=1)),NOT(OR(K11=0,K11=1)),NOT(OR(L11=0,L11=1)),NOT(OR(M11=0,M11=1)),NOT(OR(U11=0,U11=1))),"Yes","No")</f>
        <v>No</v>
      </c>
      <c r="O11" s="0" t="str">
        <f aca="false">IF(OR(AND(M11=1,L11=0),AND(L11=1,K11=0),AND(K11=1,J11=0)),"Yes","No")</f>
        <v>No</v>
      </c>
      <c r="P11" s="0" t="n">
        <v>0</v>
      </c>
      <c r="Q11" s="0" t="str">
        <f aca="false">IF(OR(AND(M11=0,P11&gt;0),AND(M11=1,P11&lt;=0)),"Yes","No")</f>
        <v>No</v>
      </c>
      <c r="R11" s="0" t="str">
        <f aca="false">IF(AND(M11=1,P11&gt;calc_helpers!$B$5),"Yes","No")</f>
        <v>No</v>
      </c>
      <c r="S11" s="0" t="n">
        <v>0</v>
      </c>
      <c r="T11" s="0" t="str">
        <f aca="false">IF(S11&gt;0,"Yes","No")</f>
        <v>No</v>
      </c>
      <c r="U11" s="0" t="n">
        <v>0</v>
      </c>
      <c r="W11" s="0" t="str">
        <f aca="false">IF(OR(AND(M11=1,ISBLANK(V11)),AND(M11=0,NOT(ISBLANK(V11)))),"Yes","No")</f>
        <v>No</v>
      </c>
      <c r="X11" s="0" t="n">
        <v>57.3</v>
      </c>
      <c r="Y11" s="3" t="s">
        <v>30</v>
      </c>
      <c r="Z11" s="0" t="str">
        <f aca="false">IF(M11=1,P11,"")</f>
        <v/>
      </c>
    </row>
    <row r="12" customFormat="false" ht="15" hidden="false" customHeight="false" outlineLevel="0" collapsed="false">
      <c r="A12" s="0" t="s">
        <v>53</v>
      </c>
      <c r="B12" s="2" t="n">
        <v>45777</v>
      </c>
      <c r="C12" s="3" t="s">
        <v>27</v>
      </c>
      <c r="D12" s="3" t="s">
        <v>39</v>
      </c>
      <c r="E12" s="3" t="s">
        <v>35</v>
      </c>
      <c r="F12" s="3" t="s">
        <v>30</v>
      </c>
      <c r="G12" s="3" t="s">
        <v>40</v>
      </c>
      <c r="H12" s="3" t="s">
        <v>30</v>
      </c>
      <c r="I12" s="3" t="s">
        <v>32</v>
      </c>
      <c r="J12" s="0" t="n">
        <v>1</v>
      </c>
      <c r="K12" s="0" t="n">
        <v>1</v>
      </c>
      <c r="L12" s="0" t="n">
        <v>1</v>
      </c>
      <c r="M12" s="0" t="n">
        <v>0</v>
      </c>
      <c r="N12" s="0" t="str">
        <f aca="false">IF(OR(NOT(OR(J12=0,J12=1)),NOT(OR(K12=0,K12=1)),NOT(OR(L12=0,L12=1)),NOT(OR(M12=0,M12=1)),NOT(OR(U12=0,U12=1))),"Yes","No")</f>
        <v>No</v>
      </c>
      <c r="O12" s="0" t="str">
        <f aca="false">IF(OR(AND(M12=1,L12=0),AND(L12=1,K12=0),AND(K12=1,J12=0)),"Yes","No")</f>
        <v>No</v>
      </c>
      <c r="P12" s="0" t="n">
        <v>0</v>
      </c>
      <c r="Q12" s="0" t="str">
        <f aca="false">IF(OR(AND(M12=0,P12&gt;0),AND(M12=1,P12&lt;=0)),"Yes","No")</f>
        <v>No</v>
      </c>
      <c r="R12" s="0" t="str">
        <f aca="false">IF(AND(M12=1,P12&gt;calc_helpers!$B$5),"Yes","No")</f>
        <v>No</v>
      </c>
      <c r="S12" s="0" t="n">
        <v>0</v>
      </c>
      <c r="T12" s="0" t="str">
        <f aca="false">IF(S12&gt;0,"Yes","No")</f>
        <v>No</v>
      </c>
      <c r="U12" s="0" t="n">
        <v>0</v>
      </c>
      <c r="W12" s="0" t="str">
        <f aca="false">IF(OR(AND(M12=1,ISBLANK(V12)),AND(M12=0,NOT(ISBLANK(V12)))),"Yes","No")</f>
        <v>No</v>
      </c>
      <c r="X12" s="0" t="n">
        <v>63.6</v>
      </c>
      <c r="Y12" s="3" t="s">
        <v>30</v>
      </c>
      <c r="Z12" s="0" t="str">
        <f aca="false">IF(M12=1,P12,"")</f>
        <v/>
      </c>
    </row>
    <row r="13" customFormat="false" ht="15" hidden="false" customHeight="false" outlineLevel="0" collapsed="false">
      <c r="A13" s="0" t="s">
        <v>54</v>
      </c>
      <c r="B13" s="2" t="n">
        <v>45732</v>
      </c>
      <c r="C13" s="3" t="s">
        <v>27</v>
      </c>
      <c r="D13" s="3" t="s">
        <v>39</v>
      </c>
      <c r="E13" s="3" t="s">
        <v>35</v>
      </c>
      <c r="F13" s="3" t="s">
        <v>30</v>
      </c>
      <c r="G13" s="3" t="s">
        <v>52</v>
      </c>
      <c r="H13" s="3" t="s">
        <v>30</v>
      </c>
      <c r="I13" s="3" t="s">
        <v>41</v>
      </c>
      <c r="J13" s="0" t="n">
        <v>1</v>
      </c>
      <c r="K13" s="0" t="n">
        <v>1</v>
      </c>
      <c r="L13" s="0" t="n">
        <v>1</v>
      </c>
      <c r="M13" s="0" t="n">
        <v>0</v>
      </c>
      <c r="N13" s="0" t="str">
        <f aca="false">IF(OR(NOT(OR(J13=0,J13=1)),NOT(OR(K13=0,K13=1)),NOT(OR(L13=0,L13=1)),NOT(OR(M13=0,M13=1)),NOT(OR(U13=0,U13=1))),"Yes","No")</f>
        <v>No</v>
      </c>
      <c r="O13" s="0" t="str">
        <f aca="false">IF(OR(AND(M13=1,L13=0),AND(L13=1,K13=0),AND(K13=1,J13=0)),"Yes","No")</f>
        <v>No</v>
      </c>
      <c r="P13" s="0" t="n">
        <v>0</v>
      </c>
      <c r="Q13" s="0" t="str">
        <f aca="false">IF(OR(AND(M13=0,P13&gt;0),AND(M13=1,P13&lt;=0)),"Yes","No")</f>
        <v>No</v>
      </c>
      <c r="R13" s="0" t="str">
        <f aca="false">IF(AND(M13=1,P13&gt;calc_helpers!$B$5),"Yes","No")</f>
        <v>No</v>
      </c>
      <c r="S13" s="0" t="n">
        <v>1</v>
      </c>
      <c r="T13" s="0" t="str">
        <f aca="false">IF(S13&gt;0,"Yes","No")</f>
        <v>Yes</v>
      </c>
      <c r="U13" s="0" t="n">
        <v>0</v>
      </c>
      <c r="W13" s="0" t="str">
        <f aca="false">IF(OR(AND(M13=1,ISBLANK(V13)),AND(M13=0,NOT(ISBLANK(V13)))),"Yes","No")</f>
        <v>No</v>
      </c>
      <c r="X13" s="0" t="n">
        <v>80.4</v>
      </c>
      <c r="Y13" s="3" t="s">
        <v>30</v>
      </c>
      <c r="Z13" s="0" t="str">
        <f aca="false">IF(M13=1,P13,"")</f>
        <v/>
      </c>
    </row>
    <row r="14" customFormat="false" ht="15" hidden="false" customHeight="false" outlineLevel="0" collapsed="false">
      <c r="A14" s="0" t="s">
        <v>55</v>
      </c>
      <c r="B14" s="2" t="n">
        <v>45695</v>
      </c>
      <c r="C14" s="3" t="s">
        <v>27</v>
      </c>
      <c r="D14" s="3" t="s">
        <v>43</v>
      </c>
      <c r="E14" s="3" t="s">
        <v>29</v>
      </c>
      <c r="F14" s="3" t="s">
        <v>30</v>
      </c>
      <c r="G14" s="3" t="s">
        <v>31</v>
      </c>
      <c r="H14" s="3" t="s">
        <v>30</v>
      </c>
      <c r="I14" s="3" t="s">
        <v>32</v>
      </c>
      <c r="J14" s="0" t="n">
        <v>1</v>
      </c>
      <c r="K14" s="0" t="n">
        <v>0</v>
      </c>
      <c r="L14" s="0" t="n">
        <v>0</v>
      </c>
      <c r="M14" s="0" t="n">
        <v>0</v>
      </c>
      <c r="N14" s="0" t="str">
        <f aca="false">IF(OR(NOT(OR(J14=0,J14=1)),NOT(OR(K14=0,K14=1)),NOT(OR(L14=0,L14=1)),NOT(OR(M14=0,M14=1)),NOT(OR(U14=0,U14=1))),"Yes","No")</f>
        <v>No</v>
      </c>
      <c r="O14" s="0" t="str">
        <f aca="false">IF(OR(AND(M14=1,L14=0),AND(L14=1,K14=0),AND(K14=1,J14=0)),"Yes","No")</f>
        <v>No</v>
      </c>
      <c r="P14" s="0" t="n">
        <v>0</v>
      </c>
      <c r="Q14" s="0" t="str">
        <f aca="false">IF(OR(AND(M14=0,P14&gt;0),AND(M14=1,P14&lt;=0)),"Yes","No")</f>
        <v>No</v>
      </c>
      <c r="R14" s="0" t="str">
        <f aca="false">IF(AND(M14=1,P14&gt;calc_helpers!$B$5),"Yes","No")</f>
        <v>No</v>
      </c>
      <c r="S14" s="0" t="n">
        <v>0</v>
      </c>
      <c r="T14" s="0" t="str">
        <f aca="false">IF(S14&gt;0,"Yes","No")</f>
        <v>No</v>
      </c>
      <c r="U14" s="0" t="n">
        <v>0</v>
      </c>
      <c r="W14" s="0" t="str">
        <f aca="false">IF(OR(AND(M14=1,ISBLANK(V14)),AND(M14=0,NOT(ISBLANK(V14)))),"Yes","No")</f>
        <v>No</v>
      </c>
      <c r="X14" s="0" t="n">
        <v>62.4</v>
      </c>
      <c r="Y14" s="3" t="s">
        <v>30</v>
      </c>
      <c r="Z14" s="0" t="str">
        <f aca="false">IF(M14=1,P14,"")</f>
        <v/>
      </c>
    </row>
    <row r="15" customFormat="false" ht="15" hidden="false" customHeight="false" outlineLevel="0" collapsed="false">
      <c r="A15" s="0" t="s">
        <v>56</v>
      </c>
      <c r="B15" s="2" t="n">
        <v>45718</v>
      </c>
      <c r="C15" s="3" t="s">
        <v>27</v>
      </c>
      <c r="D15" s="3" t="s">
        <v>34</v>
      </c>
      <c r="E15" s="3" t="s">
        <v>35</v>
      </c>
      <c r="F15" s="3" t="s">
        <v>30</v>
      </c>
      <c r="G15" s="3" t="s">
        <v>52</v>
      </c>
      <c r="H15" s="3" t="s">
        <v>30</v>
      </c>
      <c r="I15" s="3" t="s">
        <v>32</v>
      </c>
      <c r="J15" s="0" t="n">
        <v>1</v>
      </c>
      <c r="K15" s="0" t="n">
        <v>0</v>
      </c>
      <c r="L15" s="0" t="n">
        <v>0</v>
      </c>
      <c r="M15" s="0" t="n">
        <v>0</v>
      </c>
      <c r="N15" s="0" t="str">
        <f aca="false">IF(OR(NOT(OR(J15=0,J15=1)),NOT(OR(K15=0,K15=1)),NOT(OR(L15=0,L15=1)),NOT(OR(M15=0,M15=1)),NOT(OR(U15=0,U15=1))),"Yes","No")</f>
        <v>No</v>
      </c>
      <c r="O15" s="0" t="str">
        <f aca="false">IF(OR(AND(M15=1,L15=0),AND(L15=1,K15=0),AND(K15=1,J15=0)),"Yes","No")</f>
        <v>No</v>
      </c>
      <c r="P15" s="0" t="n">
        <v>0</v>
      </c>
      <c r="Q15" s="0" t="str">
        <f aca="false">IF(OR(AND(M15=0,P15&gt;0),AND(M15=1,P15&lt;=0)),"Yes","No")</f>
        <v>No</v>
      </c>
      <c r="R15" s="0" t="str">
        <f aca="false">IF(AND(M15=1,P15&gt;calc_helpers!$B$5),"Yes","No")</f>
        <v>No</v>
      </c>
      <c r="S15" s="0" t="n">
        <v>0</v>
      </c>
      <c r="T15" s="0" t="str">
        <f aca="false">IF(S15&gt;0,"Yes","No")</f>
        <v>No</v>
      </c>
      <c r="U15" s="0" t="n">
        <v>0</v>
      </c>
      <c r="W15" s="0" t="str">
        <f aca="false">IF(OR(AND(M15=1,ISBLANK(V15)),AND(M15=0,NOT(ISBLANK(V15)))),"Yes","No")</f>
        <v>No</v>
      </c>
      <c r="X15" s="0" t="n">
        <v>82.4</v>
      </c>
      <c r="Y15" s="3" t="s">
        <v>30</v>
      </c>
      <c r="Z15" s="0" t="str">
        <f aca="false">IF(M15=1,P15,"")</f>
        <v/>
      </c>
    </row>
    <row r="16" customFormat="false" ht="15" hidden="false" customHeight="false" outlineLevel="0" collapsed="false">
      <c r="A16" s="0" t="s">
        <v>57</v>
      </c>
      <c r="B16" s="2" t="n">
        <v>45807</v>
      </c>
      <c r="C16" s="3" t="s">
        <v>27</v>
      </c>
      <c r="D16" s="3" t="s">
        <v>43</v>
      </c>
      <c r="E16" s="3" t="s">
        <v>35</v>
      </c>
      <c r="F16" s="3" t="s">
        <v>30</v>
      </c>
      <c r="G16" s="3" t="s">
        <v>36</v>
      </c>
      <c r="H16" s="3" t="s">
        <v>30</v>
      </c>
      <c r="I16" s="3" t="s">
        <v>32</v>
      </c>
      <c r="J16" s="0" t="n">
        <v>0</v>
      </c>
      <c r="K16" s="0" t="n">
        <v>0</v>
      </c>
      <c r="L16" s="0" t="n">
        <v>0</v>
      </c>
      <c r="M16" s="0" t="n">
        <v>0</v>
      </c>
      <c r="N16" s="0" t="str">
        <f aca="false">IF(OR(NOT(OR(J16=0,J16=1)),NOT(OR(K16=0,K16=1)),NOT(OR(L16=0,L16=1)),NOT(OR(M16=0,M16=1)),NOT(OR(U16=0,U16=1))),"Yes","No")</f>
        <v>No</v>
      </c>
      <c r="O16" s="0" t="str">
        <f aca="false">IF(OR(AND(M16=1,L16=0),AND(L16=1,K16=0),AND(K16=1,J16=0)),"Yes","No")</f>
        <v>No</v>
      </c>
      <c r="P16" s="0" t="n">
        <v>0</v>
      </c>
      <c r="Q16" s="0" t="str">
        <f aca="false">IF(OR(AND(M16=0,P16&gt;0),AND(M16=1,P16&lt;=0)),"Yes","No")</f>
        <v>No</v>
      </c>
      <c r="R16" s="0" t="str">
        <f aca="false">IF(AND(M16=1,P16&gt;calc_helpers!$B$5),"Yes","No")</f>
        <v>No</v>
      </c>
      <c r="S16" s="0" t="n">
        <v>0</v>
      </c>
      <c r="T16" s="0" t="str">
        <f aca="false">IF(S16&gt;0,"Yes","No")</f>
        <v>No</v>
      </c>
      <c r="U16" s="0" t="n">
        <v>0</v>
      </c>
      <c r="W16" s="0" t="str">
        <f aca="false">IF(OR(AND(M16=1,ISBLANK(V16)),AND(M16=0,NOT(ISBLANK(V16)))),"Yes","No")</f>
        <v>No</v>
      </c>
      <c r="X16" s="0" t="n">
        <v>61.2</v>
      </c>
      <c r="Y16" s="3" t="s">
        <v>30</v>
      </c>
      <c r="Z16" s="0" t="str">
        <f aca="false">IF(M16=1,P16,"")</f>
        <v/>
      </c>
    </row>
    <row r="17" customFormat="false" ht="15" hidden="false" customHeight="false" outlineLevel="0" collapsed="false">
      <c r="A17" s="0" t="s">
        <v>58</v>
      </c>
      <c r="B17" s="2" t="n">
        <v>45741</v>
      </c>
      <c r="C17" s="3" t="s">
        <v>27</v>
      </c>
      <c r="D17" s="3" t="s">
        <v>43</v>
      </c>
      <c r="E17" s="3" t="s">
        <v>35</v>
      </c>
      <c r="F17" s="3" t="s">
        <v>30</v>
      </c>
      <c r="G17" s="3" t="s">
        <v>52</v>
      </c>
      <c r="H17" s="3" t="s">
        <v>30</v>
      </c>
      <c r="I17" s="3" t="s">
        <v>32</v>
      </c>
      <c r="J17" s="0" t="n">
        <v>1</v>
      </c>
      <c r="K17" s="0" t="n">
        <v>0</v>
      </c>
      <c r="L17" s="0" t="n">
        <v>0</v>
      </c>
      <c r="M17" s="0" t="n">
        <v>0</v>
      </c>
      <c r="N17" s="0" t="str">
        <f aca="false">IF(OR(NOT(OR(J17=0,J17=1)),NOT(OR(K17=0,K17=1)),NOT(OR(L17=0,L17=1)),NOT(OR(M17=0,M17=1)),NOT(OR(U17=0,U17=1))),"Yes","No")</f>
        <v>No</v>
      </c>
      <c r="O17" s="0" t="str">
        <f aca="false">IF(OR(AND(M17=1,L17=0),AND(L17=1,K17=0),AND(K17=1,J17=0)),"Yes","No")</f>
        <v>No</v>
      </c>
      <c r="P17" s="0" t="n">
        <v>0</v>
      </c>
      <c r="Q17" s="0" t="str">
        <f aca="false">IF(OR(AND(M17=0,P17&gt;0),AND(M17=1,P17&lt;=0)),"Yes","No")</f>
        <v>No</v>
      </c>
      <c r="R17" s="0" t="str">
        <f aca="false">IF(AND(M17=1,P17&gt;calc_helpers!$B$5),"Yes","No")</f>
        <v>No</v>
      </c>
      <c r="S17" s="0" t="n">
        <v>0</v>
      </c>
      <c r="T17" s="0" t="str">
        <f aca="false">IF(S17&gt;0,"Yes","No")</f>
        <v>No</v>
      </c>
      <c r="U17" s="0" t="n">
        <v>0</v>
      </c>
      <c r="W17" s="0" t="str">
        <f aca="false">IF(OR(AND(M17=1,ISBLANK(V17)),AND(M17=0,NOT(ISBLANK(V17)))),"Yes","No")</f>
        <v>No</v>
      </c>
      <c r="X17" s="0" t="n">
        <v>68.9</v>
      </c>
      <c r="Y17" s="3" t="s">
        <v>30</v>
      </c>
      <c r="Z17" s="0" t="str">
        <f aca="false">IF(M17=1,P17,"")</f>
        <v/>
      </c>
    </row>
    <row r="18" customFormat="false" ht="15" hidden="false" customHeight="false" outlineLevel="0" collapsed="false">
      <c r="A18" s="0" t="s">
        <v>59</v>
      </c>
      <c r="B18" s="2" t="n">
        <v>45743</v>
      </c>
      <c r="C18" s="3" t="s">
        <v>27</v>
      </c>
      <c r="D18" s="3" t="s">
        <v>39</v>
      </c>
      <c r="E18" s="3" t="s">
        <v>29</v>
      </c>
      <c r="F18" s="3" t="s">
        <v>30</v>
      </c>
      <c r="G18" s="3" t="s">
        <v>40</v>
      </c>
      <c r="H18" s="3" t="s">
        <v>30</v>
      </c>
      <c r="I18" s="3" t="s">
        <v>37</v>
      </c>
      <c r="J18" s="0" t="n">
        <v>1</v>
      </c>
      <c r="K18" s="0" t="n">
        <v>1</v>
      </c>
      <c r="L18" s="0" t="n">
        <v>1</v>
      </c>
      <c r="M18" s="0" t="n">
        <v>0</v>
      </c>
      <c r="N18" s="0" t="str">
        <f aca="false">IF(OR(NOT(OR(J18=0,J18=1)),NOT(OR(K18=0,K18=1)),NOT(OR(L18=0,L18=1)),NOT(OR(M18=0,M18=1)),NOT(OR(U18=0,U18=1))),"Yes","No")</f>
        <v>No</v>
      </c>
      <c r="O18" s="0" t="str">
        <f aca="false">IF(OR(AND(M18=1,L18=0),AND(L18=1,K18=0),AND(K18=1,J18=0)),"Yes","No")</f>
        <v>No</v>
      </c>
      <c r="P18" s="0" t="n">
        <v>0</v>
      </c>
      <c r="Q18" s="0" t="str">
        <f aca="false">IF(OR(AND(M18=0,P18&gt;0),AND(M18=1,P18&lt;=0)),"Yes","No")</f>
        <v>No</v>
      </c>
      <c r="R18" s="0" t="str">
        <f aca="false">IF(AND(M18=1,P18&gt;calc_helpers!$B$5),"Yes","No")</f>
        <v>No</v>
      </c>
      <c r="S18" s="0" t="n">
        <v>0</v>
      </c>
      <c r="T18" s="0" t="str">
        <f aca="false">IF(S18&gt;0,"Yes","No")</f>
        <v>No</v>
      </c>
      <c r="U18" s="0" t="n">
        <v>0</v>
      </c>
      <c r="W18" s="0" t="str">
        <f aca="false">IF(OR(AND(M18=1,ISBLANK(V18)),AND(M18=0,NOT(ISBLANK(V18)))),"Yes","No")</f>
        <v>No</v>
      </c>
      <c r="X18" s="0" t="n">
        <v>71.9</v>
      </c>
      <c r="Y18" s="3" t="s">
        <v>30</v>
      </c>
      <c r="Z18" s="0" t="str">
        <f aca="false">IF(M18=1,P18,"")</f>
        <v/>
      </c>
    </row>
    <row r="19" customFormat="false" ht="15" hidden="false" customHeight="false" outlineLevel="0" collapsed="false">
      <c r="A19" s="0" t="s">
        <v>60</v>
      </c>
      <c r="B19" s="2" t="n">
        <v>45805</v>
      </c>
      <c r="C19" s="3" t="s">
        <v>27</v>
      </c>
      <c r="D19" s="3" t="s">
        <v>43</v>
      </c>
      <c r="E19" s="3" t="s">
        <v>29</v>
      </c>
      <c r="F19" s="3" t="s">
        <v>30</v>
      </c>
      <c r="G19" s="3" t="s">
        <v>40</v>
      </c>
      <c r="H19" s="3" t="s">
        <v>30</v>
      </c>
      <c r="I19" s="3" t="s">
        <v>37</v>
      </c>
      <c r="J19" s="0" t="n">
        <v>0</v>
      </c>
      <c r="K19" s="0" t="n">
        <v>0</v>
      </c>
      <c r="L19" s="0" t="n">
        <v>0</v>
      </c>
      <c r="M19" s="0" t="n">
        <v>0</v>
      </c>
      <c r="N19" s="0" t="str">
        <f aca="false">IF(OR(NOT(OR(J19=0,J19=1)),NOT(OR(K19=0,K19=1)),NOT(OR(L19=0,L19=1)),NOT(OR(M19=0,M19=1)),NOT(OR(U19=0,U19=1))),"Yes","No")</f>
        <v>No</v>
      </c>
      <c r="O19" s="0" t="str">
        <f aca="false">IF(OR(AND(M19=1,L19=0),AND(L19=1,K19=0),AND(K19=1,J19=0)),"Yes","No")</f>
        <v>No</v>
      </c>
      <c r="P19" s="0" t="n">
        <v>0</v>
      </c>
      <c r="Q19" s="0" t="str">
        <f aca="false">IF(OR(AND(M19=0,P19&gt;0),AND(M19=1,P19&lt;=0)),"Yes","No")</f>
        <v>No</v>
      </c>
      <c r="R19" s="0" t="str">
        <f aca="false">IF(AND(M19=1,P19&gt;calc_helpers!$B$5),"Yes","No")</f>
        <v>No</v>
      </c>
      <c r="S19" s="0" t="n">
        <v>0</v>
      </c>
      <c r="T19" s="0" t="str">
        <f aca="false">IF(S19&gt;0,"Yes","No")</f>
        <v>No</v>
      </c>
      <c r="U19" s="0" t="n">
        <v>0</v>
      </c>
      <c r="W19" s="0" t="str">
        <f aca="false">IF(OR(AND(M19=1,ISBLANK(V19)),AND(M19=0,NOT(ISBLANK(V19)))),"Yes","No")</f>
        <v>No</v>
      </c>
      <c r="X19" s="0" t="n">
        <v>50.5</v>
      </c>
      <c r="Y19" s="3" t="s">
        <v>30</v>
      </c>
      <c r="Z19" s="0" t="str">
        <f aca="false">IF(M19=1,P19,"")</f>
        <v/>
      </c>
    </row>
    <row r="20" customFormat="false" ht="15" hidden="false" customHeight="false" outlineLevel="0" collapsed="false">
      <c r="A20" s="0" t="s">
        <v>61</v>
      </c>
      <c r="B20" s="2" t="n">
        <v>45703</v>
      </c>
      <c r="C20" s="3" t="s">
        <v>27</v>
      </c>
      <c r="D20" s="3" t="s">
        <v>28</v>
      </c>
      <c r="E20" s="3" t="s">
        <v>29</v>
      </c>
      <c r="F20" s="3" t="s">
        <v>30</v>
      </c>
      <c r="G20" s="3" t="s">
        <v>40</v>
      </c>
      <c r="H20" s="3" t="s">
        <v>30</v>
      </c>
      <c r="I20" s="3" t="s">
        <v>32</v>
      </c>
      <c r="J20" s="0" t="n">
        <v>0</v>
      </c>
      <c r="K20" s="0" t="n">
        <v>0</v>
      </c>
      <c r="L20" s="0" t="n">
        <v>0</v>
      </c>
      <c r="M20" s="0" t="n">
        <v>0</v>
      </c>
      <c r="N20" s="0" t="str">
        <f aca="false">IF(OR(NOT(OR(J20=0,J20=1)),NOT(OR(K20=0,K20=1)),NOT(OR(L20=0,L20=1)),NOT(OR(M20=0,M20=1)),NOT(OR(U20=0,U20=1))),"Yes","No")</f>
        <v>No</v>
      </c>
      <c r="O20" s="0" t="str">
        <f aca="false">IF(OR(AND(M20=1,L20=0),AND(L20=1,K20=0),AND(K20=1,J20=0)),"Yes","No")</f>
        <v>No</v>
      </c>
      <c r="P20" s="0" t="n">
        <v>0</v>
      </c>
      <c r="Q20" s="0" t="str">
        <f aca="false">IF(OR(AND(M20=0,P20&gt;0),AND(M20=1,P20&lt;=0)),"Yes","No")</f>
        <v>No</v>
      </c>
      <c r="R20" s="0" t="str">
        <f aca="false">IF(AND(M20=1,P20&gt;calc_helpers!$B$5),"Yes","No")</f>
        <v>No</v>
      </c>
      <c r="S20" s="0" t="n">
        <v>0</v>
      </c>
      <c r="T20" s="0" t="str">
        <f aca="false">IF(S20&gt;0,"Yes","No")</f>
        <v>No</v>
      </c>
      <c r="U20" s="0" t="n">
        <v>0</v>
      </c>
      <c r="W20" s="0" t="str">
        <f aca="false">IF(OR(AND(M20=1,ISBLANK(V20)),AND(M20=0,NOT(ISBLANK(V20)))),"Yes","No")</f>
        <v>No</v>
      </c>
      <c r="X20" s="0" t="n">
        <v>49.3</v>
      </c>
      <c r="Y20" s="3" t="s">
        <v>30</v>
      </c>
      <c r="Z20" s="0" t="str">
        <f aca="false">IF(M20=1,P20,"")</f>
        <v/>
      </c>
    </row>
    <row r="21" customFormat="false" ht="15" hidden="false" customHeight="false" outlineLevel="0" collapsed="false">
      <c r="A21" s="0" t="s">
        <v>62</v>
      </c>
      <c r="B21" s="2" t="n">
        <v>45782</v>
      </c>
      <c r="C21" s="3" t="s">
        <v>27</v>
      </c>
      <c r="D21" s="3" t="s">
        <v>34</v>
      </c>
      <c r="E21" s="3" t="s">
        <v>29</v>
      </c>
      <c r="F21" s="3" t="s">
        <v>30</v>
      </c>
      <c r="G21" s="3" t="s">
        <v>36</v>
      </c>
      <c r="H21" s="3" t="s">
        <v>30</v>
      </c>
      <c r="I21" s="3" t="s">
        <v>32</v>
      </c>
      <c r="J21" s="0" t="n">
        <v>0</v>
      </c>
      <c r="K21" s="0" t="n">
        <v>0</v>
      </c>
      <c r="L21" s="0" t="n">
        <v>0</v>
      </c>
      <c r="M21" s="0" t="n">
        <v>0</v>
      </c>
      <c r="N21" s="0" t="str">
        <f aca="false">IF(OR(NOT(OR(J21=0,J21=1)),NOT(OR(K21=0,K21=1)),NOT(OR(L21=0,L21=1)),NOT(OR(M21=0,M21=1)),NOT(OR(U21=0,U21=1))),"Yes","No")</f>
        <v>No</v>
      </c>
      <c r="O21" s="0" t="str">
        <f aca="false">IF(OR(AND(M21=1,L21=0),AND(L21=1,K21=0),AND(K21=1,J21=0)),"Yes","No")</f>
        <v>No</v>
      </c>
      <c r="P21" s="0" t="n">
        <v>0</v>
      </c>
      <c r="Q21" s="0" t="str">
        <f aca="false">IF(OR(AND(M21=0,P21&gt;0),AND(M21=1,P21&lt;=0)),"Yes","No")</f>
        <v>No</v>
      </c>
      <c r="R21" s="0" t="str">
        <f aca="false">IF(AND(M21=1,P21&gt;calc_helpers!$B$5),"Yes","No")</f>
        <v>No</v>
      </c>
      <c r="S21" s="0" t="n">
        <v>2</v>
      </c>
      <c r="T21" s="0" t="str">
        <f aca="false">IF(S21&gt;0,"Yes","No")</f>
        <v>Yes</v>
      </c>
      <c r="U21" s="0" t="n">
        <v>0</v>
      </c>
      <c r="W21" s="0" t="str">
        <f aca="false">IF(OR(AND(M21=1,ISBLANK(V21)),AND(M21=0,NOT(ISBLANK(V21)))),"Yes","No")</f>
        <v>No</v>
      </c>
      <c r="X21" s="0" t="n">
        <v>60.9</v>
      </c>
      <c r="Y21" s="3" t="s">
        <v>30</v>
      </c>
      <c r="Z21" s="0" t="str">
        <f aca="false">IF(M21=1,P21,"")</f>
        <v/>
      </c>
    </row>
    <row r="22" customFormat="false" ht="15" hidden="false" customHeight="false" outlineLevel="0" collapsed="false">
      <c r="A22" s="0" t="s">
        <v>63</v>
      </c>
      <c r="B22" s="2" t="n">
        <v>45760</v>
      </c>
      <c r="C22" s="3" t="s">
        <v>27</v>
      </c>
      <c r="D22" s="3" t="s">
        <v>39</v>
      </c>
      <c r="E22" s="3" t="s">
        <v>35</v>
      </c>
      <c r="F22" s="3" t="s">
        <v>30</v>
      </c>
      <c r="G22" s="3" t="s">
        <v>52</v>
      </c>
      <c r="H22" s="3" t="s">
        <v>30</v>
      </c>
      <c r="I22" s="3" t="s">
        <v>37</v>
      </c>
      <c r="J22" s="0" t="n">
        <v>1</v>
      </c>
      <c r="K22" s="0" t="n">
        <v>0</v>
      </c>
      <c r="L22" s="0" t="n">
        <v>0</v>
      </c>
      <c r="M22" s="0" t="n">
        <v>0</v>
      </c>
      <c r="N22" s="0" t="str">
        <f aca="false">IF(OR(NOT(OR(J22=0,J22=1)),NOT(OR(K22=0,K22=1)),NOT(OR(L22=0,L22=1)),NOT(OR(M22=0,M22=1)),NOT(OR(U22=0,U22=1))),"Yes","No")</f>
        <v>No</v>
      </c>
      <c r="O22" s="0" t="str">
        <f aca="false">IF(OR(AND(M22=1,L22=0),AND(L22=1,K22=0),AND(K22=1,J22=0)),"Yes","No")</f>
        <v>No</v>
      </c>
      <c r="P22" s="0" t="n">
        <v>0</v>
      </c>
      <c r="Q22" s="0" t="str">
        <f aca="false">IF(OR(AND(M22=0,P22&gt;0),AND(M22=1,P22&lt;=0)),"Yes","No")</f>
        <v>No</v>
      </c>
      <c r="R22" s="0" t="str">
        <f aca="false">IF(AND(M22=1,P22&gt;calc_helpers!$B$5),"Yes","No")</f>
        <v>No</v>
      </c>
      <c r="S22" s="0" t="n">
        <v>0</v>
      </c>
      <c r="T22" s="0" t="str">
        <f aca="false">IF(S22&gt;0,"Yes","No")</f>
        <v>No</v>
      </c>
      <c r="U22" s="0" t="n">
        <v>0</v>
      </c>
      <c r="W22" s="0" t="str">
        <f aca="false">IF(OR(AND(M22=1,ISBLANK(V22)),AND(M22=0,NOT(ISBLANK(V22)))),"Yes","No")</f>
        <v>No</v>
      </c>
      <c r="X22" s="0" t="n">
        <v>62.7</v>
      </c>
      <c r="Y22" s="3" t="s">
        <v>30</v>
      </c>
      <c r="Z22" s="0" t="str">
        <f aca="false">IF(M22=1,P22,"")</f>
        <v/>
      </c>
    </row>
    <row r="23" customFormat="false" ht="15" hidden="false" customHeight="false" outlineLevel="0" collapsed="false">
      <c r="A23" s="0" t="s">
        <v>64</v>
      </c>
      <c r="B23" s="2" t="n">
        <v>45784</v>
      </c>
      <c r="C23" s="3" t="s">
        <v>27</v>
      </c>
      <c r="D23" s="3" t="s">
        <v>28</v>
      </c>
      <c r="E23" s="3" t="s">
        <v>29</v>
      </c>
      <c r="F23" s="3" t="s">
        <v>30</v>
      </c>
      <c r="G23" s="3" t="s">
        <v>40</v>
      </c>
      <c r="H23" s="3" t="s">
        <v>30</v>
      </c>
      <c r="I23" s="3" t="s">
        <v>37</v>
      </c>
      <c r="J23" s="0" t="n">
        <v>0</v>
      </c>
      <c r="K23" s="0" t="n">
        <v>0</v>
      </c>
      <c r="L23" s="0" t="n">
        <v>0</v>
      </c>
      <c r="M23" s="0" t="n">
        <v>0</v>
      </c>
      <c r="N23" s="0" t="str">
        <f aca="false">IF(OR(NOT(OR(J23=0,J23=1)),NOT(OR(K23=0,K23=1)),NOT(OR(L23=0,L23=1)),NOT(OR(M23=0,M23=1)),NOT(OR(U23=0,U23=1))),"Yes","No")</f>
        <v>No</v>
      </c>
      <c r="O23" s="0" t="str">
        <f aca="false">IF(OR(AND(M23=1,L23=0),AND(L23=1,K23=0),AND(K23=1,J23=0)),"Yes","No")</f>
        <v>No</v>
      </c>
      <c r="P23" s="0" t="n">
        <v>0</v>
      </c>
      <c r="Q23" s="0" t="str">
        <f aca="false">IF(OR(AND(M23=0,P23&gt;0),AND(M23=1,P23&lt;=0)),"Yes","No")</f>
        <v>No</v>
      </c>
      <c r="R23" s="0" t="str">
        <f aca="false">IF(AND(M23=1,P23&gt;calc_helpers!$B$5),"Yes","No")</f>
        <v>No</v>
      </c>
      <c r="S23" s="0" t="n">
        <v>0</v>
      </c>
      <c r="T23" s="0" t="str">
        <f aca="false">IF(S23&gt;0,"Yes","No")</f>
        <v>No</v>
      </c>
      <c r="U23" s="0" t="n">
        <v>0</v>
      </c>
      <c r="W23" s="0" t="str">
        <f aca="false">IF(OR(AND(M23=1,ISBLANK(V23)),AND(M23=0,NOT(ISBLANK(V23)))),"Yes","No")</f>
        <v>No</v>
      </c>
      <c r="X23" s="0" t="n">
        <v>52.7</v>
      </c>
      <c r="Y23" s="3" t="s">
        <v>30</v>
      </c>
      <c r="Z23" s="0" t="str">
        <f aca="false">IF(M23=1,P23,"")</f>
        <v/>
      </c>
    </row>
    <row r="24" customFormat="false" ht="15" hidden="false" customHeight="false" outlineLevel="0" collapsed="false">
      <c r="A24" s="0" t="s">
        <v>65</v>
      </c>
      <c r="B24" s="2" t="n">
        <v>45802</v>
      </c>
      <c r="C24" s="3" t="s">
        <v>27</v>
      </c>
      <c r="D24" s="3" t="s">
        <v>28</v>
      </c>
      <c r="E24" s="3" t="s">
        <v>29</v>
      </c>
      <c r="F24" s="3" t="s">
        <v>30</v>
      </c>
      <c r="G24" s="3" t="s">
        <v>36</v>
      </c>
      <c r="H24" s="3" t="s">
        <v>30</v>
      </c>
      <c r="I24" s="3" t="s">
        <v>37</v>
      </c>
      <c r="J24" s="0" t="n">
        <v>0</v>
      </c>
      <c r="K24" s="0" t="n">
        <v>0</v>
      </c>
      <c r="L24" s="0" t="n">
        <v>0</v>
      </c>
      <c r="M24" s="0" t="n">
        <v>0</v>
      </c>
      <c r="N24" s="0" t="str">
        <f aca="false">IF(OR(NOT(OR(J24=0,J24=1)),NOT(OR(K24=0,K24=1)),NOT(OR(L24=0,L24=1)),NOT(OR(M24=0,M24=1)),NOT(OR(U24=0,U24=1))),"Yes","No")</f>
        <v>No</v>
      </c>
      <c r="O24" s="0" t="str">
        <f aca="false">IF(OR(AND(M24=1,L24=0),AND(L24=1,K24=0),AND(K24=1,J24=0)),"Yes","No")</f>
        <v>No</v>
      </c>
      <c r="P24" s="0" t="n">
        <v>0</v>
      </c>
      <c r="Q24" s="0" t="str">
        <f aca="false">IF(OR(AND(M24=0,P24&gt;0),AND(M24=1,P24&lt;=0)),"Yes","No")</f>
        <v>No</v>
      </c>
      <c r="R24" s="0" t="str">
        <f aca="false">IF(AND(M24=1,P24&gt;calc_helpers!$B$5),"Yes","No")</f>
        <v>No</v>
      </c>
      <c r="S24" s="0" t="n">
        <v>0</v>
      </c>
      <c r="T24" s="0" t="str">
        <f aca="false">IF(S24&gt;0,"Yes","No")</f>
        <v>No</v>
      </c>
      <c r="U24" s="0" t="n">
        <v>0</v>
      </c>
      <c r="W24" s="0" t="str">
        <f aca="false">IF(OR(AND(M24=1,ISBLANK(V24)),AND(M24=0,NOT(ISBLANK(V24)))),"Yes","No")</f>
        <v>No</v>
      </c>
      <c r="X24" s="0" t="n">
        <v>54</v>
      </c>
      <c r="Y24" s="3" t="s">
        <v>30</v>
      </c>
      <c r="Z24" s="0" t="str">
        <f aca="false">IF(M24=1,P24,"")</f>
        <v/>
      </c>
    </row>
    <row r="25" customFormat="false" ht="15" hidden="false" customHeight="false" outlineLevel="0" collapsed="false">
      <c r="A25" s="0" t="s">
        <v>66</v>
      </c>
      <c r="B25" s="2" t="n">
        <v>45748</v>
      </c>
      <c r="C25" s="3" t="s">
        <v>27</v>
      </c>
      <c r="D25" s="3" t="s">
        <v>39</v>
      </c>
      <c r="E25" s="3" t="s">
        <v>35</v>
      </c>
      <c r="F25" s="3" t="s">
        <v>30</v>
      </c>
      <c r="G25" s="3" t="s">
        <v>40</v>
      </c>
      <c r="H25" s="3" t="s">
        <v>30</v>
      </c>
      <c r="I25" s="3" t="s">
        <v>41</v>
      </c>
      <c r="J25" s="0" t="n">
        <v>1</v>
      </c>
      <c r="K25" s="0" t="n">
        <v>1</v>
      </c>
      <c r="L25" s="0" t="n">
        <v>0</v>
      </c>
      <c r="M25" s="0" t="n">
        <v>0</v>
      </c>
      <c r="N25" s="0" t="str">
        <f aca="false">IF(OR(NOT(OR(J25=0,J25=1)),NOT(OR(K25=0,K25=1)),NOT(OR(L25=0,L25=1)),NOT(OR(M25=0,M25=1)),NOT(OR(U25=0,U25=1))),"Yes","No")</f>
        <v>No</v>
      </c>
      <c r="O25" s="0" t="str">
        <f aca="false">IF(OR(AND(M25=1,L25=0),AND(L25=1,K25=0),AND(K25=1,J25=0)),"Yes","No")</f>
        <v>No</v>
      </c>
      <c r="P25" s="0" t="n">
        <v>0</v>
      </c>
      <c r="Q25" s="0" t="str">
        <f aca="false">IF(OR(AND(M25=0,P25&gt;0),AND(M25=1,P25&lt;=0)),"Yes","No")</f>
        <v>No</v>
      </c>
      <c r="R25" s="0" t="str">
        <f aca="false">IF(AND(M25=1,P25&gt;calc_helpers!$B$5),"Yes","No")</f>
        <v>No</v>
      </c>
      <c r="S25" s="0" t="n">
        <v>0</v>
      </c>
      <c r="T25" s="0" t="str">
        <f aca="false">IF(S25&gt;0,"Yes","No")</f>
        <v>No</v>
      </c>
      <c r="U25" s="0" t="n">
        <v>0</v>
      </c>
      <c r="W25" s="0" t="str">
        <f aca="false">IF(OR(AND(M25=1,ISBLANK(V25)),AND(M25=0,NOT(ISBLANK(V25)))),"Yes","No")</f>
        <v>No</v>
      </c>
      <c r="X25" s="0" t="n">
        <v>51.6</v>
      </c>
      <c r="Y25" s="3" t="s">
        <v>30</v>
      </c>
      <c r="Z25" s="0" t="str">
        <f aca="false">IF(M25=1,P25,"")</f>
        <v/>
      </c>
    </row>
    <row r="26" customFormat="false" ht="15" hidden="false" customHeight="false" outlineLevel="0" collapsed="false">
      <c r="A26" s="0" t="s">
        <v>67</v>
      </c>
      <c r="B26" s="2" t="n">
        <v>45710</v>
      </c>
      <c r="C26" s="3" t="s">
        <v>27</v>
      </c>
      <c r="D26" s="3" t="s">
        <v>28</v>
      </c>
      <c r="E26" s="3" t="s">
        <v>35</v>
      </c>
      <c r="F26" s="3" t="s">
        <v>30</v>
      </c>
      <c r="G26" s="3" t="s">
        <v>40</v>
      </c>
      <c r="H26" s="3" t="s">
        <v>30</v>
      </c>
      <c r="I26" s="3" t="s">
        <v>41</v>
      </c>
      <c r="J26" s="0" t="n">
        <v>0</v>
      </c>
      <c r="K26" s="0" t="n">
        <v>0</v>
      </c>
      <c r="L26" s="0" t="n">
        <v>0</v>
      </c>
      <c r="M26" s="0" t="n">
        <v>0</v>
      </c>
      <c r="N26" s="0" t="str">
        <f aca="false">IF(OR(NOT(OR(J26=0,J26=1)),NOT(OR(K26=0,K26=1)),NOT(OR(L26=0,L26=1)),NOT(OR(M26=0,M26=1)),NOT(OR(U26=0,U26=1))),"Yes","No")</f>
        <v>No</v>
      </c>
      <c r="O26" s="0" t="str">
        <f aca="false">IF(OR(AND(M26=1,L26=0),AND(L26=1,K26=0),AND(K26=1,J26=0)),"Yes","No")</f>
        <v>No</v>
      </c>
      <c r="P26" s="0" t="n">
        <v>0</v>
      </c>
      <c r="Q26" s="0" t="str">
        <f aca="false">IF(OR(AND(M26=0,P26&gt;0),AND(M26=1,P26&lt;=0)),"Yes","No")</f>
        <v>No</v>
      </c>
      <c r="R26" s="0" t="str">
        <f aca="false">IF(AND(M26=1,P26&gt;calc_helpers!$B$5),"Yes","No")</f>
        <v>No</v>
      </c>
      <c r="S26" s="0" t="n">
        <v>2</v>
      </c>
      <c r="T26" s="0" t="str">
        <f aca="false">IF(S26&gt;0,"Yes","No")</f>
        <v>Yes</v>
      </c>
      <c r="U26" s="0" t="n">
        <v>0</v>
      </c>
      <c r="W26" s="0" t="str">
        <f aca="false">IF(OR(AND(M26=1,ISBLANK(V26)),AND(M26=0,NOT(ISBLANK(V26)))),"Yes","No")</f>
        <v>No</v>
      </c>
      <c r="X26" s="0" t="n">
        <v>66.9</v>
      </c>
      <c r="Y26" s="3" t="s">
        <v>30</v>
      </c>
      <c r="Z26" s="0" t="str">
        <f aca="false">IF(M26=1,P26,"")</f>
        <v/>
      </c>
    </row>
    <row r="27" customFormat="false" ht="15" hidden="false" customHeight="false" outlineLevel="0" collapsed="false">
      <c r="A27" s="0" t="s">
        <v>68</v>
      </c>
      <c r="B27" s="2" t="n">
        <v>45740</v>
      </c>
      <c r="C27" s="3" t="s">
        <v>27</v>
      </c>
      <c r="D27" s="3" t="s">
        <v>39</v>
      </c>
      <c r="E27" s="3" t="s">
        <v>35</v>
      </c>
      <c r="F27" s="3" t="s">
        <v>30</v>
      </c>
      <c r="G27" s="3" t="s">
        <v>36</v>
      </c>
      <c r="H27" s="3" t="s">
        <v>30</v>
      </c>
      <c r="I27" s="3" t="s">
        <v>32</v>
      </c>
      <c r="J27" s="0" t="n">
        <v>0</v>
      </c>
      <c r="K27" s="0" t="n">
        <v>0</v>
      </c>
      <c r="L27" s="0" t="n">
        <v>0</v>
      </c>
      <c r="M27" s="0" t="n">
        <v>0</v>
      </c>
      <c r="N27" s="0" t="str">
        <f aca="false">IF(OR(NOT(OR(J27=0,J27=1)),NOT(OR(K27=0,K27=1)),NOT(OR(L27=0,L27=1)),NOT(OR(M27=0,M27=1)),NOT(OR(U27=0,U27=1))),"Yes","No")</f>
        <v>No</v>
      </c>
      <c r="O27" s="0" t="str">
        <f aca="false">IF(OR(AND(M27=1,L27=0),AND(L27=1,K27=0),AND(K27=1,J27=0)),"Yes","No")</f>
        <v>No</v>
      </c>
      <c r="P27" s="0" t="n">
        <v>0</v>
      </c>
      <c r="Q27" s="0" t="str">
        <f aca="false">IF(OR(AND(M27=0,P27&gt;0),AND(M27=1,P27&lt;=0)),"Yes","No")</f>
        <v>No</v>
      </c>
      <c r="R27" s="0" t="str">
        <f aca="false">IF(AND(M27=1,P27&gt;calc_helpers!$B$5),"Yes","No")</f>
        <v>No</v>
      </c>
      <c r="S27" s="0" t="n">
        <v>0</v>
      </c>
      <c r="T27" s="0" t="str">
        <f aca="false">IF(S27&gt;0,"Yes","No")</f>
        <v>No</v>
      </c>
      <c r="U27" s="0" t="n">
        <v>0</v>
      </c>
      <c r="W27" s="0" t="str">
        <f aca="false">IF(OR(AND(M27=1,ISBLANK(V27)),AND(M27=0,NOT(ISBLANK(V27)))),"Yes","No")</f>
        <v>No</v>
      </c>
      <c r="X27" s="0" t="n">
        <v>67.4</v>
      </c>
      <c r="Y27" s="3" t="s">
        <v>30</v>
      </c>
      <c r="Z27" s="0" t="str">
        <f aca="false">IF(M27=1,P27,"")</f>
        <v/>
      </c>
    </row>
    <row r="28" customFormat="false" ht="15" hidden="false" customHeight="false" outlineLevel="0" collapsed="false">
      <c r="A28" s="0" t="s">
        <v>69</v>
      </c>
      <c r="B28" s="2" t="n">
        <v>45701</v>
      </c>
      <c r="C28" s="3" t="s">
        <v>27</v>
      </c>
      <c r="D28" s="3" t="s">
        <v>28</v>
      </c>
      <c r="E28" s="3" t="s">
        <v>35</v>
      </c>
      <c r="F28" s="3" t="s">
        <v>30</v>
      </c>
      <c r="G28" s="3" t="s">
        <v>36</v>
      </c>
      <c r="H28" s="3" t="s">
        <v>30</v>
      </c>
      <c r="I28" s="3" t="s">
        <v>37</v>
      </c>
      <c r="J28" s="0" t="n">
        <v>0</v>
      </c>
      <c r="K28" s="0" t="n">
        <v>0</v>
      </c>
      <c r="L28" s="0" t="n">
        <v>0</v>
      </c>
      <c r="M28" s="0" t="n">
        <v>0</v>
      </c>
      <c r="N28" s="0" t="str">
        <f aca="false">IF(OR(NOT(OR(J28=0,J28=1)),NOT(OR(K28=0,K28=1)),NOT(OR(L28=0,L28=1)),NOT(OR(M28=0,M28=1)),NOT(OR(U28=0,U28=1))),"Yes","No")</f>
        <v>No</v>
      </c>
      <c r="O28" s="0" t="str">
        <f aca="false">IF(OR(AND(M28=1,L28=0),AND(L28=1,K28=0),AND(K28=1,J28=0)),"Yes","No")</f>
        <v>No</v>
      </c>
      <c r="P28" s="0" t="n">
        <v>0</v>
      </c>
      <c r="Q28" s="0" t="str">
        <f aca="false">IF(OR(AND(M28=0,P28&gt;0),AND(M28=1,P28&lt;=0)),"Yes","No")</f>
        <v>No</v>
      </c>
      <c r="R28" s="0" t="str">
        <f aca="false">IF(AND(M28=1,P28&gt;calc_helpers!$B$5),"Yes","No")</f>
        <v>No</v>
      </c>
      <c r="S28" s="0" t="n">
        <v>0</v>
      </c>
      <c r="T28" s="0" t="str">
        <f aca="false">IF(S28&gt;0,"Yes","No")</f>
        <v>No</v>
      </c>
      <c r="U28" s="0" t="n">
        <v>0</v>
      </c>
      <c r="W28" s="0" t="str">
        <f aca="false">IF(OR(AND(M28=1,ISBLANK(V28)),AND(M28=0,NOT(ISBLANK(V28)))),"Yes","No")</f>
        <v>No</v>
      </c>
      <c r="X28" s="0" t="n">
        <v>58.8</v>
      </c>
      <c r="Y28" s="3" t="s">
        <v>30</v>
      </c>
      <c r="Z28" s="0" t="str">
        <f aca="false">IF(M28=1,P28,"")</f>
        <v/>
      </c>
    </row>
    <row r="29" customFormat="false" ht="15" hidden="false" customHeight="false" outlineLevel="0" collapsed="false">
      <c r="A29" s="0" t="s">
        <v>70</v>
      </c>
      <c r="B29" s="2" t="n">
        <v>45807</v>
      </c>
      <c r="C29" s="3" t="s">
        <v>27</v>
      </c>
      <c r="D29" s="3" t="s">
        <v>43</v>
      </c>
      <c r="E29" s="3" t="s">
        <v>35</v>
      </c>
      <c r="F29" s="3" t="s">
        <v>30</v>
      </c>
      <c r="G29" s="3" t="s">
        <v>36</v>
      </c>
      <c r="H29" s="3" t="s">
        <v>30</v>
      </c>
      <c r="I29" s="3" t="s">
        <v>37</v>
      </c>
      <c r="J29" s="0" t="n">
        <v>1</v>
      </c>
      <c r="K29" s="0" t="n">
        <v>0</v>
      </c>
      <c r="L29" s="0" t="n">
        <v>0</v>
      </c>
      <c r="M29" s="0" t="n">
        <v>0</v>
      </c>
      <c r="N29" s="0" t="str">
        <f aca="false">IF(OR(NOT(OR(J29=0,J29=1)),NOT(OR(K29=0,K29=1)),NOT(OR(L29=0,L29=1)),NOT(OR(M29=0,M29=1)),NOT(OR(U29=0,U29=1))),"Yes","No")</f>
        <v>No</v>
      </c>
      <c r="O29" s="0" t="str">
        <f aca="false">IF(OR(AND(M29=1,L29=0),AND(L29=1,K29=0),AND(K29=1,J29=0)),"Yes","No")</f>
        <v>No</v>
      </c>
      <c r="P29" s="0" t="n">
        <v>0</v>
      </c>
      <c r="Q29" s="0" t="str">
        <f aca="false">IF(OR(AND(M29=0,P29&gt;0),AND(M29=1,P29&lt;=0)),"Yes","No")</f>
        <v>No</v>
      </c>
      <c r="R29" s="0" t="str">
        <f aca="false">IF(AND(M29=1,P29&gt;calc_helpers!$B$5),"Yes","No")</f>
        <v>No</v>
      </c>
      <c r="S29" s="0" t="n">
        <v>0</v>
      </c>
      <c r="T29" s="0" t="str">
        <f aca="false">IF(S29&gt;0,"Yes","No")</f>
        <v>No</v>
      </c>
      <c r="U29" s="0" t="n">
        <v>0</v>
      </c>
      <c r="W29" s="0" t="str">
        <f aca="false">IF(OR(AND(M29=1,ISBLANK(V29)),AND(M29=0,NOT(ISBLANK(V29)))),"Yes","No")</f>
        <v>No</v>
      </c>
      <c r="X29" s="0" t="n">
        <v>73.8</v>
      </c>
      <c r="Y29" s="3" t="s">
        <v>30</v>
      </c>
      <c r="Z29" s="0" t="str">
        <f aca="false">IF(M29=1,P29,"")</f>
        <v/>
      </c>
    </row>
    <row r="30" customFormat="false" ht="15" hidden="false" customHeight="false" outlineLevel="0" collapsed="false">
      <c r="A30" s="0" t="s">
        <v>71</v>
      </c>
      <c r="B30" s="2" t="n">
        <v>45677</v>
      </c>
      <c r="C30" s="3" t="s">
        <v>27</v>
      </c>
      <c r="D30" s="3" t="s">
        <v>39</v>
      </c>
      <c r="E30" s="3" t="s">
        <v>45</v>
      </c>
      <c r="F30" s="3" t="s">
        <v>30</v>
      </c>
      <c r="G30" s="3" t="s">
        <v>36</v>
      </c>
      <c r="H30" s="3" t="s">
        <v>30</v>
      </c>
      <c r="I30" s="3" t="s">
        <v>32</v>
      </c>
      <c r="J30" s="0" t="n">
        <v>0</v>
      </c>
      <c r="K30" s="0" t="n">
        <v>0</v>
      </c>
      <c r="L30" s="0" t="n">
        <v>0</v>
      </c>
      <c r="M30" s="0" t="n">
        <v>0</v>
      </c>
      <c r="N30" s="0" t="str">
        <f aca="false">IF(OR(NOT(OR(J30=0,J30=1)),NOT(OR(K30=0,K30=1)),NOT(OR(L30=0,L30=1)),NOT(OR(M30=0,M30=1)),NOT(OR(U30=0,U30=1))),"Yes","No")</f>
        <v>No</v>
      </c>
      <c r="O30" s="0" t="str">
        <f aca="false">IF(OR(AND(M30=1,L30=0),AND(L30=1,K30=0),AND(K30=1,J30=0)),"Yes","No")</f>
        <v>No</v>
      </c>
      <c r="P30" s="0" t="n">
        <v>0</v>
      </c>
      <c r="Q30" s="0" t="str">
        <f aca="false">IF(OR(AND(M30=0,P30&gt;0),AND(M30=1,P30&lt;=0)),"Yes","No")</f>
        <v>No</v>
      </c>
      <c r="R30" s="0" t="str">
        <f aca="false">IF(AND(M30=1,P30&gt;calc_helpers!$B$5),"Yes","No")</f>
        <v>No</v>
      </c>
      <c r="S30" s="0" t="n">
        <v>0</v>
      </c>
      <c r="T30" s="0" t="str">
        <f aca="false">IF(S30&gt;0,"Yes","No")</f>
        <v>No</v>
      </c>
      <c r="U30" s="0" t="n">
        <v>0</v>
      </c>
      <c r="W30" s="0" t="str">
        <f aca="false">IF(OR(AND(M30=1,ISBLANK(V30)),AND(M30=0,NOT(ISBLANK(V30)))),"Yes","No")</f>
        <v>No</v>
      </c>
      <c r="X30" s="0" t="n">
        <v>60.1</v>
      </c>
      <c r="Y30" s="3" t="s">
        <v>30</v>
      </c>
      <c r="Z30" s="0" t="str">
        <f aca="false">IF(M30=1,P30,"")</f>
        <v/>
      </c>
    </row>
    <row r="31" customFormat="false" ht="15" hidden="false" customHeight="false" outlineLevel="0" collapsed="false">
      <c r="A31" s="0" t="s">
        <v>72</v>
      </c>
      <c r="B31" s="2" t="n">
        <v>45796</v>
      </c>
      <c r="C31" s="3" t="s">
        <v>27</v>
      </c>
      <c r="D31" s="3" t="s">
        <v>39</v>
      </c>
      <c r="E31" s="3" t="s">
        <v>35</v>
      </c>
      <c r="F31" s="3" t="s">
        <v>30</v>
      </c>
      <c r="G31" s="3" t="s">
        <v>52</v>
      </c>
      <c r="H31" s="3" t="s">
        <v>30</v>
      </c>
      <c r="I31" s="3" t="s">
        <v>32</v>
      </c>
      <c r="J31" s="0" t="n">
        <v>1</v>
      </c>
      <c r="K31" s="0" t="n">
        <v>1</v>
      </c>
      <c r="L31" s="0" t="n">
        <v>1</v>
      </c>
      <c r="M31" s="0" t="n">
        <v>0</v>
      </c>
      <c r="N31" s="0" t="str">
        <f aca="false">IF(OR(NOT(OR(J31=0,J31=1)),NOT(OR(K31=0,K31=1)),NOT(OR(L31=0,L31=1)),NOT(OR(M31=0,M31=1)),NOT(OR(U31=0,U31=1))),"Yes","No")</f>
        <v>No</v>
      </c>
      <c r="O31" s="0" t="str">
        <f aca="false">IF(OR(AND(M31=1,L31=0),AND(L31=1,K31=0),AND(K31=1,J31=0)),"Yes","No")</f>
        <v>No</v>
      </c>
      <c r="P31" s="0" t="n">
        <v>0</v>
      </c>
      <c r="Q31" s="0" t="str">
        <f aca="false">IF(OR(AND(M31=0,P31&gt;0),AND(M31=1,P31&lt;=0)),"Yes","No")</f>
        <v>No</v>
      </c>
      <c r="R31" s="0" t="str">
        <f aca="false">IF(AND(M31=1,P31&gt;calc_helpers!$B$5),"Yes","No")</f>
        <v>No</v>
      </c>
      <c r="S31" s="0" t="n">
        <v>0</v>
      </c>
      <c r="T31" s="0" t="str">
        <f aca="false">IF(S31&gt;0,"Yes","No")</f>
        <v>No</v>
      </c>
      <c r="U31" s="0" t="n">
        <v>0</v>
      </c>
      <c r="W31" s="0" t="str">
        <f aca="false">IF(OR(AND(M31=1,ISBLANK(V31)),AND(M31=0,NOT(ISBLANK(V31)))),"Yes","No")</f>
        <v>No</v>
      </c>
      <c r="X31" s="0" t="n">
        <v>41</v>
      </c>
      <c r="Y31" s="3" t="s">
        <v>30</v>
      </c>
      <c r="Z31" s="0" t="str">
        <f aca="false">IF(M31=1,P31,"")</f>
        <v/>
      </c>
    </row>
    <row r="32" customFormat="false" ht="15" hidden="false" customHeight="false" outlineLevel="0" collapsed="false">
      <c r="A32" s="0" t="s">
        <v>73</v>
      </c>
      <c r="B32" s="2" t="n">
        <v>45706</v>
      </c>
      <c r="C32" s="3" t="s">
        <v>27</v>
      </c>
      <c r="D32" s="3" t="s">
        <v>43</v>
      </c>
      <c r="E32" s="3" t="s">
        <v>35</v>
      </c>
      <c r="F32" s="3" t="s">
        <v>30</v>
      </c>
      <c r="G32" s="3" t="s">
        <v>36</v>
      </c>
      <c r="H32" s="3" t="s">
        <v>30</v>
      </c>
      <c r="I32" s="3" t="s">
        <v>32</v>
      </c>
      <c r="J32" s="0" t="n">
        <v>1</v>
      </c>
      <c r="K32" s="0" t="n">
        <v>0</v>
      </c>
      <c r="L32" s="0" t="n">
        <v>0</v>
      </c>
      <c r="M32" s="0" t="n">
        <v>0</v>
      </c>
      <c r="N32" s="0" t="str">
        <f aca="false">IF(OR(NOT(OR(J32=0,J32=1)),NOT(OR(K32=0,K32=1)),NOT(OR(L32=0,L32=1)),NOT(OR(M32=0,M32=1)),NOT(OR(U32=0,U32=1))),"Yes","No")</f>
        <v>No</v>
      </c>
      <c r="O32" s="0" t="str">
        <f aca="false">IF(OR(AND(M32=1,L32=0),AND(L32=1,K32=0),AND(K32=1,J32=0)),"Yes","No")</f>
        <v>No</v>
      </c>
      <c r="P32" s="0" t="n">
        <v>0</v>
      </c>
      <c r="Q32" s="0" t="str">
        <f aca="false">IF(OR(AND(M32=0,P32&gt;0),AND(M32=1,P32&lt;=0)),"Yes","No")</f>
        <v>No</v>
      </c>
      <c r="R32" s="0" t="str">
        <f aca="false">IF(AND(M32=1,P32&gt;calc_helpers!$B$5),"Yes","No")</f>
        <v>No</v>
      </c>
      <c r="S32" s="0" t="n">
        <v>0</v>
      </c>
      <c r="T32" s="0" t="str">
        <f aca="false">IF(S32&gt;0,"Yes","No")</f>
        <v>No</v>
      </c>
      <c r="U32" s="0" t="n">
        <v>0</v>
      </c>
      <c r="W32" s="0" t="str">
        <f aca="false">IF(OR(AND(M32=1,ISBLANK(V32)),AND(M32=0,NOT(ISBLANK(V32)))),"Yes","No")</f>
        <v>No</v>
      </c>
      <c r="X32" s="0" t="n">
        <v>80.3</v>
      </c>
      <c r="Y32" s="3" t="s">
        <v>30</v>
      </c>
      <c r="Z32" s="0" t="str">
        <f aca="false">IF(M32=1,P32,"")</f>
        <v/>
      </c>
    </row>
    <row r="33" customFormat="false" ht="15" hidden="false" customHeight="false" outlineLevel="0" collapsed="false">
      <c r="A33" s="0" t="s">
        <v>74</v>
      </c>
      <c r="B33" s="2" t="n">
        <v>45701</v>
      </c>
      <c r="C33" s="3" t="s">
        <v>27</v>
      </c>
      <c r="D33" s="3" t="s">
        <v>39</v>
      </c>
      <c r="E33" s="3" t="s">
        <v>35</v>
      </c>
      <c r="F33" s="3" t="s">
        <v>30</v>
      </c>
      <c r="G33" s="3" t="s">
        <v>36</v>
      </c>
      <c r="H33" s="3" t="s">
        <v>30</v>
      </c>
      <c r="I33" s="3" t="s">
        <v>37</v>
      </c>
      <c r="J33" s="0" t="n">
        <v>0</v>
      </c>
      <c r="K33" s="0" t="n">
        <v>0</v>
      </c>
      <c r="L33" s="0" t="n">
        <v>0</v>
      </c>
      <c r="M33" s="0" t="n">
        <v>0</v>
      </c>
      <c r="N33" s="0" t="str">
        <f aca="false">IF(OR(NOT(OR(J33=0,J33=1)),NOT(OR(K33=0,K33=1)),NOT(OR(L33=0,L33=1)),NOT(OR(M33=0,M33=1)),NOT(OR(U33=0,U33=1))),"Yes","No")</f>
        <v>No</v>
      </c>
      <c r="O33" s="0" t="str">
        <f aca="false">IF(OR(AND(M33=1,L33=0),AND(L33=1,K33=0),AND(K33=1,J33=0)),"Yes","No")</f>
        <v>No</v>
      </c>
      <c r="P33" s="0" t="n">
        <v>0</v>
      </c>
      <c r="Q33" s="0" t="str">
        <f aca="false">IF(OR(AND(M33=0,P33&gt;0),AND(M33=1,P33&lt;=0)),"Yes","No")</f>
        <v>No</v>
      </c>
      <c r="R33" s="0" t="str">
        <f aca="false">IF(AND(M33=1,P33&gt;calc_helpers!$B$5),"Yes","No")</f>
        <v>No</v>
      </c>
      <c r="S33" s="0" t="n">
        <v>0</v>
      </c>
      <c r="T33" s="0" t="str">
        <f aca="false">IF(S33&gt;0,"Yes","No")</f>
        <v>No</v>
      </c>
      <c r="U33" s="0" t="n">
        <v>0</v>
      </c>
      <c r="W33" s="0" t="str">
        <f aca="false">IF(OR(AND(M33=1,ISBLANK(V33)),AND(M33=0,NOT(ISBLANK(V33)))),"Yes","No")</f>
        <v>No</v>
      </c>
      <c r="X33" s="0" t="n">
        <v>67.6</v>
      </c>
      <c r="Y33" s="3" t="s">
        <v>30</v>
      </c>
      <c r="Z33" s="0" t="str">
        <f aca="false">IF(M33=1,P33,"")</f>
        <v/>
      </c>
    </row>
    <row r="34" customFormat="false" ht="15" hidden="false" customHeight="false" outlineLevel="0" collapsed="false">
      <c r="A34" s="0" t="s">
        <v>75</v>
      </c>
      <c r="B34" s="2" t="n">
        <v>45724</v>
      </c>
      <c r="C34" s="3" t="s">
        <v>27</v>
      </c>
      <c r="D34" s="3" t="s">
        <v>39</v>
      </c>
      <c r="E34" s="3" t="s">
        <v>29</v>
      </c>
      <c r="F34" s="3" t="s">
        <v>30</v>
      </c>
      <c r="G34" s="3" t="s">
        <v>50</v>
      </c>
      <c r="H34" s="3" t="s">
        <v>30</v>
      </c>
      <c r="I34" s="3" t="s">
        <v>41</v>
      </c>
      <c r="J34" s="0" t="n">
        <v>0</v>
      </c>
      <c r="K34" s="0" t="n">
        <v>0</v>
      </c>
      <c r="L34" s="0" t="n">
        <v>0</v>
      </c>
      <c r="M34" s="0" t="n">
        <v>0</v>
      </c>
      <c r="N34" s="0" t="str">
        <f aca="false">IF(OR(NOT(OR(J34=0,J34=1)),NOT(OR(K34=0,K34=1)),NOT(OR(L34=0,L34=1)),NOT(OR(M34=0,M34=1)),NOT(OR(U34=0,U34=1))),"Yes","No")</f>
        <v>No</v>
      </c>
      <c r="O34" s="0" t="str">
        <f aca="false">IF(OR(AND(M34=1,L34=0),AND(L34=1,K34=0),AND(K34=1,J34=0)),"Yes","No")</f>
        <v>No</v>
      </c>
      <c r="P34" s="0" t="n">
        <v>0</v>
      </c>
      <c r="Q34" s="0" t="str">
        <f aca="false">IF(OR(AND(M34=0,P34&gt;0),AND(M34=1,P34&lt;=0)),"Yes","No")</f>
        <v>No</v>
      </c>
      <c r="R34" s="0" t="str">
        <f aca="false">IF(AND(M34=1,P34&gt;calc_helpers!$B$5),"Yes","No")</f>
        <v>No</v>
      </c>
      <c r="S34" s="0" t="n">
        <v>0</v>
      </c>
      <c r="T34" s="0" t="str">
        <f aca="false">IF(S34&gt;0,"Yes","No")</f>
        <v>No</v>
      </c>
      <c r="U34" s="0" t="n">
        <v>0</v>
      </c>
      <c r="W34" s="0" t="str">
        <f aca="false">IF(OR(AND(M34=1,ISBLANK(V34)),AND(M34=0,NOT(ISBLANK(V34)))),"Yes","No")</f>
        <v>No</v>
      </c>
      <c r="X34" s="0" t="n">
        <v>64</v>
      </c>
      <c r="Y34" s="3" t="s">
        <v>30</v>
      </c>
      <c r="Z34" s="0" t="str">
        <f aca="false">IF(M34=1,P34,"")</f>
        <v/>
      </c>
    </row>
    <row r="35" customFormat="false" ht="15" hidden="false" customHeight="false" outlineLevel="0" collapsed="false">
      <c r="A35" s="0" t="s">
        <v>76</v>
      </c>
      <c r="B35" s="2" t="n">
        <v>45668</v>
      </c>
      <c r="C35" s="3" t="s">
        <v>27</v>
      </c>
      <c r="D35" s="3" t="s">
        <v>28</v>
      </c>
      <c r="E35" s="3" t="s">
        <v>35</v>
      </c>
      <c r="F35" s="3" t="s">
        <v>30</v>
      </c>
      <c r="G35" s="3" t="s">
        <v>40</v>
      </c>
      <c r="H35" s="3" t="s">
        <v>30</v>
      </c>
      <c r="I35" s="3" t="s">
        <v>37</v>
      </c>
      <c r="J35" s="0" t="n">
        <v>1</v>
      </c>
      <c r="K35" s="0" t="n">
        <v>1</v>
      </c>
      <c r="L35" s="0" t="n">
        <v>0</v>
      </c>
      <c r="M35" s="0" t="n">
        <v>0</v>
      </c>
      <c r="N35" s="0" t="str">
        <f aca="false">IF(OR(NOT(OR(J35=0,J35=1)),NOT(OR(K35=0,K35=1)),NOT(OR(L35=0,L35=1)),NOT(OR(M35=0,M35=1)),NOT(OR(U35=0,U35=1))),"Yes","No")</f>
        <v>No</v>
      </c>
      <c r="O35" s="0" t="str">
        <f aca="false">IF(OR(AND(M35=1,L35=0),AND(L35=1,K35=0),AND(K35=1,J35=0)),"Yes","No")</f>
        <v>No</v>
      </c>
      <c r="P35" s="0" t="n">
        <v>0</v>
      </c>
      <c r="Q35" s="0" t="str">
        <f aca="false">IF(OR(AND(M35=0,P35&gt;0),AND(M35=1,P35&lt;=0)),"Yes","No")</f>
        <v>No</v>
      </c>
      <c r="R35" s="0" t="str">
        <f aca="false">IF(AND(M35=1,P35&gt;calc_helpers!$B$5),"Yes","No")</f>
        <v>No</v>
      </c>
      <c r="S35" s="0" t="n">
        <v>0</v>
      </c>
      <c r="T35" s="0" t="str">
        <f aca="false">IF(S35&gt;0,"Yes","No")</f>
        <v>No</v>
      </c>
      <c r="U35" s="0" t="n">
        <v>0</v>
      </c>
      <c r="W35" s="0" t="str">
        <f aca="false">IF(OR(AND(M35=1,ISBLANK(V35)),AND(M35=0,NOT(ISBLANK(V35)))),"Yes","No")</f>
        <v>No</v>
      </c>
      <c r="X35" s="0" t="n">
        <v>27.2</v>
      </c>
      <c r="Y35" s="3" t="s">
        <v>30</v>
      </c>
      <c r="Z35" s="0" t="str">
        <f aca="false">IF(M35=1,P35,"")</f>
        <v/>
      </c>
    </row>
    <row r="36" customFormat="false" ht="15" hidden="false" customHeight="false" outlineLevel="0" collapsed="false">
      <c r="A36" s="0" t="s">
        <v>77</v>
      </c>
      <c r="B36" s="2" t="n">
        <v>45700</v>
      </c>
      <c r="C36" s="3" t="s">
        <v>27</v>
      </c>
      <c r="D36" s="3" t="s">
        <v>28</v>
      </c>
      <c r="E36" s="3" t="s">
        <v>29</v>
      </c>
      <c r="F36" s="3" t="s">
        <v>30</v>
      </c>
      <c r="G36" s="3" t="s">
        <v>36</v>
      </c>
      <c r="H36" s="3" t="s">
        <v>30</v>
      </c>
      <c r="I36" s="3" t="s">
        <v>37</v>
      </c>
      <c r="J36" s="0" t="n">
        <v>1</v>
      </c>
      <c r="K36" s="0" t="n">
        <v>0</v>
      </c>
      <c r="L36" s="0" t="n">
        <v>0</v>
      </c>
      <c r="M36" s="0" t="n">
        <v>0</v>
      </c>
      <c r="N36" s="0" t="str">
        <f aca="false">IF(OR(NOT(OR(J36=0,J36=1)),NOT(OR(K36=0,K36=1)),NOT(OR(L36=0,L36=1)),NOT(OR(M36=0,M36=1)),NOT(OR(U36=0,U36=1))),"Yes","No")</f>
        <v>No</v>
      </c>
      <c r="O36" s="0" t="str">
        <f aca="false">IF(OR(AND(M36=1,L36=0),AND(L36=1,K36=0),AND(K36=1,J36=0)),"Yes","No")</f>
        <v>No</v>
      </c>
      <c r="P36" s="0" t="n">
        <v>0</v>
      </c>
      <c r="Q36" s="0" t="str">
        <f aca="false">IF(OR(AND(M36=0,P36&gt;0),AND(M36=1,P36&lt;=0)),"Yes","No")</f>
        <v>No</v>
      </c>
      <c r="R36" s="0" t="str">
        <f aca="false">IF(AND(M36=1,P36&gt;calc_helpers!$B$5),"Yes","No")</f>
        <v>No</v>
      </c>
      <c r="S36" s="0" t="n">
        <v>0</v>
      </c>
      <c r="T36" s="0" t="str">
        <f aca="false">IF(S36&gt;0,"Yes","No")</f>
        <v>No</v>
      </c>
      <c r="U36" s="0" t="n">
        <v>0</v>
      </c>
      <c r="W36" s="0" t="str">
        <f aca="false">IF(OR(AND(M36=1,ISBLANK(V36)),AND(M36=0,NOT(ISBLANK(V36)))),"Yes","No")</f>
        <v>No</v>
      </c>
      <c r="X36" s="0" t="n">
        <v>85.4</v>
      </c>
      <c r="Y36" s="3" t="s">
        <v>30</v>
      </c>
      <c r="Z36" s="0" t="str">
        <f aca="false">IF(M36=1,P36,"")</f>
        <v/>
      </c>
    </row>
    <row r="37" customFormat="false" ht="15" hidden="false" customHeight="false" outlineLevel="0" collapsed="false">
      <c r="A37" s="0" t="s">
        <v>78</v>
      </c>
      <c r="B37" s="2" t="n">
        <v>45760</v>
      </c>
      <c r="C37" s="3" t="s">
        <v>27</v>
      </c>
      <c r="D37" s="3" t="s">
        <v>39</v>
      </c>
      <c r="E37" s="3" t="s">
        <v>29</v>
      </c>
      <c r="F37" s="3" t="s">
        <v>30</v>
      </c>
      <c r="G37" s="3" t="s">
        <v>36</v>
      </c>
      <c r="H37" s="3" t="s">
        <v>30</v>
      </c>
      <c r="I37" s="3" t="s">
        <v>32</v>
      </c>
      <c r="J37" s="0" t="n">
        <v>1</v>
      </c>
      <c r="K37" s="0" t="n">
        <v>0</v>
      </c>
      <c r="L37" s="0" t="n">
        <v>0</v>
      </c>
      <c r="M37" s="0" t="n">
        <v>0</v>
      </c>
      <c r="N37" s="0" t="str">
        <f aca="false">IF(OR(NOT(OR(J37=0,J37=1)),NOT(OR(K37=0,K37=1)),NOT(OR(L37=0,L37=1)),NOT(OR(M37=0,M37=1)),NOT(OR(U37=0,U37=1))),"Yes","No")</f>
        <v>No</v>
      </c>
      <c r="O37" s="0" t="str">
        <f aca="false">IF(OR(AND(M37=1,L37=0),AND(L37=1,K37=0),AND(K37=1,J37=0)),"Yes","No")</f>
        <v>No</v>
      </c>
      <c r="P37" s="0" t="n">
        <v>0</v>
      </c>
      <c r="Q37" s="0" t="str">
        <f aca="false">IF(OR(AND(M37=0,P37&gt;0),AND(M37=1,P37&lt;=0)),"Yes","No")</f>
        <v>No</v>
      </c>
      <c r="R37" s="0" t="str">
        <f aca="false">IF(AND(M37=1,P37&gt;calc_helpers!$B$5),"Yes","No")</f>
        <v>No</v>
      </c>
      <c r="S37" s="0" t="n">
        <v>0</v>
      </c>
      <c r="T37" s="0" t="str">
        <f aca="false">IF(S37&gt;0,"Yes","No")</f>
        <v>No</v>
      </c>
      <c r="U37" s="0" t="n">
        <v>0</v>
      </c>
      <c r="W37" s="0" t="str">
        <f aca="false">IF(OR(AND(M37=1,ISBLANK(V37)),AND(M37=0,NOT(ISBLANK(V37)))),"Yes","No")</f>
        <v>No</v>
      </c>
      <c r="X37" s="0" t="n">
        <v>75.9</v>
      </c>
      <c r="Y37" s="3" t="s">
        <v>30</v>
      </c>
      <c r="Z37" s="0" t="str">
        <f aca="false">IF(M37=1,P37,"")</f>
        <v/>
      </c>
    </row>
    <row r="38" customFormat="false" ht="15" hidden="false" customHeight="false" outlineLevel="0" collapsed="false">
      <c r="A38" s="0" t="s">
        <v>79</v>
      </c>
      <c r="B38" s="2" t="n">
        <v>45786</v>
      </c>
      <c r="C38" s="3" t="s">
        <v>27</v>
      </c>
      <c r="D38" s="3" t="s">
        <v>39</v>
      </c>
      <c r="E38" s="3" t="s">
        <v>35</v>
      </c>
      <c r="F38" s="3" t="s">
        <v>30</v>
      </c>
      <c r="G38" s="3" t="s">
        <v>36</v>
      </c>
      <c r="H38" s="3" t="s">
        <v>30</v>
      </c>
      <c r="I38" s="3" t="s">
        <v>41</v>
      </c>
      <c r="J38" s="0" t="n">
        <v>1</v>
      </c>
      <c r="K38" s="0" t="n">
        <v>0</v>
      </c>
      <c r="L38" s="0" t="n">
        <v>0</v>
      </c>
      <c r="M38" s="0" t="n">
        <v>0</v>
      </c>
      <c r="N38" s="0" t="str">
        <f aca="false">IF(OR(NOT(OR(J38=0,J38=1)),NOT(OR(K38=0,K38=1)),NOT(OR(L38=0,L38=1)),NOT(OR(M38=0,M38=1)),NOT(OR(U38=0,U38=1))),"Yes","No")</f>
        <v>No</v>
      </c>
      <c r="O38" s="0" t="str">
        <f aca="false">IF(OR(AND(M38=1,L38=0),AND(L38=1,K38=0),AND(K38=1,J38=0)),"Yes","No")</f>
        <v>No</v>
      </c>
      <c r="P38" s="0" t="n">
        <v>0</v>
      </c>
      <c r="Q38" s="0" t="str">
        <f aca="false">IF(OR(AND(M38=0,P38&gt;0),AND(M38=1,P38&lt;=0)),"Yes","No")</f>
        <v>No</v>
      </c>
      <c r="R38" s="0" t="str">
        <f aca="false">IF(AND(M38=1,P38&gt;calc_helpers!$B$5),"Yes","No")</f>
        <v>No</v>
      </c>
      <c r="S38" s="0" t="n">
        <v>1</v>
      </c>
      <c r="T38" s="0" t="str">
        <f aca="false">IF(S38&gt;0,"Yes","No")</f>
        <v>Yes</v>
      </c>
      <c r="U38" s="0" t="n">
        <v>0</v>
      </c>
      <c r="W38" s="0" t="str">
        <f aca="false">IF(OR(AND(M38=1,ISBLANK(V38)),AND(M38=0,NOT(ISBLANK(V38)))),"Yes","No")</f>
        <v>No</v>
      </c>
      <c r="X38" s="0" t="n">
        <v>34.8</v>
      </c>
      <c r="Y38" s="3" t="s">
        <v>30</v>
      </c>
      <c r="Z38" s="0" t="str">
        <f aca="false">IF(M38=1,P38,"")</f>
        <v/>
      </c>
    </row>
    <row r="39" customFormat="false" ht="15" hidden="false" customHeight="false" outlineLevel="0" collapsed="false">
      <c r="A39" s="0" t="s">
        <v>80</v>
      </c>
      <c r="B39" s="2" t="n">
        <v>45677</v>
      </c>
      <c r="C39" s="3" t="s">
        <v>27</v>
      </c>
      <c r="D39" s="3" t="s">
        <v>39</v>
      </c>
      <c r="E39" s="3" t="s">
        <v>35</v>
      </c>
      <c r="F39" s="3" t="s">
        <v>30</v>
      </c>
      <c r="G39" s="3" t="s">
        <v>36</v>
      </c>
      <c r="H39" s="3" t="s">
        <v>30</v>
      </c>
      <c r="I39" s="3" t="s">
        <v>37</v>
      </c>
      <c r="J39" s="0" t="n">
        <v>1</v>
      </c>
      <c r="K39" s="0" t="n">
        <v>1</v>
      </c>
      <c r="L39" s="0" t="n">
        <v>1</v>
      </c>
      <c r="M39" s="0" t="n">
        <v>0</v>
      </c>
      <c r="N39" s="0" t="str">
        <f aca="false">IF(OR(NOT(OR(J39=0,J39=1)),NOT(OR(K39=0,K39=1)),NOT(OR(L39=0,L39=1)),NOT(OR(M39=0,M39=1)),NOT(OR(U39=0,U39=1))),"Yes","No")</f>
        <v>No</v>
      </c>
      <c r="O39" s="0" t="str">
        <f aca="false">IF(OR(AND(M39=1,L39=0),AND(L39=1,K39=0),AND(K39=1,J39=0)),"Yes","No")</f>
        <v>No</v>
      </c>
      <c r="P39" s="0" t="n">
        <v>0</v>
      </c>
      <c r="Q39" s="0" t="str">
        <f aca="false">IF(OR(AND(M39=0,P39&gt;0),AND(M39=1,P39&lt;=0)),"Yes","No")</f>
        <v>No</v>
      </c>
      <c r="R39" s="0" t="str">
        <f aca="false">IF(AND(M39=1,P39&gt;calc_helpers!$B$5),"Yes","No")</f>
        <v>No</v>
      </c>
      <c r="S39" s="0" t="n">
        <v>3</v>
      </c>
      <c r="T39" s="0" t="str">
        <f aca="false">IF(S39&gt;0,"Yes","No")</f>
        <v>Yes</v>
      </c>
      <c r="U39" s="0" t="n">
        <v>0</v>
      </c>
      <c r="W39" s="0" t="str">
        <f aca="false">IF(OR(AND(M39=1,ISBLANK(V39)),AND(M39=0,NOT(ISBLANK(V39)))),"Yes","No")</f>
        <v>No</v>
      </c>
      <c r="X39" s="0" t="n">
        <v>48.9</v>
      </c>
      <c r="Y39" s="3" t="s">
        <v>30</v>
      </c>
      <c r="Z39" s="0" t="str">
        <f aca="false">IF(M39=1,P39,"")</f>
        <v/>
      </c>
    </row>
    <row r="40" customFormat="false" ht="15" hidden="false" customHeight="false" outlineLevel="0" collapsed="false">
      <c r="A40" s="0" t="s">
        <v>81</v>
      </c>
      <c r="B40" s="2" t="n">
        <v>45790</v>
      </c>
      <c r="C40" s="3" t="s">
        <v>27</v>
      </c>
      <c r="D40" s="3" t="s">
        <v>39</v>
      </c>
      <c r="E40" s="3" t="s">
        <v>35</v>
      </c>
      <c r="F40" s="3" t="s">
        <v>30</v>
      </c>
      <c r="G40" s="3" t="s">
        <v>31</v>
      </c>
      <c r="H40" s="3" t="s">
        <v>30</v>
      </c>
      <c r="I40" s="3" t="s">
        <v>41</v>
      </c>
      <c r="J40" s="0" t="n">
        <v>1</v>
      </c>
      <c r="K40" s="0" t="n">
        <v>0</v>
      </c>
      <c r="L40" s="0" t="n">
        <v>0</v>
      </c>
      <c r="M40" s="0" t="n">
        <v>0</v>
      </c>
      <c r="N40" s="0" t="str">
        <f aca="false">IF(OR(NOT(OR(J40=0,J40=1)),NOT(OR(K40=0,K40=1)),NOT(OR(L40=0,L40=1)),NOT(OR(M40=0,M40=1)),NOT(OR(U40=0,U40=1))),"Yes","No")</f>
        <v>No</v>
      </c>
      <c r="O40" s="0" t="str">
        <f aca="false">IF(OR(AND(M40=1,L40=0),AND(L40=1,K40=0),AND(K40=1,J40=0)),"Yes","No")</f>
        <v>No</v>
      </c>
      <c r="P40" s="0" t="n">
        <v>0</v>
      </c>
      <c r="Q40" s="0" t="str">
        <f aca="false">IF(OR(AND(M40=0,P40&gt;0),AND(M40=1,P40&lt;=0)),"Yes","No")</f>
        <v>No</v>
      </c>
      <c r="R40" s="0" t="str">
        <f aca="false">IF(AND(M40=1,P40&gt;calc_helpers!$B$5),"Yes","No")</f>
        <v>No</v>
      </c>
      <c r="S40" s="0" t="n">
        <v>0</v>
      </c>
      <c r="T40" s="0" t="str">
        <f aca="false">IF(S40&gt;0,"Yes","No")</f>
        <v>No</v>
      </c>
      <c r="U40" s="0" t="n">
        <v>0</v>
      </c>
      <c r="W40" s="0" t="str">
        <f aca="false">IF(OR(AND(M40=1,ISBLANK(V40)),AND(M40=0,NOT(ISBLANK(V40)))),"Yes","No")</f>
        <v>No</v>
      </c>
      <c r="X40" s="0" t="n">
        <v>41.5</v>
      </c>
      <c r="Y40" s="3" t="s">
        <v>30</v>
      </c>
      <c r="Z40" s="0" t="str">
        <f aca="false">IF(M40=1,P40,"")</f>
        <v/>
      </c>
    </row>
    <row r="41" customFormat="false" ht="15" hidden="false" customHeight="false" outlineLevel="0" collapsed="false">
      <c r="A41" s="0" t="s">
        <v>82</v>
      </c>
      <c r="B41" s="2" t="n">
        <v>45754</v>
      </c>
      <c r="C41" s="3" t="s">
        <v>27</v>
      </c>
      <c r="D41" s="3" t="s">
        <v>28</v>
      </c>
      <c r="E41" s="3" t="s">
        <v>29</v>
      </c>
      <c r="F41" s="3" t="s">
        <v>30</v>
      </c>
      <c r="G41" s="3" t="s">
        <v>36</v>
      </c>
      <c r="H41" s="3" t="s">
        <v>30</v>
      </c>
      <c r="I41" s="3" t="s">
        <v>32</v>
      </c>
      <c r="J41" s="0" t="n">
        <v>1</v>
      </c>
      <c r="K41" s="0" t="n">
        <v>0</v>
      </c>
      <c r="L41" s="0" t="n">
        <v>0</v>
      </c>
      <c r="M41" s="0" t="n">
        <v>0</v>
      </c>
      <c r="N41" s="0" t="str">
        <f aca="false">IF(OR(NOT(OR(J41=0,J41=1)),NOT(OR(K41=0,K41=1)),NOT(OR(L41=0,L41=1)),NOT(OR(M41=0,M41=1)),NOT(OR(U41=0,U41=1))),"Yes","No")</f>
        <v>No</v>
      </c>
      <c r="O41" s="0" t="str">
        <f aca="false">IF(OR(AND(M41=1,L41=0),AND(L41=1,K41=0),AND(K41=1,J41=0)),"Yes","No")</f>
        <v>No</v>
      </c>
      <c r="P41" s="0" t="n">
        <v>0</v>
      </c>
      <c r="Q41" s="0" t="str">
        <f aca="false">IF(OR(AND(M41=0,P41&gt;0),AND(M41=1,P41&lt;=0)),"Yes","No")</f>
        <v>No</v>
      </c>
      <c r="R41" s="0" t="str">
        <f aca="false">IF(AND(M41=1,P41&gt;calc_helpers!$B$5),"Yes","No")</f>
        <v>No</v>
      </c>
      <c r="S41" s="0" t="n">
        <v>0</v>
      </c>
      <c r="T41" s="0" t="str">
        <f aca="false">IF(S41&gt;0,"Yes","No")</f>
        <v>No</v>
      </c>
      <c r="U41" s="0" t="n">
        <v>0</v>
      </c>
      <c r="W41" s="0" t="str">
        <f aca="false">IF(OR(AND(M41=1,ISBLANK(V41)),AND(M41=0,NOT(ISBLANK(V41)))),"Yes","No")</f>
        <v>No</v>
      </c>
      <c r="X41" s="0" t="n">
        <v>51.5</v>
      </c>
      <c r="Y41" s="3" t="s">
        <v>30</v>
      </c>
      <c r="Z41" s="0" t="str">
        <f aca="false">IF(M41=1,P41,"")</f>
        <v/>
      </c>
    </row>
    <row r="42" customFormat="false" ht="15" hidden="false" customHeight="false" outlineLevel="0" collapsed="false">
      <c r="A42" s="0" t="s">
        <v>83</v>
      </c>
      <c r="B42" s="2" t="n">
        <v>45747</v>
      </c>
      <c r="C42" s="3" t="s">
        <v>27</v>
      </c>
      <c r="D42" s="3" t="s">
        <v>28</v>
      </c>
      <c r="E42" s="3" t="s">
        <v>29</v>
      </c>
      <c r="F42" s="3" t="s">
        <v>30</v>
      </c>
      <c r="G42" s="3" t="s">
        <v>36</v>
      </c>
      <c r="H42" s="3" t="s">
        <v>30</v>
      </c>
      <c r="I42" s="3" t="s">
        <v>37</v>
      </c>
      <c r="J42" s="0" t="n">
        <v>0</v>
      </c>
      <c r="K42" s="0" t="n">
        <v>0</v>
      </c>
      <c r="L42" s="0" t="n">
        <v>0</v>
      </c>
      <c r="M42" s="0" t="n">
        <v>0</v>
      </c>
      <c r="N42" s="0" t="str">
        <f aca="false">IF(OR(NOT(OR(J42=0,J42=1)),NOT(OR(K42=0,K42=1)),NOT(OR(L42=0,L42=1)),NOT(OR(M42=0,M42=1)),NOT(OR(U42=0,U42=1))),"Yes","No")</f>
        <v>No</v>
      </c>
      <c r="O42" s="0" t="str">
        <f aca="false">IF(OR(AND(M42=1,L42=0),AND(L42=1,K42=0),AND(K42=1,J42=0)),"Yes","No")</f>
        <v>No</v>
      </c>
      <c r="P42" s="0" t="n">
        <v>0</v>
      </c>
      <c r="Q42" s="0" t="str">
        <f aca="false">IF(OR(AND(M42=0,P42&gt;0),AND(M42=1,P42&lt;=0)),"Yes","No")</f>
        <v>No</v>
      </c>
      <c r="R42" s="0" t="str">
        <f aca="false">IF(AND(M42=1,P42&gt;calc_helpers!$B$5),"Yes","No")</f>
        <v>No</v>
      </c>
      <c r="S42" s="0" t="n">
        <v>0</v>
      </c>
      <c r="T42" s="0" t="str">
        <f aca="false">IF(S42&gt;0,"Yes","No")</f>
        <v>No</v>
      </c>
      <c r="U42" s="0" t="n">
        <v>0</v>
      </c>
      <c r="W42" s="0" t="str">
        <f aca="false">IF(OR(AND(M42=1,ISBLANK(V42)),AND(M42=0,NOT(ISBLANK(V42)))),"Yes","No")</f>
        <v>No</v>
      </c>
      <c r="X42" s="0" t="n">
        <v>53.2</v>
      </c>
      <c r="Y42" s="3" t="s">
        <v>30</v>
      </c>
      <c r="Z42" s="0" t="str">
        <f aca="false">IF(M42=1,P42,"")</f>
        <v/>
      </c>
    </row>
    <row r="43" customFormat="false" ht="15" hidden="false" customHeight="false" outlineLevel="0" collapsed="false">
      <c r="A43" s="0" t="s">
        <v>84</v>
      </c>
      <c r="B43" s="2" t="n">
        <v>45682</v>
      </c>
      <c r="C43" s="3" t="s">
        <v>27</v>
      </c>
      <c r="D43" s="3" t="s">
        <v>39</v>
      </c>
      <c r="E43" s="3" t="s">
        <v>35</v>
      </c>
      <c r="F43" s="3" t="s">
        <v>30</v>
      </c>
      <c r="G43" s="3" t="s">
        <v>31</v>
      </c>
      <c r="H43" s="3" t="s">
        <v>30</v>
      </c>
      <c r="I43" s="3" t="s">
        <v>41</v>
      </c>
      <c r="J43" s="0" t="n">
        <v>0</v>
      </c>
      <c r="K43" s="0" t="n">
        <v>0</v>
      </c>
      <c r="L43" s="0" t="n">
        <v>0</v>
      </c>
      <c r="M43" s="0" t="n">
        <v>0</v>
      </c>
      <c r="N43" s="0" t="str">
        <f aca="false">IF(OR(NOT(OR(J43=0,J43=1)),NOT(OR(K43=0,K43=1)),NOT(OR(L43=0,L43=1)),NOT(OR(M43=0,M43=1)),NOT(OR(U43=0,U43=1))),"Yes","No")</f>
        <v>No</v>
      </c>
      <c r="O43" s="0" t="str">
        <f aca="false">IF(OR(AND(M43=1,L43=0),AND(L43=1,K43=0),AND(K43=1,J43=0)),"Yes","No")</f>
        <v>No</v>
      </c>
      <c r="P43" s="0" t="n">
        <v>0</v>
      </c>
      <c r="Q43" s="0" t="str">
        <f aca="false">IF(OR(AND(M43=0,P43&gt;0),AND(M43=1,P43&lt;=0)),"Yes","No")</f>
        <v>No</v>
      </c>
      <c r="R43" s="0" t="str">
        <f aca="false">IF(AND(M43=1,P43&gt;calc_helpers!$B$5),"Yes","No")</f>
        <v>No</v>
      </c>
      <c r="S43" s="0" t="n">
        <v>0</v>
      </c>
      <c r="T43" s="0" t="str">
        <f aca="false">IF(S43&gt;0,"Yes","No")</f>
        <v>No</v>
      </c>
      <c r="U43" s="0" t="n">
        <v>0</v>
      </c>
      <c r="W43" s="0" t="str">
        <f aca="false">IF(OR(AND(M43=1,ISBLANK(V43)),AND(M43=0,NOT(ISBLANK(V43)))),"Yes","No")</f>
        <v>No</v>
      </c>
      <c r="X43" s="0" t="n">
        <v>55.6</v>
      </c>
      <c r="Y43" s="3" t="s">
        <v>30</v>
      </c>
      <c r="Z43" s="0" t="str">
        <f aca="false">IF(M43=1,P43,"")</f>
        <v/>
      </c>
    </row>
    <row r="44" customFormat="false" ht="15" hidden="false" customHeight="false" outlineLevel="0" collapsed="false">
      <c r="A44" s="0" t="s">
        <v>85</v>
      </c>
      <c r="B44" s="2" t="n">
        <v>45702</v>
      </c>
      <c r="C44" s="3" t="s">
        <v>27</v>
      </c>
      <c r="D44" s="3" t="s">
        <v>43</v>
      </c>
      <c r="E44" s="3" t="s">
        <v>29</v>
      </c>
      <c r="F44" s="3" t="s">
        <v>30</v>
      </c>
      <c r="G44" s="3" t="s">
        <v>36</v>
      </c>
      <c r="H44" s="3" t="s">
        <v>30</v>
      </c>
      <c r="I44" s="3" t="s">
        <v>37</v>
      </c>
      <c r="J44" s="0" t="n">
        <v>0</v>
      </c>
      <c r="K44" s="0" t="n">
        <v>0</v>
      </c>
      <c r="L44" s="0" t="n">
        <v>0</v>
      </c>
      <c r="M44" s="0" t="n">
        <v>0</v>
      </c>
      <c r="N44" s="0" t="str">
        <f aca="false">IF(OR(NOT(OR(J44=0,J44=1)),NOT(OR(K44=0,K44=1)),NOT(OR(L44=0,L44=1)),NOT(OR(M44=0,M44=1)),NOT(OR(U44=0,U44=1))),"Yes","No")</f>
        <v>No</v>
      </c>
      <c r="O44" s="0" t="str">
        <f aca="false">IF(OR(AND(M44=1,L44=0),AND(L44=1,K44=0),AND(K44=1,J44=0)),"Yes","No")</f>
        <v>No</v>
      </c>
      <c r="P44" s="0" t="n">
        <v>0</v>
      </c>
      <c r="Q44" s="0" t="str">
        <f aca="false">IF(OR(AND(M44=0,P44&gt;0),AND(M44=1,P44&lt;=0)),"Yes","No")</f>
        <v>No</v>
      </c>
      <c r="R44" s="0" t="str">
        <f aca="false">IF(AND(M44=1,P44&gt;calc_helpers!$B$5),"Yes","No")</f>
        <v>No</v>
      </c>
      <c r="S44" s="0" t="n">
        <v>0</v>
      </c>
      <c r="T44" s="0" t="str">
        <f aca="false">IF(S44&gt;0,"Yes","No")</f>
        <v>No</v>
      </c>
      <c r="U44" s="0" t="n">
        <v>0</v>
      </c>
      <c r="W44" s="0" t="str">
        <f aca="false">IF(OR(AND(M44=1,ISBLANK(V44)),AND(M44=0,NOT(ISBLANK(V44)))),"Yes","No")</f>
        <v>No</v>
      </c>
      <c r="X44" s="0" t="n">
        <v>73</v>
      </c>
      <c r="Y44" s="3" t="s">
        <v>30</v>
      </c>
      <c r="Z44" s="0" t="str">
        <f aca="false">IF(M44=1,P44,"")</f>
        <v/>
      </c>
    </row>
    <row r="45" customFormat="false" ht="15" hidden="false" customHeight="false" outlineLevel="0" collapsed="false">
      <c r="A45" s="0" t="s">
        <v>86</v>
      </c>
      <c r="B45" s="2" t="n">
        <v>45715</v>
      </c>
      <c r="C45" s="3" t="s">
        <v>27</v>
      </c>
      <c r="D45" s="3" t="s">
        <v>39</v>
      </c>
      <c r="E45" s="3" t="s">
        <v>35</v>
      </c>
      <c r="F45" s="3" t="s">
        <v>30</v>
      </c>
      <c r="G45" s="3" t="s">
        <v>31</v>
      </c>
      <c r="H45" s="3" t="s">
        <v>30</v>
      </c>
      <c r="I45" s="3" t="s">
        <v>37</v>
      </c>
      <c r="J45" s="0" t="n">
        <v>1</v>
      </c>
      <c r="K45" s="0" t="n">
        <v>0</v>
      </c>
      <c r="L45" s="0" t="n">
        <v>0</v>
      </c>
      <c r="M45" s="0" t="n">
        <v>0</v>
      </c>
      <c r="N45" s="0" t="str">
        <f aca="false">IF(OR(NOT(OR(J45=0,J45=1)),NOT(OR(K45=0,K45=1)),NOT(OR(L45=0,L45=1)),NOT(OR(M45=0,M45=1)),NOT(OR(U45=0,U45=1))),"Yes","No")</f>
        <v>No</v>
      </c>
      <c r="O45" s="0" t="str">
        <f aca="false">IF(OR(AND(M45=1,L45=0),AND(L45=1,K45=0),AND(K45=1,J45=0)),"Yes","No")</f>
        <v>No</v>
      </c>
      <c r="P45" s="0" t="n">
        <v>0</v>
      </c>
      <c r="Q45" s="0" t="str">
        <f aca="false">IF(OR(AND(M45=0,P45&gt;0),AND(M45=1,P45&lt;=0)),"Yes","No")</f>
        <v>No</v>
      </c>
      <c r="R45" s="0" t="str">
        <f aca="false">IF(AND(M45=1,P45&gt;calc_helpers!$B$5),"Yes","No")</f>
        <v>No</v>
      </c>
      <c r="S45" s="0" t="n">
        <v>0</v>
      </c>
      <c r="T45" s="0" t="str">
        <f aca="false">IF(S45&gt;0,"Yes","No")</f>
        <v>No</v>
      </c>
      <c r="U45" s="0" t="n">
        <v>0</v>
      </c>
      <c r="W45" s="0" t="str">
        <f aca="false">IF(OR(AND(M45=1,ISBLANK(V45)),AND(M45=0,NOT(ISBLANK(V45)))),"Yes","No")</f>
        <v>No</v>
      </c>
      <c r="X45" s="0" t="n">
        <v>65</v>
      </c>
      <c r="Y45" s="3" t="s">
        <v>30</v>
      </c>
      <c r="Z45" s="0" t="str">
        <f aca="false">IF(M45=1,P45,"")</f>
        <v/>
      </c>
    </row>
    <row r="46" customFormat="false" ht="15" hidden="false" customHeight="false" outlineLevel="0" collapsed="false">
      <c r="A46" s="0" t="s">
        <v>87</v>
      </c>
      <c r="B46" s="2" t="n">
        <v>45744</v>
      </c>
      <c r="C46" s="3" t="s">
        <v>27</v>
      </c>
      <c r="D46" s="3" t="s">
        <v>39</v>
      </c>
      <c r="E46" s="3" t="s">
        <v>35</v>
      </c>
      <c r="F46" s="3" t="s">
        <v>30</v>
      </c>
      <c r="G46" s="3" t="s">
        <v>52</v>
      </c>
      <c r="H46" s="3" t="s">
        <v>30</v>
      </c>
      <c r="I46" s="3" t="s">
        <v>37</v>
      </c>
      <c r="J46" s="0" t="n">
        <v>1</v>
      </c>
      <c r="K46" s="0" t="n">
        <v>0</v>
      </c>
      <c r="L46" s="0" t="n">
        <v>0</v>
      </c>
      <c r="M46" s="0" t="n">
        <v>0</v>
      </c>
      <c r="N46" s="0" t="str">
        <f aca="false">IF(OR(NOT(OR(J46=0,J46=1)),NOT(OR(K46=0,K46=1)),NOT(OR(L46=0,L46=1)),NOT(OR(M46=0,M46=1)),NOT(OR(U46=0,U46=1))),"Yes","No")</f>
        <v>No</v>
      </c>
      <c r="O46" s="0" t="str">
        <f aca="false">IF(OR(AND(M46=1,L46=0),AND(L46=1,K46=0),AND(K46=1,J46=0)),"Yes","No")</f>
        <v>No</v>
      </c>
      <c r="P46" s="0" t="n">
        <v>0</v>
      </c>
      <c r="Q46" s="0" t="str">
        <f aca="false">IF(OR(AND(M46=0,P46&gt;0),AND(M46=1,P46&lt;=0)),"Yes","No")</f>
        <v>No</v>
      </c>
      <c r="R46" s="0" t="str">
        <f aca="false">IF(AND(M46=1,P46&gt;calc_helpers!$B$5),"Yes","No")</f>
        <v>No</v>
      </c>
      <c r="S46" s="0" t="n">
        <v>4</v>
      </c>
      <c r="T46" s="0" t="str">
        <f aca="false">IF(S46&gt;0,"Yes","No")</f>
        <v>Yes</v>
      </c>
      <c r="U46" s="0" t="n">
        <v>0</v>
      </c>
      <c r="W46" s="0" t="str">
        <f aca="false">IF(OR(AND(M46=1,ISBLANK(V46)),AND(M46=0,NOT(ISBLANK(V46)))),"Yes","No")</f>
        <v>No</v>
      </c>
      <c r="X46" s="0" t="n">
        <v>56.3</v>
      </c>
      <c r="Y46" s="3" t="s">
        <v>30</v>
      </c>
      <c r="Z46" s="0" t="str">
        <f aca="false">IF(M46=1,P46,"")</f>
        <v/>
      </c>
    </row>
    <row r="47" customFormat="false" ht="15" hidden="false" customHeight="false" outlineLevel="0" collapsed="false">
      <c r="A47" s="0" t="s">
        <v>88</v>
      </c>
      <c r="B47" s="2" t="n">
        <v>45802</v>
      </c>
      <c r="C47" s="3" t="s">
        <v>27</v>
      </c>
      <c r="D47" s="3" t="s">
        <v>39</v>
      </c>
      <c r="E47" s="3" t="s">
        <v>35</v>
      </c>
      <c r="F47" s="3" t="s">
        <v>30</v>
      </c>
      <c r="G47" s="3" t="s">
        <v>50</v>
      </c>
      <c r="H47" s="3" t="s">
        <v>30</v>
      </c>
      <c r="I47" s="3" t="s">
        <v>41</v>
      </c>
      <c r="J47" s="0" t="n">
        <v>1</v>
      </c>
      <c r="K47" s="0" t="n">
        <v>0</v>
      </c>
      <c r="L47" s="0" t="n">
        <v>0</v>
      </c>
      <c r="M47" s="0" t="n">
        <v>0</v>
      </c>
      <c r="N47" s="0" t="str">
        <f aca="false">IF(OR(NOT(OR(J47=0,J47=1)),NOT(OR(K47=0,K47=1)),NOT(OR(L47=0,L47=1)),NOT(OR(M47=0,M47=1)),NOT(OR(U47=0,U47=1))),"Yes","No")</f>
        <v>No</v>
      </c>
      <c r="O47" s="0" t="str">
        <f aca="false">IF(OR(AND(M47=1,L47=0),AND(L47=1,K47=0),AND(K47=1,J47=0)),"Yes","No")</f>
        <v>No</v>
      </c>
      <c r="P47" s="0" t="n">
        <v>0</v>
      </c>
      <c r="Q47" s="0" t="str">
        <f aca="false">IF(OR(AND(M47=0,P47&gt;0),AND(M47=1,P47&lt;=0)),"Yes","No")</f>
        <v>No</v>
      </c>
      <c r="R47" s="0" t="str">
        <f aca="false">IF(AND(M47=1,P47&gt;calc_helpers!$B$5),"Yes","No")</f>
        <v>No</v>
      </c>
      <c r="S47" s="0" t="n">
        <v>0</v>
      </c>
      <c r="T47" s="0" t="str">
        <f aca="false">IF(S47&gt;0,"Yes","No")</f>
        <v>No</v>
      </c>
      <c r="U47" s="0" t="n">
        <v>0</v>
      </c>
      <c r="W47" s="0" t="str">
        <f aca="false">IF(OR(AND(M47=1,ISBLANK(V47)),AND(M47=0,NOT(ISBLANK(V47)))),"Yes","No")</f>
        <v>No</v>
      </c>
      <c r="X47" s="0" t="n">
        <v>62.4</v>
      </c>
      <c r="Y47" s="3" t="s">
        <v>30</v>
      </c>
      <c r="Z47" s="0" t="str">
        <f aca="false">IF(M47=1,P47,"")</f>
        <v/>
      </c>
    </row>
    <row r="48" customFormat="false" ht="15" hidden="false" customHeight="false" outlineLevel="0" collapsed="false">
      <c r="A48" s="0" t="s">
        <v>89</v>
      </c>
      <c r="B48" s="2" t="n">
        <v>45782</v>
      </c>
      <c r="C48" s="3" t="s">
        <v>27</v>
      </c>
      <c r="D48" s="3" t="s">
        <v>34</v>
      </c>
      <c r="E48" s="3" t="s">
        <v>29</v>
      </c>
      <c r="F48" s="3" t="s">
        <v>30</v>
      </c>
      <c r="G48" s="3" t="s">
        <v>36</v>
      </c>
      <c r="H48" s="3" t="s">
        <v>30</v>
      </c>
      <c r="I48" s="3" t="s">
        <v>37</v>
      </c>
      <c r="J48" s="0" t="n">
        <v>1</v>
      </c>
      <c r="K48" s="0" t="n">
        <v>1</v>
      </c>
      <c r="L48" s="0" t="n">
        <v>1</v>
      </c>
      <c r="M48" s="0" t="n">
        <v>0</v>
      </c>
      <c r="N48" s="0" t="str">
        <f aca="false">IF(OR(NOT(OR(J48=0,J48=1)),NOT(OR(K48=0,K48=1)),NOT(OR(L48=0,L48=1)),NOT(OR(M48=0,M48=1)),NOT(OR(U48=0,U48=1))),"Yes","No")</f>
        <v>No</v>
      </c>
      <c r="O48" s="0" t="str">
        <f aca="false">IF(OR(AND(M48=1,L48=0),AND(L48=1,K48=0),AND(K48=1,J48=0)),"Yes","No")</f>
        <v>No</v>
      </c>
      <c r="P48" s="0" t="n">
        <v>0</v>
      </c>
      <c r="Q48" s="0" t="str">
        <f aca="false">IF(OR(AND(M48=0,P48&gt;0),AND(M48=1,P48&lt;=0)),"Yes","No")</f>
        <v>No</v>
      </c>
      <c r="R48" s="0" t="str">
        <f aca="false">IF(AND(M48=1,P48&gt;calc_helpers!$B$5),"Yes","No")</f>
        <v>No</v>
      </c>
      <c r="S48" s="0" t="n">
        <v>0</v>
      </c>
      <c r="T48" s="0" t="str">
        <f aca="false">IF(S48&gt;0,"Yes","No")</f>
        <v>No</v>
      </c>
      <c r="U48" s="0" t="n">
        <v>0</v>
      </c>
      <c r="W48" s="0" t="str">
        <f aca="false">IF(OR(AND(M48=1,ISBLANK(V48)),AND(M48=0,NOT(ISBLANK(V48)))),"Yes","No")</f>
        <v>No</v>
      </c>
      <c r="X48" s="0" t="n">
        <v>58.1</v>
      </c>
      <c r="Y48" s="3" t="s">
        <v>30</v>
      </c>
      <c r="Z48" s="0" t="str">
        <f aca="false">IF(M48=1,P48,"")</f>
        <v/>
      </c>
    </row>
    <row r="49" customFormat="false" ht="15" hidden="false" customHeight="false" outlineLevel="0" collapsed="false">
      <c r="A49" s="0" t="s">
        <v>90</v>
      </c>
      <c r="B49" s="2" t="n">
        <v>45793</v>
      </c>
      <c r="C49" s="3" t="s">
        <v>27</v>
      </c>
      <c r="D49" s="3" t="s">
        <v>28</v>
      </c>
      <c r="E49" s="3" t="s">
        <v>35</v>
      </c>
      <c r="F49" s="3" t="s">
        <v>30</v>
      </c>
      <c r="G49" s="3" t="s">
        <v>36</v>
      </c>
      <c r="H49" s="3" t="s">
        <v>30</v>
      </c>
      <c r="I49" s="3" t="s">
        <v>37</v>
      </c>
      <c r="J49" s="0" t="n">
        <v>1</v>
      </c>
      <c r="K49" s="0" t="n">
        <v>1</v>
      </c>
      <c r="L49" s="0" t="n">
        <v>1</v>
      </c>
      <c r="M49" s="0" t="n">
        <v>0</v>
      </c>
      <c r="N49" s="0" t="str">
        <f aca="false">IF(OR(NOT(OR(J49=0,J49=1)),NOT(OR(K49=0,K49=1)),NOT(OR(L49=0,L49=1)),NOT(OR(M49=0,M49=1)),NOT(OR(U49=0,U49=1))),"Yes","No")</f>
        <v>No</v>
      </c>
      <c r="O49" s="0" t="str">
        <f aca="false">IF(OR(AND(M49=1,L49=0),AND(L49=1,K49=0),AND(K49=1,J49=0)),"Yes","No")</f>
        <v>No</v>
      </c>
      <c r="P49" s="0" t="n">
        <v>0</v>
      </c>
      <c r="Q49" s="0" t="str">
        <f aca="false">IF(OR(AND(M49=0,P49&gt;0),AND(M49=1,P49&lt;=0)),"Yes","No")</f>
        <v>No</v>
      </c>
      <c r="R49" s="0" t="str">
        <f aca="false">IF(AND(M49=1,P49&gt;calc_helpers!$B$5),"Yes","No")</f>
        <v>No</v>
      </c>
      <c r="S49" s="0" t="n">
        <v>0</v>
      </c>
      <c r="T49" s="0" t="str">
        <f aca="false">IF(S49&gt;0,"Yes","No")</f>
        <v>No</v>
      </c>
      <c r="U49" s="0" t="n">
        <v>0</v>
      </c>
      <c r="W49" s="0" t="str">
        <f aca="false">IF(OR(AND(M49=1,ISBLANK(V49)),AND(M49=0,NOT(ISBLANK(V49)))),"Yes","No")</f>
        <v>No</v>
      </c>
      <c r="X49" s="0" t="n">
        <v>80.8</v>
      </c>
      <c r="Y49" s="3" t="s">
        <v>30</v>
      </c>
      <c r="Z49" s="0" t="str">
        <f aca="false">IF(M49=1,P49,"")</f>
        <v/>
      </c>
    </row>
    <row r="50" customFormat="false" ht="15" hidden="false" customHeight="false" outlineLevel="0" collapsed="false">
      <c r="A50" s="0" t="s">
        <v>91</v>
      </c>
      <c r="B50" s="2" t="n">
        <v>45665</v>
      </c>
      <c r="C50" s="3" t="s">
        <v>27</v>
      </c>
      <c r="D50" s="3" t="s">
        <v>28</v>
      </c>
      <c r="E50" s="3" t="s">
        <v>35</v>
      </c>
      <c r="F50" s="3" t="s">
        <v>30</v>
      </c>
      <c r="G50" s="3" t="s">
        <v>52</v>
      </c>
      <c r="H50" s="3" t="s">
        <v>30</v>
      </c>
      <c r="I50" s="3" t="s">
        <v>37</v>
      </c>
      <c r="J50" s="0" t="n">
        <v>1</v>
      </c>
      <c r="K50" s="0" t="n">
        <v>1</v>
      </c>
      <c r="L50" s="0" t="n">
        <v>0</v>
      </c>
      <c r="M50" s="0" t="n">
        <v>0</v>
      </c>
      <c r="N50" s="0" t="str">
        <f aca="false">IF(OR(NOT(OR(J50=0,J50=1)),NOT(OR(K50=0,K50=1)),NOT(OR(L50=0,L50=1)),NOT(OR(M50=0,M50=1)),NOT(OR(U50=0,U50=1))),"Yes","No")</f>
        <v>No</v>
      </c>
      <c r="O50" s="0" t="str">
        <f aca="false">IF(OR(AND(M50=1,L50=0),AND(L50=1,K50=0),AND(K50=1,J50=0)),"Yes","No")</f>
        <v>No</v>
      </c>
      <c r="P50" s="0" t="n">
        <v>0</v>
      </c>
      <c r="Q50" s="0" t="str">
        <f aca="false">IF(OR(AND(M50=0,P50&gt;0),AND(M50=1,P50&lt;=0)),"Yes","No")</f>
        <v>No</v>
      </c>
      <c r="R50" s="0" t="str">
        <f aca="false">IF(AND(M50=1,P50&gt;calc_helpers!$B$5),"Yes","No")</f>
        <v>No</v>
      </c>
      <c r="S50" s="0" t="n">
        <v>0</v>
      </c>
      <c r="T50" s="0" t="str">
        <f aca="false">IF(S50&gt;0,"Yes","No")</f>
        <v>No</v>
      </c>
      <c r="U50" s="0" t="n">
        <v>0</v>
      </c>
      <c r="W50" s="0" t="str">
        <f aca="false">IF(OR(AND(M50=1,ISBLANK(V50)),AND(M50=0,NOT(ISBLANK(V50)))),"Yes","No")</f>
        <v>No</v>
      </c>
      <c r="X50" s="0" t="n">
        <v>42.9</v>
      </c>
      <c r="Y50" s="3" t="s">
        <v>30</v>
      </c>
      <c r="Z50" s="0" t="str">
        <f aca="false">IF(M50=1,P50,"")</f>
        <v/>
      </c>
    </row>
    <row r="51" customFormat="false" ht="15" hidden="false" customHeight="false" outlineLevel="0" collapsed="false">
      <c r="A51" s="0" t="s">
        <v>92</v>
      </c>
      <c r="B51" s="2" t="n">
        <v>45663</v>
      </c>
      <c r="C51" s="3" t="s">
        <v>27</v>
      </c>
      <c r="D51" s="3" t="s">
        <v>34</v>
      </c>
      <c r="E51" s="3" t="s">
        <v>29</v>
      </c>
      <c r="F51" s="3" t="s">
        <v>30</v>
      </c>
      <c r="G51" s="3" t="s">
        <v>40</v>
      </c>
      <c r="H51" s="3" t="s">
        <v>30</v>
      </c>
      <c r="I51" s="3" t="s">
        <v>37</v>
      </c>
      <c r="J51" s="0" t="n">
        <v>1</v>
      </c>
      <c r="K51" s="0" t="n">
        <v>0</v>
      </c>
      <c r="L51" s="0" t="n">
        <v>0</v>
      </c>
      <c r="M51" s="0" t="n">
        <v>0</v>
      </c>
      <c r="N51" s="0" t="str">
        <f aca="false">IF(OR(NOT(OR(J51=0,J51=1)),NOT(OR(K51=0,K51=1)),NOT(OR(L51=0,L51=1)),NOT(OR(M51=0,M51=1)),NOT(OR(U51=0,U51=1))),"Yes","No")</f>
        <v>No</v>
      </c>
      <c r="O51" s="0" t="str">
        <f aca="false">IF(OR(AND(M51=1,L51=0),AND(L51=1,K51=0),AND(K51=1,J51=0)),"Yes","No")</f>
        <v>No</v>
      </c>
      <c r="P51" s="0" t="n">
        <v>0</v>
      </c>
      <c r="Q51" s="0" t="str">
        <f aca="false">IF(OR(AND(M51=0,P51&gt;0),AND(M51=1,P51&lt;=0)),"Yes","No")</f>
        <v>No</v>
      </c>
      <c r="R51" s="0" t="str">
        <f aca="false">IF(AND(M51=1,P51&gt;calc_helpers!$B$5),"Yes","No")</f>
        <v>No</v>
      </c>
      <c r="S51" s="0" t="n">
        <v>0</v>
      </c>
      <c r="T51" s="0" t="str">
        <f aca="false">IF(S51&gt;0,"Yes","No")</f>
        <v>No</v>
      </c>
      <c r="U51" s="0" t="n">
        <v>0</v>
      </c>
      <c r="W51" s="0" t="str">
        <f aca="false">IF(OR(AND(M51=1,ISBLANK(V51)),AND(M51=0,NOT(ISBLANK(V51)))),"Yes","No")</f>
        <v>No</v>
      </c>
      <c r="X51" s="0" t="n">
        <v>52.7</v>
      </c>
      <c r="Y51" s="3" t="s">
        <v>30</v>
      </c>
      <c r="Z51" s="0" t="str">
        <f aca="false">IF(M51=1,P51,"")</f>
        <v/>
      </c>
    </row>
    <row r="52" customFormat="false" ht="15" hidden="false" customHeight="false" outlineLevel="0" collapsed="false">
      <c r="A52" s="0" t="s">
        <v>93</v>
      </c>
      <c r="B52" s="2" t="n">
        <v>45669</v>
      </c>
      <c r="C52" s="3" t="s">
        <v>27</v>
      </c>
      <c r="D52" s="3" t="s">
        <v>28</v>
      </c>
      <c r="E52" s="3" t="s">
        <v>35</v>
      </c>
      <c r="F52" s="3" t="s">
        <v>30</v>
      </c>
      <c r="G52" s="3" t="s">
        <v>52</v>
      </c>
      <c r="H52" s="3" t="s">
        <v>30</v>
      </c>
      <c r="I52" s="3" t="s">
        <v>32</v>
      </c>
      <c r="J52" s="0" t="n">
        <v>0</v>
      </c>
      <c r="K52" s="0" t="n">
        <v>0</v>
      </c>
      <c r="L52" s="0" t="n">
        <v>0</v>
      </c>
      <c r="M52" s="0" t="n">
        <v>0</v>
      </c>
      <c r="N52" s="0" t="str">
        <f aca="false">IF(OR(NOT(OR(J52=0,J52=1)),NOT(OR(K52=0,K52=1)),NOT(OR(L52=0,L52=1)),NOT(OR(M52=0,M52=1)),NOT(OR(U52=0,U52=1))),"Yes","No")</f>
        <v>No</v>
      </c>
      <c r="O52" s="0" t="str">
        <f aca="false">IF(OR(AND(M52=1,L52=0),AND(L52=1,K52=0),AND(K52=1,J52=0)),"Yes","No")</f>
        <v>No</v>
      </c>
      <c r="P52" s="0" t="n">
        <v>0</v>
      </c>
      <c r="Q52" s="0" t="str">
        <f aca="false">IF(OR(AND(M52=0,P52&gt;0),AND(M52=1,P52&lt;=0)),"Yes","No")</f>
        <v>No</v>
      </c>
      <c r="R52" s="0" t="str">
        <f aca="false">IF(AND(M52=1,P52&gt;calc_helpers!$B$5),"Yes","No")</f>
        <v>No</v>
      </c>
      <c r="S52" s="0" t="n">
        <v>0</v>
      </c>
      <c r="T52" s="0" t="str">
        <f aca="false">IF(S52&gt;0,"Yes","No")</f>
        <v>No</v>
      </c>
      <c r="U52" s="0" t="n">
        <v>0</v>
      </c>
      <c r="W52" s="0" t="str">
        <f aca="false">IF(OR(AND(M52=1,ISBLANK(V52)),AND(M52=0,NOT(ISBLANK(V52)))),"Yes","No")</f>
        <v>No</v>
      </c>
      <c r="X52" s="0" t="n">
        <v>46.9</v>
      </c>
      <c r="Y52" s="3" t="s">
        <v>30</v>
      </c>
      <c r="Z52" s="0" t="str">
        <f aca="false">IF(M52=1,P52,"")</f>
        <v/>
      </c>
    </row>
    <row r="53" customFormat="false" ht="15" hidden="false" customHeight="false" outlineLevel="0" collapsed="false">
      <c r="A53" s="0" t="s">
        <v>94</v>
      </c>
      <c r="B53" s="2" t="n">
        <v>45702</v>
      </c>
      <c r="C53" s="3" t="s">
        <v>27</v>
      </c>
      <c r="D53" s="3" t="s">
        <v>39</v>
      </c>
      <c r="E53" s="3" t="s">
        <v>29</v>
      </c>
      <c r="F53" s="3" t="s">
        <v>30</v>
      </c>
      <c r="G53" s="3" t="s">
        <v>31</v>
      </c>
      <c r="H53" s="3" t="s">
        <v>30</v>
      </c>
      <c r="I53" s="3" t="s">
        <v>41</v>
      </c>
      <c r="J53" s="0" t="n">
        <v>1</v>
      </c>
      <c r="K53" s="0" t="n">
        <v>0</v>
      </c>
      <c r="L53" s="0" t="n">
        <v>0</v>
      </c>
      <c r="M53" s="0" t="n">
        <v>0</v>
      </c>
      <c r="N53" s="0" t="str">
        <f aca="false">IF(OR(NOT(OR(J53=0,J53=1)),NOT(OR(K53=0,K53=1)),NOT(OR(L53=0,L53=1)),NOT(OR(M53=0,M53=1)),NOT(OR(U53=0,U53=1))),"Yes","No")</f>
        <v>No</v>
      </c>
      <c r="O53" s="0" t="str">
        <f aca="false">IF(OR(AND(M53=1,L53=0),AND(L53=1,K53=0),AND(K53=1,J53=0)),"Yes","No")</f>
        <v>No</v>
      </c>
      <c r="P53" s="0" t="n">
        <v>0</v>
      </c>
      <c r="Q53" s="0" t="str">
        <f aca="false">IF(OR(AND(M53=0,P53&gt;0),AND(M53=1,P53&lt;=0)),"Yes","No")</f>
        <v>No</v>
      </c>
      <c r="R53" s="0" t="str">
        <f aca="false">IF(AND(M53=1,P53&gt;calc_helpers!$B$5),"Yes","No")</f>
        <v>No</v>
      </c>
      <c r="S53" s="0" t="n">
        <v>0</v>
      </c>
      <c r="T53" s="0" t="str">
        <f aca="false">IF(S53&gt;0,"Yes","No")</f>
        <v>No</v>
      </c>
      <c r="U53" s="0" t="n">
        <v>0</v>
      </c>
      <c r="W53" s="0" t="str">
        <f aca="false">IF(OR(AND(M53=1,ISBLANK(V53)),AND(M53=0,NOT(ISBLANK(V53)))),"Yes","No")</f>
        <v>No</v>
      </c>
      <c r="X53" s="0" t="n">
        <v>63</v>
      </c>
      <c r="Y53" s="3" t="s">
        <v>30</v>
      </c>
      <c r="Z53" s="0" t="str">
        <f aca="false">IF(M53=1,P53,"")</f>
        <v/>
      </c>
    </row>
    <row r="54" customFormat="false" ht="15" hidden="false" customHeight="false" outlineLevel="0" collapsed="false">
      <c r="A54" s="0" t="s">
        <v>95</v>
      </c>
      <c r="B54" s="2" t="n">
        <v>45726</v>
      </c>
      <c r="C54" s="3" t="s">
        <v>27</v>
      </c>
      <c r="D54" s="3" t="s">
        <v>43</v>
      </c>
      <c r="E54" s="3" t="s">
        <v>45</v>
      </c>
      <c r="F54" s="3" t="s">
        <v>30</v>
      </c>
      <c r="G54" s="3" t="s">
        <v>36</v>
      </c>
      <c r="H54" s="3" t="s">
        <v>30</v>
      </c>
      <c r="I54" s="3" t="s">
        <v>37</v>
      </c>
      <c r="J54" s="0" t="n">
        <v>0</v>
      </c>
      <c r="K54" s="0" t="n">
        <v>0</v>
      </c>
      <c r="L54" s="0" t="n">
        <v>0</v>
      </c>
      <c r="M54" s="0" t="n">
        <v>0</v>
      </c>
      <c r="N54" s="0" t="str">
        <f aca="false">IF(OR(NOT(OR(J54=0,J54=1)),NOT(OR(K54=0,K54=1)),NOT(OR(L54=0,L54=1)),NOT(OR(M54=0,M54=1)),NOT(OR(U54=0,U54=1))),"Yes","No")</f>
        <v>No</v>
      </c>
      <c r="O54" s="0" t="str">
        <f aca="false">IF(OR(AND(M54=1,L54=0),AND(L54=1,K54=0),AND(K54=1,J54=0)),"Yes","No")</f>
        <v>No</v>
      </c>
      <c r="P54" s="0" t="n">
        <v>0</v>
      </c>
      <c r="Q54" s="0" t="str">
        <f aca="false">IF(OR(AND(M54=0,P54&gt;0),AND(M54=1,P54&lt;=0)),"Yes","No")</f>
        <v>No</v>
      </c>
      <c r="R54" s="0" t="str">
        <f aca="false">IF(AND(M54=1,P54&gt;calc_helpers!$B$5),"Yes","No")</f>
        <v>No</v>
      </c>
      <c r="S54" s="0" t="n">
        <v>0</v>
      </c>
      <c r="T54" s="0" t="str">
        <f aca="false">IF(S54&gt;0,"Yes","No")</f>
        <v>No</v>
      </c>
      <c r="U54" s="0" t="n">
        <v>0</v>
      </c>
      <c r="W54" s="0" t="str">
        <f aca="false">IF(OR(AND(M54=1,ISBLANK(V54)),AND(M54=0,NOT(ISBLANK(V54)))),"Yes","No")</f>
        <v>No</v>
      </c>
      <c r="X54" s="0" t="n">
        <v>53.6</v>
      </c>
      <c r="Y54" s="3" t="s">
        <v>30</v>
      </c>
      <c r="Z54" s="0" t="str">
        <f aca="false">IF(M54=1,P54,"")</f>
        <v/>
      </c>
    </row>
    <row r="55" customFormat="false" ht="15" hidden="false" customHeight="false" outlineLevel="0" collapsed="false">
      <c r="A55" s="0" t="s">
        <v>96</v>
      </c>
      <c r="B55" s="2" t="n">
        <v>45767</v>
      </c>
      <c r="C55" s="3" t="s">
        <v>27</v>
      </c>
      <c r="D55" s="3" t="s">
        <v>34</v>
      </c>
      <c r="E55" s="3" t="s">
        <v>29</v>
      </c>
      <c r="F55" s="3" t="s">
        <v>30</v>
      </c>
      <c r="G55" s="3" t="s">
        <v>36</v>
      </c>
      <c r="H55" s="3" t="s">
        <v>30</v>
      </c>
      <c r="I55" s="3" t="s">
        <v>32</v>
      </c>
      <c r="J55" s="0" t="n">
        <v>0</v>
      </c>
      <c r="K55" s="0" t="n">
        <v>0</v>
      </c>
      <c r="L55" s="0" t="n">
        <v>0</v>
      </c>
      <c r="M55" s="0" t="n">
        <v>0</v>
      </c>
      <c r="N55" s="0" t="str">
        <f aca="false">IF(OR(NOT(OR(J55=0,J55=1)),NOT(OR(K55=0,K55=1)),NOT(OR(L55=0,L55=1)),NOT(OR(M55=0,M55=1)),NOT(OR(U55=0,U55=1))),"Yes","No")</f>
        <v>No</v>
      </c>
      <c r="O55" s="0" t="str">
        <f aca="false">IF(OR(AND(M55=1,L55=0),AND(L55=1,K55=0),AND(K55=1,J55=0)),"Yes","No")</f>
        <v>No</v>
      </c>
      <c r="P55" s="0" t="n">
        <v>0</v>
      </c>
      <c r="Q55" s="0" t="str">
        <f aca="false">IF(OR(AND(M55=0,P55&gt;0),AND(M55=1,P55&lt;=0)),"Yes","No")</f>
        <v>No</v>
      </c>
      <c r="R55" s="0" t="str">
        <f aca="false">IF(AND(M55=1,P55&gt;calc_helpers!$B$5),"Yes","No")</f>
        <v>No</v>
      </c>
      <c r="S55" s="0" t="n">
        <v>0</v>
      </c>
      <c r="T55" s="0" t="str">
        <f aca="false">IF(S55&gt;0,"Yes","No")</f>
        <v>No</v>
      </c>
      <c r="U55" s="0" t="n">
        <v>0</v>
      </c>
      <c r="W55" s="0" t="str">
        <f aca="false">IF(OR(AND(M55=1,ISBLANK(V55)),AND(M55=0,NOT(ISBLANK(V55)))),"Yes","No")</f>
        <v>No</v>
      </c>
      <c r="X55" s="0" t="n">
        <v>49.6</v>
      </c>
      <c r="Y55" s="3" t="s">
        <v>30</v>
      </c>
      <c r="Z55" s="0" t="str">
        <f aca="false">IF(M55=1,P55,"")</f>
        <v/>
      </c>
    </row>
    <row r="56" customFormat="false" ht="15" hidden="false" customHeight="false" outlineLevel="0" collapsed="false">
      <c r="A56" s="0" t="s">
        <v>97</v>
      </c>
      <c r="B56" s="2" t="n">
        <v>45707</v>
      </c>
      <c r="C56" s="3" t="s">
        <v>27</v>
      </c>
      <c r="D56" s="3" t="s">
        <v>43</v>
      </c>
      <c r="E56" s="3" t="s">
        <v>35</v>
      </c>
      <c r="F56" s="3" t="s">
        <v>30</v>
      </c>
      <c r="G56" s="3" t="s">
        <v>36</v>
      </c>
      <c r="H56" s="3" t="s">
        <v>30</v>
      </c>
      <c r="I56" s="3" t="s">
        <v>37</v>
      </c>
      <c r="J56" s="0" t="n">
        <v>0</v>
      </c>
      <c r="K56" s="0" t="n">
        <v>0</v>
      </c>
      <c r="L56" s="0" t="n">
        <v>0</v>
      </c>
      <c r="M56" s="0" t="n">
        <v>0</v>
      </c>
      <c r="N56" s="0" t="str">
        <f aca="false">IF(OR(NOT(OR(J56=0,J56=1)),NOT(OR(K56=0,K56=1)),NOT(OR(L56=0,L56=1)),NOT(OR(M56=0,M56=1)),NOT(OR(U56=0,U56=1))),"Yes","No")</f>
        <v>No</v>
      </c>
      <c r="O56" s="0" t="str">
        <f aca="false">IF(OR(AND(M56=1,L56=0),AND(L56=1,K56=0),AND(K56=1,J56=0)),"Yes","No")</f>
        <v>No</v>
      </c>
      <c r="P56" s="0" t="n">
        <v>0</v>
      </c>
      <c r="Q56" s="0" t="str">
        <f aca="false">IF(OR(AND(M56=0,P56&gt;0),AND(M56=1,P56&lt;=0)),"Yes","No")</f>
        <v>No</v>
      </c>
      <c r="R56" s="0" t="str">
        <f aca="false">IF(AND(M56=1,P56&gt;calc_helpers!$B$5),"Yes","No")</f>
        <v>No</v>
      </c>
      <c r="S56" s="0" t="n">
        <v>0</v>
      </c>
      <c r="T56" s="0" t="str">
        <f aca="false">IF(S56&gt;0,"Yes","No")</f>
        <v>No</v>
      </c>
      <c r="U56" s="0" t="n">
        <v>0</v>
      </c>
      <c r="W56" s="0" t="str">
        <f aca="false">IF(OR(AND(M56=1,ISBLANK(V56)),AND(M56=0,NOT(ISBLANK(V56)))),"Yes","No")</f>
        <v>No</v>
      </c>
      <c r="X56" s="0" t="n">
        <v>54</v>
      </c>
      <c r="Y56" s="3" t="s">
        <v>30</v>
      </c>
      <c r="Z56" s="0" t="str">
        <f aca="false">IF(M56=1,P56,"")</f>
        <v/>
      </c>
    </row>
    <row r="57" customFormat="false" ht="15" hidden="false" customHeight="false" outlineLevel="0" collapsed="false">
      <c r="A57" s="0" t="s">
        <v>98</v>
      </c>
      <c r="B57" s="2" t="n">
        <v>45794</v>
      </c>
      <c r="C57" s="3" t="s">
        <v>27</v>
      </c>
      <c r="D57" s="3" t="s">
        <v>43</v>
      </c>
      <c r="E57" s="3" t="s">
        <v>35</v>
      </c>
      <c r="F57" s="3" t="s">
        <v>30</v>
      </c>
      <c r="G57" s="3" t="s">
        <v>52</v>
      </c>
      <c r="H57" s="3" t="s">
        <v>30</v>
      </c>
      <c r="I57" s="3" t="s">
        <v>32</v>
      </c>
      <c r="J57" s="0" t="n">
        <v>1</v>
      </c>
      <c r="K57" s="0" t="n">
        <v>0</v>
      </c>
      <c r="L57" s="0" t="n">
        <v>0</v>
      </c>
      <c r="M57" s="0" t="n">
        <v>0</v>
      </c>
      <c r="N57" s="0" t="str">
        <f aca="false">IF(OR(NOT(OR(J57=0,J57=1)),NOT(OR(K57=0,K57=1)),NOT(OR(L57=0,L57=1)),NOT(OR(M57=0,M57=1)),NOT(OR(U57=0,U57=1))),"Yes","No")</f>
        <v>No</v>
      </c>
      <c r="O57" s="0" t="str">
        <f aca="false">IF(OR(AND(M57=1,L57=0),AND(L57=1,K57=0),AND(K57=1,J57=0)),"Yes","No")</f>
        <v>No</v>
      </c>
      <c r="P57" s="0" t="n">
        <v>0</v>
      </c>
      <c r="Q57" s="0" t="str">
        <f aca="false">IF(OR(AND(M57=0,P57&gt;0),AND(M57=1,P57&lt;=0)),"Yes","No")</f>
        <v>No</v>
      </c>
      <c r="R57" s="0" t="str">
        <f aca="false">IF(AND(M57=1,P57&gt;calc_helpers!$B$5),"Yes","No")</f>
        <v>No</v>
      </c>
      <c r="S57" s="0" t="n">
        <v>2</v>
      </c>
      <c r="T57" s="0" t="str">
        <f aca="false">IF(S57&gt;0,"Yes","No")</f>
        <v>Yes</v>
      </c>
      <c r="U57" s="0" t="n">
        <v>0</v>
      </c>
      <c r="W57" s="0" t="str">
        <f aca="false">IF(OR(AND(M57=1,ISBLANK(V57)),AND(M57=0,NOT(ISBLANK(V57)))),"Yes","No")</f>
        <v>No</v>
      </c>
      <c r="X57" s="0" t="n">
        <v>50</v>
      </c>
      <c r="Y57" s="3" t="s">
        <v>30</v>
      </c>
      <c r="Z57" s="0" t="str">
        <f aca="false">IF(M57=1,P57,"")</f>
        <v/>
      </c>
    </row>
    <row r="58" customFormat="false" ht="15" hidden="false" customHeight="false" outlineLevel="0" collapsed="false">
      <c r="A58" s="0" t="s">
        <v>99</v>
      </c>
      <c r="B58" s="2" t="n">
        <v>45748</v>
      </c>
      <c r="C58" s="3" t="s">
        <v>27</v>
      </c>
      <c r="D58" s="3" t="s">
        <v>39</v>
      </c>
      <c r="E58" s="3" t="s">
        <v>35</v>
      </c>
      <c r="F58" s="3" t="s">
        <v>30</v>
      </c>
      <c r="G58" s="3" t="s">
        <v>52</v>
      </c>
      <c r="H58" s="3" t="s">
        <v>30</v>
      </c>
      <c r="I58" s="3" t="s">
        <v>32</v>
      </c>
      <c r="J58" s="0" t="n">
        <v>0</v>
      </c>
      <c r="K58" s="0" t="n">
        <v>0</v>
      </c>
      <c r="L58" s="0" t="n">
        <v>0</v>
      </c>
      <c r="M58" s="0" t="n">
        <v>0</v>
      </c>
      <c r="N58" s="0" t="str">
        <f aca="false">IF(OR(NOT(OR(J58=0,J58=1)),NOT(OR(K58=0,K58=1)),NOT(OR(L58=0,L58=1)),NOT(OR(M58=0,M58=1)),NOT(OR(U58=0,U58=1))),"Yes","No")</f>
        <v>No</v>
      </c>
      <c r="O58" s="0" t="str">
        <f aca="false">IF(OR(AND(M58=1,L58=0),AND(L58=1,K58=0),AND(K58=1,J58=0)),"Yes","No")</f>
        <v>No</v>
      </c>
      <c r="P58" s="0" t="n">
        <v>0</v>
      </c>
      <c r="Q58" s="0" t="str">
        <f aca="false">IF(OR(AND(M58=0,P58&gt;0),AND(M58=1,P58&lt;=0)),"Yes","No")</f>
        <v>No</v>
      </c>
      <c r="R58" s="0" t="str">
        <f aca="false">IF(AND(M58=1,P58&gt;calc_helpers!$B$5),"Yes","No")</f>
        <v>No</v>
      </c>
      <c r="S58" s="0" t="n">
        <v>0</v>
      </c>
      <c r="T58" s="0" t="str">
        <f aca="false">IF(S58&gt;0,"Yes","No")</f>
        <v>No</v>
      </c>
      <c r="U58" s="0" t="n">
        <v>0</v>
      </c>
      <c r="W58" s="0" t="str">
        <f aca="false">IF(OR(AND(M58=1,ISBLANK(V58)),AND(M58=0,NOT(ISBLANK(V58)))),"Yes","No")</f>
        <v>No</v>
      </c>
      <c r="X58" s="0" t="n">
        <v>48.1</v>
      </c>
      <c r="Y58" s="3" t="s">
        <v>30</v>
      </c>
      <c r="Z58" s="0" t="str">
        <f aca="false">IF(M58=1,P58,"")</f>
        <v/>
      </c>
    </row>
    <row r="59" customFormat="false" ht="15" hidden="false" customHeight="false" outlineLevel="0" collapsed="false">
      <c r="A59" s="0" t="s">
        <v>100</v>
      </c>
      <c r="B59" s="2" t="n">
        <v>45692</v>
      </c>
      <c r="C59" s="3" t="s">
        <v>27</v>
      </c>
      <c r="D59" s="3" t="s">
        <v>28</v>
      </c>
      <c r="E59" s="3" t="s">
        <v>29</v>
      </c>
      <c r="F59" s="3" t="s">
        <v>30</v>
      </c>
      <c r="G59" s="3" t="s">
        <v>36</v>
      </c>
      <c r="H59" s="3" t="s">
        <v>30</v>
      </c>
      <c r="I59" s="3" t="s">
        <v>37</v>
      </c>
      <c r="J59" s="0" t="n">
        <v>1</v>
      </c>
      <c r="K59" s="0" t="n">
        <v>0</v>
      </c>
      <c r="L59" s="0" t="n">
        <v>0</v>
      </c>
      <c r="M59" s="0" t="n">
        <v>0</v>
      </c>
      <c r="N59" s="0" t="str">
        <f aca="false">IF(OR(NOT(OR(J59=0,J59=1)),NOT(OR(K59=0,K59=1)),NOT(OR(L59=0,L59=1)),NOT(OR(M59=0,M59=1)),NOT(OR(U59=0,U59=1))),"Yes","No")</f>
        <v>No</v>
      </c>
      <c r="O59" s="0" t="str">
        <f aca="false">IF(OR(AND(M59=1,L59=0),AND(L59=1,K59=0),AND(K59=1,J59=0)),"Yes","No")</f>
        <v>No</v>
      </c>
      <c r="P59" s="0" t="n">
        <v>0</v>
      </c>
      <c r="Q59" s="0" t="str">
        <f aca="false">IF(OR(AND(M59=0,P59&gt;0),AND(M59=1,P59&lt;=0)),"Yes","No")</f>
        <v>No</v>
      </c>
      <c r="R59" s="0" t="str">
        <f aca="false">IF(AND(M59=1,P59&gt;calc_helpers!$B$5),"Yes","No")</f>
        <v>No</v>
      </c>
      <c r="S59" s="0" t="n">
        <v>0</v>
      </c>
      <c r="T59" s="0" t="str">
        <f aca="false">IF(S59&gt;0,"Yes","No")</f>
        <v>No</v>
      </c>
      <c r="U59" s="0" t="n">
        <v>0</v>
      </c>
      <c r="W59" s="0" t="str">
        <f aca="false">IF(OR(AND(M59=1,ISBLANK(V59)),AND(M59=0,NOT(ISBLANK(V59)))),"Yes","No")</f>
        <v>No</v>
      </c>
      <c r="X59" s="0" t="n">
        <v>49.6</v>
      </c>
      <c r="Y59" s="3" t="s">
        <v>30</v>
      </c>
      <c r="Z59" s="0" t="str">
        <f aca="false">IF(M59=1,P59,"")</f>
        <v/>
      </c>
    </row>
    <row r="60" customFormat="false" ht="15" hidden="false" customHeight="false" outlineLevel="0" collapsed="false">
      <c r="A60" s="0" t="s">
        <v>101</v>
      </c>
      <c r="B60" s="2" t="n">
        <v>45761</v>
      </c>
      <c r="C60" s="3" t="s">
        <v>27</v>
      </c>
      <c r="D60" s="3" t="s">
        <v>28</v>
      </c>
      <c r="E60" s="3" t="s">
        <v>35</v>
      </c>
      <c r="F60" s="3" t="s">
        <v>30</v>
      </c>
      <c r="G60" s="3" t="s">
        <v>52</v>
      </c>
      <c r="H60" s="3" t="s">
        <v>30</v>
      </c>
      <c r="I60" s="3" t="s">
        <v>37</v>
      </c>
      <c r="J60" s="0" t="n">
        <v>0</v>
      </c>
      <c r="K60" s="0" t="n">
        <v>0</v>
      </c>
      <c r="L60" s="0" t="n">
        <v>0</v>
      </c>
      <c r="M60" s="0" t="n">
        <v>0</v>
      </c>
      <c r="N60" s="0" t="str">
        <f aca="false">IF(OR(NOT(OR(J60=0,J60=1)),NOT(OR(K60=0,K60=1)),NOT(OR(L60=0,L60=1)),NOT(OR(M60=0,M60=1)),NOT(OR(U60=0,U60=1))),"Yes","No")</f>
        <v>No</v>
      </c>
      <c r="O60" s="0" t="str">
        <f aca="false">IF(OR(AND(M60=1,L60=0),AND(L60=1,K60=0),AND(K60=1,J60=0)),"Yes","No")</f>
        <v>No</v>
      </c>
      <c r="P60" s="0" t="n">
        <v>0</v>
      </c>
      <c r="Q60" s="0" t="str">
        <f aca="false">IF(OR(AND(M60=0,P60&gt;0),AND(M60=1,P60&lt;=0)),"Yes","No")</f>
        <v>No</v>
      </c>
      <c r="R60" s="0" t="str">
        <f aca="false">IF(AND(M60=1,P60&gt;calc_helpers!$B$5),"Yes","No")</f>
        <v>No</v>
      </c>
      <c r="S60" s="0" t="n">
        <v>2</v>
      </c>
      <c r="T60" s="0" t="str">
        <f aca="false">IF(S60&gt;0,"Yes","No")</f>
        <v>Yes</v>
      </c>
      <c r="U60" s="0" t="n">
        <v>0</v>
      </c>
      <c r="W60" s="0" t="str">
        <f aca="false">IF(OR(AND(M60=1,ISBLANK(V60)),AND(M60=0,NOT(ISBLANK(V60)))),"Yes","No")</f>
        <v>No</v>
      </c>
      <c r="X60" s="0" t="n">
        <v>48.9</v>
      </c>
      <c r="Y60" s="3" t="s">
        <v>30</v>
      </c>
      <c r="Z60" s="0" t="str">
        <f aca="false">IF(M60=1,P60,"")</f>
        <v/>
      </c>
    </row>
    <row r="61" customFormat="false" ht="15" hidden="false" customHeight="false" outlineLevel="0" collapsed="false">
      <c r="A61" s="0" t="s">
        <v>102</v>
      </c>
      <c r="B61" s="2" t="n">
        <v>45658</v>
      </c>
      <c r="C61" s="3" t="s">
        <v>27</v>
      </c>
      <c r="D61" s="3" t="s">
        <v>34</v>
      </c>
      <c r="E61" s="3" t="s">
        <v>35</v>
      </c>
      <c r="F61" s="3" t="s">
        <v>30</v>
      </c>
      <c r="G61" s="3" t="s">
        <v>52</v>
      </c>
      <c r="H61" s="3" t="s">
        <v>30</v>
      </c>
      <c r="I61" s="3" t="s">
        <v>37</v>
      </c>
      <c r="J61" s="0" t="n">
        <v>1</v>
      </c>
      <c r="K61" s="0" t="n">
        <v>1</v>
      </c>
      <c r="L61" s="0" t="n">
        <v>1</v>
      </c>
      <c r="M61" s="0" t="n">
        <v>1</v>
      </c>
      <c r="N61" s="0" t="str">
        <f aca="false">IF(OR(NOT(OR(J61=0,J61=1)),NOT(OR(K61=0,K61=1)),NOT(OR(L61=0,L61=1)),NOT(OR(M61=0,M61=1)),NOT(OR(U61=0,U61=1))),"Yes","No")</f>
        <v>No</v>
      </c>
      <c r="O61" s="0" t="str">
        <f aca="false">IF(OR(AND(M61=1,L61=0),AND(L61=1,K61=0),AND(K61=1,J61=0)),"Yes","No")</f>
        <v>No</v>
      </c>
      <c r="P61" s="0" t="n">
        <v>240.42</v>
      </c>
      <c r="Q61" s="0" t="str">
        <f aca="false">IF(OR(AND(M61=0,P61&gt;0),AND(M61=1,P61&lt;=0)),"Yes","No")</f>
        <v>No</v>
      </c>
      <c r="R61" s="0" t="str">
        <f aca="false">IF(AND(M61=1,P61&gt;calc_helpers!$B$5),"Yes","No")</f>
        <v>No</v>
      </c>
      <c r="S61" s="0" t="n">
        <v>0</v>
      </c>
      <c r="T61" s="0" t="str">
        <f aca="false">IF(S61&gt;0,"Yes","No")</f>
        <v>No</v>
      </c>
      <c r="U61" s="0" t="n">
        <v>0</v>
      </c>
      <c r="V61" s="0" t="n">
        <v>16</v>
      </c>
      <c r="W61" s="0" t="str">
        <f aca="false">IF(OR(AND(M61=1,ISBLANK(V61)),AND(M61=0,NOT(ISBLANK(V61)))),"Yes","No")</f>
        <v>No</v>
      </c>
      <c r="X61" s="0" t="n">
        <v>56.5</v>
      </c>
      <c r="Y61" s="3" t="s">
        <v>30</v>
      </c>
      <c r="Z61" s="3" t="n">
        <f aca="false">IF(M61=1,P61,"")</f>
        <v>240.42</v>
      </c>
    </row>
    <row r="62" customFormat="false" ht="15" hidden="false" customHeight="false" outlineLevel="0" collapsed="false">
      <c r="A62" s="0" t="s">
        <v>103</v>
      </c>
      <c r="B62" s="2" t="n">
        <v>45749</v>
      </c>
      <c r="C62" s="3" t="s">
        <v>27</v>
      </c>
      <c r="D62" s="3" t="s">
        <v>43</v>
      </c>
      <c r="E62" s="3" t="s">
        <v>35</v>
      </c>
      <c r="F62" s="3" t="s">
        <v>30</v>
      </c>
      <c r="G62" s="3" t="s">
        <v>50</v>
      </c>
      <c r="H62" s="3" t="s">
        <v>30</v>
      </c>
      <c r="I62" s="3" t="s">
        <v>37</v>
      </c>
      <c r="J62" s="0" t="n">
        <v>1</v>
      </c>
      <c r="K62" s="0" t="n">
        <v>0</v>
      </c>
      <c r="L62" s="0" t="n">
        <v>0</v>
      </c>
      <c r="M62" s="0" t="n">
        <v>0</v>
      </c>
      <c r="N62" s="0" t="str">
        <f aca="false">IF(OR(NOT(OR(J62=0,J62=1)),NOT(OR(K62=0,K62=1)),NOT(OR(L62=0,L62=1)),NOT(OR(M62=0,M62=1)),NOT(OR(U62=0,U62=1))),"Yes","No")</f>
        <v>No</v>
      </c>
      <c r="O62" s="0" t="str">
        <f aca="false">IF(OR(AND(M62=1,L62=0),AND(L62=1,K62=0),AND(K62=1,J62=0)),"Yes","No")</f>
        <v>No</v>
      </c>
      <c r="P62" s="0" t="n">
        <v>0</v>
      </c>
      <c r="Q62" s="0" t="str">
        <f aca="false">IF(OR(AND(M62=0,P62&gt;0),AND(M62=1,P62&lt;=0)),"Yes","No")</f>
        <v>No</v>
      </c>
      <c r="R62" s="0" t="str">
        <f aca="false">IF(AND(M62=1,P62&gt;calc_helpers!$B$5),"Yes","No")</f>
        <v>No</v>
      </c>
      <c r="S62" s="0" t="n">
        <v>0</v>
      </c>
      <c r="T62" s="0" t="str">
        <f aca="false">IF(S62&gt;0,"Yes","No")</f>
        <v>No</v>
      </c>
      <c r="U62" s="0" t="n">
        <v>0</v>
      </c>
      <c r="W62" s="0" t="str">
        <f aca="false">IF(OR(AND(M62=1,ISBLANK(V62)),AND(M62=0,NOT(ISBLANK(V62)))),"Yes","No")</f>
        <v>No</v>
      </c>
      <c r="X62" s="0" t="n">
        <v>53.7</v>
      </c>
      <c r="Y62" s="3" t="s">
        <v>30</v>
      </c>
      <c r="Z62" s="0" t="str">
        <f aca="false">IF(M62=1,P62,"")</f>
        <v/>
      </c>
    </row>
    <row r="63" customFormat="false" ht="15" hidden="false" customHeight="false" outlineLevel="0" collapsed="false">
      <c r="A63" s="0" t="s">
        <v>104</v>
      </c>
      <c r="B63" s="2" t="n">
        <v>45745</v>
      </c>
      <c r="C63" s="3" t="s">
        <v>27</v>
      </c>
      <c r="D63" s="3" t="s">
        <v>28</v>
      </c>
      <c r="E63" s="3" t="s">
        <v>35</v>
      </c>
      <c r="F63" s="3" t="s">
        <v>30</v>
      </c>
      <c r="G63" s="3" t="s">
        <v>52</v>
      </c>
      <c r="H63" s="3" t="s">
        <v>30</v>
      </c>
      <c r="I63" s="3" t="s">
        <v>41</v>
      </c>
      <c r="J63" s="0" t="n">
        <v>0</v>
      </c>
      <c r="K63" s="0" t="n">
        <v>0</v>
      </c>
      <c r="L63" s="0" t="n">
        <v>0</v>
      </c>
      <c r="M63" s="0" t="n">
        <v>0</v>
      </c>
      <c r="N63" s="0" t="str">
        <f aca="false">IF(OR(NOT(OR(J63=0,J63=1)),NOT(OR(K63=0,K63=1)),NOT(OR(L63=0,L63=1)),NOT(OR(M63=0,M63=1)),NOT(OR(U63=0,U63=1))),"Yes","No")</f>
        <v>No</v>
      </c>
      <c r="O63" s="0" t="str">
        <f aca="false">IF(OR(AND(M63=1,L63=0),AND(L63=1,K63=0),AND(K63=1,J63=0)),"Yes","No")</f>
        <v>No</v>
      </c>
      <c r="P63" s="0" t="n">
        <v>0</v>
      </c>
      <c r="Q63" s="0" t="str">
        <f aca="false">IF(OR(AND(M63=0,P63&gt;0),AND(M63=1,P63&lt;=0)),"Yes","No")</f>
        <v>No</v>
      </c>
      <c r="R63" s="0" t="str">
        <f aca="false">IF(AND(M63=1,P63&gt;calc_helpers!$B$5),"Yes","No")</f>
        <v>No</v>
      </c>
      <c r="S63" s="0" t="n">
        <v>0</v>
      </c>
      <c r="T63" s="0" t="str">
        <f aca="false">IF(S63&gt;0,"Yes","No")</f>
        <v>No</v>
      </c>
      <c r="U63" s="0" t="n">
        <v>0</v>
      </c>
      <c r="W63" s="0" t="str">
        <f aca="false">IF(OR(AND(M63=1,ISBLANK(V63)),AND(M63=0,NOT(ISBLANK(V63)))),"Yes","No")</f>
        <v>No</v>
      </c>
      <c r="X63" s="0" t="n">
        <v>62.2</v>
      </c>
      <c r="Y63" s="3" t="s">
        <v>30</v>
      </c>
      <c r="Z63" s="0" t="str">
        <f aca="false">IF(M63=1,P63,"")</f>
        <v/>
      </c>
    </row>
    <row r="64" customFormat="false" ht="15" hidden="false" customHeight="false" outlineLevel="0" collapsed="false">
      <c r="A64" s="0" t="s">
        <v>105</v>
      </c>
      <c r="B64" s="2" t="n">
        <v>45792</v>
      </c>
      <c r="C64" s="3" t="s">
        <v>27</v>
      </c>
      <c r="D64" s="3" t="s">
        <v>43</v>
      </c>
      <c r="E64" s="3" t="s">
        <v>29</v>
      </c>
      <c r="F64" s="3" t="s">
        <v>30</v>
      </c>
      <c r="G64" s="3" t="s">
        <v>36</v>
      </c>
      <c r="H64" s="3" t="s">
        <v>30</v>
      </c>
      <c r="I64" s="3" t="s">
        <v>37</v>
      </c>
      <c r="J64" s="0" t="n">
        <v>1</v>
      </c>
      <c r="K64" s="0" t="n">
        <v>0</v>
      </c>
      <c r="L64" s="0" t="n">
        <v>0</v>
      </c>
      <c r="M64" s="0" t="n">
        <v>0</v>
      </c>
      <c r="N64" s="0" t="str">
        <f aca="false">IF(OR(NOT(OR(J64=0,J64=1)),NOT(OR(K64=0,K64=1)),NOT(OR(L64=0,L64=1)),NOT(OR(M64=0,M64=1)),NOT(OR(U64=0,U64=1))),"Yes","No")</f>
        <v>No</v>
      </c>
      <c r="O64" s="0" t="str">
        <f aca="false">IF(OR(AND(M64=1,L64=0),AND(L64=1,K64=0),AND(K64=1,J64=0)),"Yes","No")</f>
        <v>No</v>
      </c>
      <c r="P64" s="0" t="n">
        <v>0</v>
      </c>
      <c r="Q64" s="0" t="str">
        <f aca="false">IF(OR(AND(M64=0,P64&gt;0),AND(M64=1,P64&lt;=0)),"Yes","No")</f>
        <v>No</v>
      </c>
      <c r="R64" s="0" t="str">
        <f aca="false">IF(AND(M64=1,P64&gt;calc_helpers!$B$5),"Yes","No")</f>
        <v>No</v>
      </c>
      <c r="S64" s="0" t="n">
        <v>0</v>
      </c>
      <c r="T64" s="0" t="str">
        <f aca="false">IF(S64&gt;0,"Yes","No")</f>
        <v>No</v>
      </c>
      <c r="U64" s="0" t="n">
        <v>0</v>
      </c>
      <c r="W64" s="0" t="str">
        <f aca="false">IF(OR(AND(M64=1,ISBLANK(V64)),AND(M64=0,NOT(ISBLANK(V64)))),"Yes","No")</f>
        <v>No</v>
      </c>
      <c r="X64" s="0" t="n">
        <v>50.2</v>
      </c>
      <c r="Y64" s="3" t="s">
        <v>30</v>
      </c>
      <c r="Z64" s="0" t="str">
        <f aca="false">IF(M64=1,P64,"")</f>
        <v/>
      </c>
    </row>
    <row r="65" customFormat="false" ht="15" hidden="false" customHeight="false" outlineLevel="0" collapsed="false">
      <c r="A65" s="0" t="s">
        <v>106</v>
      </c>
      <c r="B65" s="2" t="n">
        <v>45758</v>
      </c>
      <c r="C65" s="3" t="s">
        <v>27</v>
      </c>
      <c r="D65" s="3" t="s">
        <v>28</v>
      </c>
      <c r="E65" s="3" t="s">
        <v>35</v>
      </c>
      <c r="F65" s="3" t="s">
        <v>30</v>
      </c>
      <c r="G65" s="3" t="s">
        <v>36</v>
      </c>
      <c r="H65" s="3" t="s">
        <v>30</v>
      </c>
      <c r="I65" s="3" t="s">
        <v>32</v>
      </c>
      <c r="J65" s="0" t="n">
        <v>1</v>
      </c>
      <c r="K65" s="0" t="n">
        <v>0</v>
      </c>
      <c r="L65" s="0" t="n">
        <v>0</v>
      </c>
      <c r="M65" s="0" t="n">
        <v>0</v>
      </c>
      <c r="N65" s="0" t="str">
        <f aca="false">IF(OR(NOT(OR(J65=0,J65=1)),NOT(OR(K65=0,K65=1)),NOT(OR(L65=0,L65=1)),NOT(OR(M65=0,M65=1)),NOT(OR(U65=0,U65=1))),"Yes","No")</f>
        <v>No</v>
      </c>
      <c r="O65" s="0" t="str">
        <f aca="false">IF(OR(AND(M65=1,L65=0),AND(L65=1,K65=0),AND(K65=1,J65=0)),"Yes","No")</f>
        <v>No</v>
      </c>
      <c r="P65" s="0" t="n">
        <v>0</v>
      </c>
      <c r="Q65" s="0" t="str">
        <f aca="false">IF(OR(AND(M65=0,P65&gt;0),AND(M65=1,P65&lt;=0)),"Yes","No")</f>
        <v>No</v>
      </c>
      <c r="R65" s="0" t="str">
        <f aca="false">IF(AND(M65=1,P65&gt;calc_helpers!$B$5),"Yes","No")</f>
        <v>No</v>
      </c>
      <c r="S65" s="0" t="n">
        <v>0</v>
      </c>
      <c r="T65" s="0" t="str">
        <f aca="false">IF(S65&gt;0,"Yes","No")</f>
        <v>No</v>
      </c>
      <c r="U65" s="0" t="n">
        <v>0</v>
      </c>
      <c r="W65" s="0" t="str">
        <f aca="false">IF(OR(AND(M65=1,ISBLANK(V65)),AND(M65=0,NOT(ISBLANK(V65)))),"Yes","No")</f>
        <v>No</v>
      </c>
      <c r="X65" s="0" t="n">
        <v>74.3</v>
      </c>
      <c r="Y65" s="3" t="s">
        <v>30</v>
      </c>
      <c r="Z65" s="0" t="str">
        <f aca="false">IF(M65=1,P65,"")</f>
        <v/>
      </c>
    </row>
    <row r="66" customFormat="false" ht="15" hidden="false" customHeight="false" outlineLevel="0" collapsed="false">
      <c r="A66" s="0" t="s">
        <v>107</v>
      </c>
      <c r="B66" s="2" t="n">
        <v>45723</v>
      </c>
      <c r="C66" s="3" t="s">
        <v>27</v>
      </c>
      <c r="D66" s="3" t="s">
        <v>43</v>
      </c>
      <c r="E66" s="3" t="s">
        <v>29</v>
      </c>
      <c r="F66" s="3" t="s">
        <v>30</v>
      </c>
      <c r="G66" s="3" t="s">
        <v>40</v>
      </c>
      <c r="H66" s="3" t="s">
        <v>30</v>
      </c>
      <c r="I66" s="3" t="s">
        <v>37</v>
      </c>
      <c r="J66" s="0" t="n">
        <v>1</v>
      </c>
      <c r="K66" s="0" t="n">
        <v>0</v>
      </c>
      <c r="L66" s="0" t="n">
        <v>0</v>
      </c>
      <c r="M66" s="0" t="n">
        <v>0</v>
      </c>
      <c r="N66" s="0" t="str">
        <f aca="false">IF(OR(NOT(OR(J66=0,J66=1)),NOT(OR(K66=0,K66=1)),NOT(OR(L66=0,L66=1)),NOT(OR(M66=0,M66=1)),NOT(OR(U66=0,U66=1))),"Yes","No")</f>
        <v>No</v>
      </c>
      <c r="O66" s="0" t="str">
        <f aca="false">IF(OR(AND(M66=1,L66=0),AND(L66=1,K66=0),AND(K66=1,J66=0)),"Yes","No")</f>
        <v>No</v>
      </c>
      <c r="P66" s="0" t="n">
        <v>0</v>
      </c>
      <c r="Q66" s="0" t="str">
        <f aca="false">IF(OR(AND(M66=0,P66&gt;0),AND(M66=1,P66&lt;=0)),"Yes","No")</f>
        <v>No</v>
      </c>
      <c r="R66" s="0" t="str">
        <f aca="false">IF(AND(M66=1,P66&gt;calc_helpers!$B$5),"Yes","No")</f>
        <v>No</v>
      </c>
      <c r="S66" s="0" t="n">
        <v>0</v>
      </c>
      <c r="T66" s="0" t="str">
        <f aca="false">IF(S66&gt;0,"Yes","No")</f>
        <v>No</v>
      </c>
      <c r="U66" s="0" t="n">
        <v>0</v>
      </c>
      <c r="W66" s="0" t="str">
        <f aca="false">IF(OR(AND(M66=1,ISBLANK(V66)),AND(M66=0,NOT(ISBLANK(V66)))),"Yes","No")</f>
        <v>No</v>
      </c>
      <c r="X66" s="0" t="n">
        <v>58</v>
      </c>
      <c r="Y66" s="3" t="s">
        <v>30</v>
      </c>
      <c r="Z66" s="0" t="str">
        <f aca="false">IF(M66=1,P66,"")</f>
        <v/>
      </c>
    </row>
    <row r="67" customFormat="false" ht="15" hidden="false" customHeight="false" outlineLevel="0" collapsed="false">
      <c r="A67" s="0" t="s">
        <v>108</v>
      </c>
      <c r="B67" s="2" t="n">
        <v>45807</v>
      </c>
      <c r="C67" s="3" t="s">
        <v>27</v>
      </c>
      <c r="D67" s="3" t="s">
        <v>43</v>
      </c>
      <c r="E67" s="3" t="s">
        <v>35</v>
      </c>
      <c r="F67" s="3" t="s">
        <v>30</v>
      </c>
      <c r="G67" s="3" t="s">
        <v>36</v>
      </c>
      <c r="H67" s="3" t="s">
        <v>30</v>
      </c>
      <c r="I67" s="3" t="s">
        <v>37</v>
      </c>
      <c r="J67" s="0" t="n">
        <v>0</v>
      </c>
      <c r="K67" s="0" t="n">
        <v>0</v>
      </c>
      <c r="L67" s="0" t="n">
        <v>0</v>
      </c>
      <c r="M67" s="0" t="n">
        <v>0</v>
      </c>
      <c r="N67" s="0" t="str">
        <f aca="false">IF(OR(NOT(OR(J67=0,J67=1)),NOT(OR(K67=0,K67=1)),NOT(OR(L67=0,L67=1)),NOT(OR(M67=0,M67=1)),NOT(OR(U67=0,U67=1))),"Yes","No")</f>
        <v>No</v>
      </c>
      <c r="O67" s="0" t="str">
        <f aca="false">IF(OR(AND(M67=1,L67=0),AND(L67=1,K67=0),AND(K67=1,J67=0)),"Yes","No")</f>
        <v>No</v>
      </c>
      <c r="P67" s="0" t="n">
        <v>0</v>
      </c>
      <c r="Q67" s="0" t="str">
        <f aca="false">IF(OR(AND(M67=0,P67&gt;0),AND(M67=1,P67&lt;=0)),"Yes","No")</f>
        <v>No</v>
      </c>
      <c r="R67" s="0" t="str">
        <f aca="false">IF(AND(M67=1,P67&gt;calc_helpers!$B$5),"Yes","No")</f>
        <v>No</v>
      </c>
      <c r="S67" s="0" t="n">
        <v>0</v>
      </c>
      <c r="T67" s="0" t="str">
        <f aca="false">IF(S67&gt;0,"Yes","No")</f>
        <v>No</v>
      </c>
      <c r="U67" s="0" t="n">
        <v>0</v>
      </c>
      <c r="W67" s="0" t="str">
        <f aca="false">IF(OR(AND(M67=1,ISBLANK(V67)),AND(M67=0,NOT(ISBLANK(V67)))),"Yes","No")</f>
        <v>No</v>
      </c>
      <c r="X67" s="0" t="n">
        <v>46.7</v>
      </c>
      <c r="Y67" s="3" t="s">
        <v>30</v>
      </c>
      <c r="Z67" s="0" t="str">
        <f aca="false">IF(M67=1,P67,"")</f>
        <v/>
      </c>
    </row>
    <row r="68" customFormat="false" ht="15" hidden="false" customHeight="false" outlineLevel="0" collapsed="false">
      <c r="A68" s="0" t="s">
        <v>109</v>
      </c>
      <c r="B68" s="2" t="n">
        <v>45664</v>
      </c>
      <c r="C68" s="3" t="s">
        <v>27</v>
      </c>
      <c r="D68" s="3" t="s">
        <v>43</v>
      </c>
      <c r="E68" s="3" t="s">
        <v>29</v>
      </c>
      <c r="F68" s="3" t="s">
        <v>30</v>
      </c>
      <c r="G68" s="3" t="s">
        <v>36</v>
      </c>
      <c r="H68" s="3" t="s">
        <v>30</v>
      </c>
      <c r="I68" s="3" t="s">
        <v>41</v>
      </c>
      <c r="J68" s="0" t="n">
        <v>1</v>
      </c>
      <c r="K68" s="0" t="n">
        <v>0</v>
      </c>
      <c r="L68" s="0" t="n">
        <v>0</v>
      </c>
      <c r="M68" s="0" t="n">
        <v>0</v>
      </c>
      <c r="N68" s="0" t="str">
        <f aca="false">IF(OR(NOT(OR(J68=0,J68=1)),NOT(OR(K68=0,K68=1)),NOT(OR(L68=0,L68=1)),NOT(OR(M68=0,M68=1)),NOT(OR(U68=0,U68=1))),"Yes","No")</f>
        <v>No</v>
      </c>
      <c r="O68" s="0" t="str">
        <f aca="false">IF(OR(AND(M68=1,L68=0),AND(L68=1,K68=0),AND(K68=1,J68=0)),"Yes","No")</f>
        <v>No</v>
      </c>
      <c r="P68" s="0" t="n">
        <v>0</v>
      </c>
      <c r="Q68" s="0" t="str">
        <f aca="false">IF(OR(AND(M68=0,P68&gt;0),AND(M68=1,P68&lt;=0)),"Yes","No")</f>
        <v>No</v>
      </c>
      <c r="R68" s="0" t="str">
        <f aca="false">IF(AND(M68=1,P68&gt;calc_helpers!$B$5),"Yes","No")</f>
        <v>No</v>
      </c>
      <c r="S68" s="0" t="n">
        <v>1</v>
      </c>
      <c r="T68" s="0" t="str">
        <f aca="false">IF(S68&gt;0,"Yes","No")</f>
        <v>Yes</v>
      </c>
      <c r="U68" s="0" t="n">
        <v>0</v>
      </c>
      <c r="W68" s="0" t="str">
        <f aca="false">IF(OR(AND(M68=1,ISBLANK(V68)),AND(M68=0,NOT(ISBLANK(V68)))),"Yes","No")</f>
        <v>No</v>
      </c>
      <c r="X68" s="0" t="n">
        <v>49.6</v>
      </c>
      <c r="Y68" s="3" t="s">
        <v>30</v>
      </c>
      <c r="Z68" s="0" t="str">
        <f aca="false">IF(M68=1,P68,"")</f>
        <v/>
      </c>
    </row>
    <row r="69" customFormat="false" ht="15" hidden="false" customHeight="false" outlineLevel="0" collapsed="false">
      <c r="A69" s="0" t="s">
        <v>110</v>
      </c>
      <c r="B69" s="2" t="n">
        <v>45785</v>
      </c>
      <c r="C69" s="3" t="s">
        <v>27</v>
      </c>
      <c r="D69" s="3" t="s">
        <v>34</v>
      </c>
      <c r="E69" s="3" t="s">
        <v>35</v>
      </c>
      <c r="F69" s="3" t="s">
        <v>30</v>
      </c>
      <c r="G69" s="3" t="s">
        <v>52</v>
      </c>
      <c r="H69" s="3" t="s">
        <v>30</v>
      </c>
      <c r="I69" s="3" t="s">
        <v>37</v>
      </c>
      <c r="J69" s="0" t="n">
        <v>0</v>
      </c>
      <c r="K69" s="0" t="n">
        <v>0</v>
      </c>
      <c r="L69" s="0" t="n">
        <v>0</v>
      </c>
      <c r="M69" s="0" t="n">
        <v>0</v>
      </c>
      <c r="N69" s="0" t="str">
        <f aca="false">IF(OR(NOT(OR(J69=0,J69=1)),NOT(OR(K69=0,K69=1)),NOT(OR(L69=0,L69=1)),NOT(OR(M69=0,M69=1)),NOT(OR(U69=0,U69=1))),"Yes","No")</f>
        <v>No</v>
      </c>
      <c r="O69" s="0" t="str">
        <f aca="false">IF(OR(AND(M69=1,L69=0),AND(L69=1,K69=0),AND(K69=1,J69=0)),"Yes","No")</f>
        <v>No</v>
      </c>
      <c r="P69" s="0" t="n">
        <v>0</v>
      </c>
      <c r="Q69" s="0" t="str">
        <f aca="false">IF(OR(AND(M69=0,P69&gt;0),AND(M69=1,P69&lt;=0)),"Yes","No")</f>
        <v>No</v>
      </c>
      <c r="R69" s="0" t="str">
        <f aca="false">IF(AND(M69=1,P69&gt;calc_helpers!$B$5),"Yes","No")</f>
        <v>No</v>
      </c>
      <c r="S69" s="0" t="n">
        <v>0</v>
      </c>
      <c r="T69" s="0" t="str">
        <f aca="false">IF(S69&gt;0,"Yes","No")</f>
        <v>No</v>
      </c>
      <c r="U69" s="0" t="n">
        <v>0</v>
      </c>
      <c r="W69" s="0" t="str">
        <f aca="false">IF(OR(AND(M69=1,ISBLANK(V69)),AND(M69=0,NOT(ISBLANK(V69)))),"Yes","No")</f>
        <v>No</v>
      </c>
      <c r="X69" s="0" t="n">
        <v>60.4</v>
      </c>
      <c r="Y69" s="3" t="s">
        <v>30</v>
      </c>
      <c r="Z69" s="0" t="str">
        <f aca="false">IF(M69=1,P69,"")</f>
        <v/>
      </c>
    </row>
    <row r="70" customFormat="false" ht="15" hidden="false" customHeight="false" outlineLevel="0" collapsed="false">
      <c r="A70" s="0" t="s">
        <v>111</v>
      </c>
      <c r="B70" s="2" t="n">
        <v>45735</v>
      </c>
      <c r="C70" s="3" t="s">
        <v>27</v>
      </c>
      <c r="D70" s="3" t="s">
        <v>39</v>
      </c>
      <c r="E70" s="3" t="s">
        <v>29</v>
      </c>
      <c r="F70" s="3" t="s">
        <v>30</v>
      </c>
      <c r="G70" s="3" t="s">
        <v>31</v>
      </c>
      <c r="H70" s="3" t="s">
        <v>30</v>
      </c>
      <c r="I70" s="3" t="s">
        <v>37</v>
      </c>
      <c r="J70" s="0" t="n">
        <v>1</v>
      </c>
      <c r="K70" s="0" t="n">
        <v>1</v>
      </c>
      <c r="L70" s="0" t="n">
        <v>1</v>
      </c>
      <c r="M70" s="0" t="n">
        <v>0</v>
      </c>
      <c r="N70" s="0" t="str">
        <f aca="false">IF(OR(NOT(OR(J70=0,J70=1)),NOT(OR(K70=0,K70=1)),NOT(OR(L70=0,L70=1)),NOT(OR(M70=0,M70=1)),NOT(OR(U70=0,U70=1))),"Yes","No")</f>
        <v>No</v>
      </c>
      <c r="O70" s="0" t="str">
        <f aca="false">IF(OR(AND(M70=1,L70=0),AND(L70=1,K70=0),AND(K70=1,J70=0)),"Yes","No")</f>
        <v>No</v>
      </c>
      <c r="P70" s="0" t="n">
        <v>0</v>
      </c>
      <c r="Q70" s="0" t="str">
        <f aca="false">IF(OR(AND(M70=0,P70&gt;0),AND(M70=1,P70&lt;=0)),"Yes","No")</f>
        <v>No</v>
      </c>
      <c r="R70" s="0" t="str">
        <f aca="false">IF(AND(M70=1,P70&gt;calc_helpers!$B$5),"Yes","No")</f>
        <v>No</v>
      </c>
      <c r="S70" s="0" t="n">
        <v>0</v>
      </c>
      <c r="T70" s="0" t="str">
        <f aca="false">IF(S70&gt;0,"Yes","No")</f>
        <v>No</v>
      </c>
      <c r="U70" s="0" t="n">
        <v>0</v>
      </c>
      <c r="W70" s="0" t="str">
        <f aca="false">IF(OR(AND(M70=1,ISBLANK(V70)),AND(M70=0,NOT(ISBLANK(V70)))),"Yes","No")</f>
        <v>No</v>
      </c>
      <c r="X70" s="0" t="n">
        <v>55.3</v>
      </c>
      <c r="Y70" s="3" t="s">
        <v>30</v>
      </c>
      <c r="Z70" s="0" t="str">
        <f aca="false">IF(M70=1,P70,"")</f>
        <v/>
      </c>
    </row>
    <row r="71" customFormat="false" ht="15" hidden="false" customHeight="false" outlineLevel="0" collapsed="false">
      <c r="A71" s="0" t="s">
        <v>112</v>
      </c>
      <c r="B71" s="2" t="n">
        <v>45793</v>
      </c>
      <c r="C71" s="3" t="s">
        <v>27</v>
      </c>
      <c r="D71" s="3" t="s">
        <v>28</v>
      </c>
      <c r="E71" s="3" t="s">
        <v>29</v>
      </c>
      <c r="F71" s="3" t="s">
        <v>30</v>
      </c>
      <c r="G71" s="3" t="s">
        <v>36</v>
      </c>
      <c r="H71" s="3" t="s">
        <v>30</v>
      </c>
      <c r="I71" s="3" t="s">
        <v>37</v>
      </c>
      <c r="J71" s="0" t="n">
        <v>0</v>
      </c>
      <c r="K71" s="0" t="n">
        <v>0</v>
      </c>
      <c r="L71" s="0" t="n">
        <v>0</v>
      </c>
      <c r="M71" s="0" t="n">
        <v>0</v>
      </c>
      <c r="N71" s="0" t="str">
        <f aca="false">IF(OR(NOT(OR(J71=0,J71=1)),NOT(OR(K71=0,K71=1)),NOT(OR(L71=0,L71=1)),NOT(OR(M71=0,M71=1)),NOT(OR(U71=0,U71=1))),"Yes","No")</f>
        <v>No</v>
      </c>
      <c r="O71" s="0" t="str">
        <f aca="false">IF(OR(AND(M71=1,L71=0),AND(L71=1,K71=0),AND(K71=1,J71=0)),"Yes","No")</f>
        <v>No</v>
      </c>
      <c r="P71" s="0" t="n">
        <v>0</v>
      </c>
      <c r="Q71" s="0" t="str">
        <f aca="false">IF(OR(AND(M71=0,P71&gt;0),AND(M71=1,P71&lt;=0)),"Yes","No")</f>
        <v>No</v>
      </c>
      <c r="R71" s="0" t="str">
        <f aca="false">IF(AND(M71=1,P71&gt;calc_helpers!$B$5),"Yes","No")</f>
        <v>No</v>
      </c>
      <c r="S71" s="0" t="n">
        <v>0</v>
      </c>
      <c r="T71" s="0" t="str">
        <f aca="false">IF(S71&gt;0,"Yes","No")</f>
        <v>No</v>
      </c>
      <c r="U71" s="0" t="n">
        <v>0</v>
      </c>
      <c r="W71" s="0" t="str">
        <f aca="false">IF(OR(AND(M71=1,ISBLANK(V71)),AND(M71=0,NOT(ISBLANK(V71)))),"Yes","No")</f>
        <v>No</v>
      </c>
      <c r="X71" s="0" t="n">
        <v>56.2</v>
      </c>
      <c r="Y71" s="3" t="s">
        <v>30</v>
      </c>
      <c r="Z71" s="0" t="str">
        <f aca="false">IF(M71=1,P71,"")</f>
        <v/>
      </c>
    </row>
    <row r="72" customFormat="false" ht="15" hidden="false" customHeight="false" outlineLevel="0" collapsed="false">
      <c r="A72" s="0" t="s">
        <v>113</v>
      </c>
      <c r="B72" s="2" t="n">
        <v>45724</v>
      </c>
      <c r="C72" s="3" t="s">
        <v>27</v>
      </c>
      <c r="D72" s="3" t="s">
        <v>34</v>
      </c>
      <c r="E72" s="3" t="s">
        <v>35</v>
      </c>
      <c r="F72" s="3" t="s">
        <v>30</v>
      </c>
      <c r="G72" s="3" t="s">
        <v>31</v>
      </c>
      <c r="H72" s="3" t="s">
        <v>30</v>
      </c>
      <c r="I72" s="3" t="s">
        <v>37</v>
      </c>
      <c r="J72" s="0" t="n">
        <v>0</v>
      </c>
      <c r="K72" s="0" t="n">
        <v>0</v>
      </c>
      <c r="L72" s="0" t="n">
        <v>0</v>
      </c>
      <c r="M72" s="0" t="n">
        <v>0</v>
      </c>
      <c r="N72" s="0" t="str">
        <f aca="false">IF(OR(NOT(OR(J72=0,J72=1)),NOT(OR(K72=0,K72=1)),NOT(OR(L72=0,L72=1)),NOT(OR(M72=0,M72=1)),NOT(OR(U72=0,U72=1))),"Yes","No")</f>
        <v>No</v>
      </c>
      <c r="O72" s="0" t="str">
        <f aca="false">IF(OR(AND(M72=1,L72=0),AND(L72=1,K72=0),AND(K72=1,J72=0)),"Yes","No")</f>
        <v>No</v>
      </c>
      <c r="P72" s="0" t="n">
        <v>0</v>
      </c>
      <c r="Q72" s="0" t="str">
        <f aca="false">IF(OR(AND(M72=0,P72&gt;0),AND(M72=1,P72&lt;=0)),"Yes","No")</f>
        <v>No</v>
      </c>
      <c r="R72" s="0" t="str">
        <f aca="false">IF(AND(M72=1,P72&gt;calc_helpers!$B$5),"Yes","No")</f>
        <v>No</v>
      </c>
      <c r="S72" s="0" t="n">
        <v>0</v>
      </c>
      <c r="T72" s="0" t="str">
        <f aca="false">IF(S72&gt;0,"Yes","No")</f>
        <v>No</v>
      </c>
      <c r="U72" s="0" t="n">
        <v>0</v>
      </c>
      <c r="W72" s="0" t="str">
        <f aca="false">IF(OR(AND(M72=1,ISBLANK(V72)),AND(M72=0,NOT(ISBLANK(V72)))),"Yes","No")</f>
        <v>No</v>
      </c>
      <c r="X72" s="0" t="n">
        <v>29.4</v>
      </c>
      <c r="Y72" s="3" t="s">
        <v>30</v>
      </c>
      <c r="Z72" s="0" t="str">
        <f aca="false">IF(M72=1,P72,"")</f>
        <v/>
      </c>
    </row>
    <row r="73" customFormat="false" ht="15" hidden="false" customHeight="false" outlineLevel="0" collapsed="false">
      <c r="A73" s="0" t="s">
        <v>114</v>
      </c>
      <c r="B73" s="2" t="n">
        <v>45724</v>
      </c>
      <c r="C73" s="3" t="s">
        <v>27</v>
      </c>
      <c r="D73" s="3" t="s">
        <v>39</v>
      </c>
      <c r="E73" s="3" t="s">
        <v>35</v>
      </c>
      <c r="F73" s="3" t="s">
        <v>30</v>
      </c>
      <c r="G73" s="3" t="s">
        <v>31</v>
      </c>
      <c r="H73" s="3" t="s">
        <v>30</v>
      </c>
      <c r="I73" s="3" t="s">
        <v>37</v>
      </c>
      <c r="J73" s="0" t="n">
        <v>1</v>
      </c>
      <c r="K73" s="0" t="n">
        <v>0</v>
      </c>
      <c r="L73" s="0" t="n">
        <v>0</v>
      </c>
      <c r="M73" s="0" t="n">
        <v>0</v>
      </c>
      <c r="N73" s="0" t="str">
        <f aca="false">IF(OR(NOT(OR(J73=0,J73=1)),NOT(OR(K73=0,K73=1)),NOT(OR(L73=0,L73=1)),NOT(OR(M73=0,M73=1)),NOT(OR(U73=0,U73=1))),"Yes","No")</f>
        <v>No</v>
      </c>
      <c r="O73" s="0" t="str">
        <f aca="false">IF(OR(AND(M73=1,L73=0),AND(L73=1,K73=0),AND(K73=1,J73=0)),"Yes","No")</f>
        <v>No</v>
      </c>
      <c r="P73" s="0" t="n">
        <v>0</v>
      </c>
      <c r="Q73" s="0" t="str">
        <f aca="false">IF(OR(AND(M73=0,P73&gt;0),AND(M73=1,P73&lt;=0)),"Yes","No")</f>
        <v>No</v>
      </c>
      <c r="R73" s="0" t="str">
        <f aca="false">IF(AND(M73=1,P73&gt;calc_helpers!$B$5),"Yes","No")</f>
        <v>No</v>
      </c>
      <c r="S73" s="0" t="n">
        <v>0</v>
      </c>
      <c r="T73" s="0" t="str">
        <f aca="false">IF(S73&gt;0,"Yes","No")</f>
        <v>No</v>
      </c>
      <c r="U73" s="0" t="n">
        <v>0</v>
      </c>
      <c r="W73" s="0" t="str">
        <f aca="false">IF(OR(AND(M73=1,ISBLANK(V73)),AND(M73=0,NOT(ISBLANK(V73)))),"Yes","No")</f>
        <v>No</v>
      </c>
      <c r="X73" s="0" t="n">
        <v>54.2</v>
      </c>
      <c r="Y73" s="3" t="s">
        <v>30</v>
      </c>
      <c r="Z73" s="0" t="str">
        <f aca="false">IF(M73=1,P73,"")</f>
        <v/>
      </c>
    </row>
    <row r="74" customFormat="false" ht="15" hidden="false" customHeight="false" outlineLevel="0" collapsed="false">
      <c r="A74" s="0" t="s">
        <v>115</v>
      </c>
      <c r="B74" s="2" t="n">
        <v>45671</v>
      </c>
      <c r="C74" s="3" t="s">
        <v>27</v>
      </c>
      <c r="D74" s="3" t="s">
        <v>39</v>
      </c>
      <c r="E74" s="3" t="s">
        <v>29</v>
      </c>
      <c r="F74" s="3" t="s">
        <v>30</v>
      </c>
      <c r="G74" s="3" t="s">
        <v>40</v>
      </c>
      <c r="H74" s="3" t="s">
        <v>30</v>
      </c>
      <c r="I74" s="3" t="s">
        <v>32</v>
      </c>
      <c r="J74" s="0" t="n">
        <v>0</v>
      </c>
      <c r="K74" s="0" t="n">
        <v>0</v>
      </c>
      <c r="L74" s="0" t="n">
        <v>0</v>
      </c>
      <c r="M74" s="0" t="n">
        <v>0</v>
      </c>
      <c r="N74" s="0" t="str">
        <f aca="false">IF(OR(NOT(OR(J74=0,J74=1)),NOT(OR(K74=0,K74=1)),NOT(OR(L74=0,L74=1)),NOT(OR(M74=0,M74=1)),NOT(OR(U74=0,U74=1))),"Yes","No")</f>
        <v>No</v>
      </c>
      <c r="O74" s="0" t="str">
        <f aca="false">IF(OR(AND(M74=1,L74=0),AND(L74=1,K74=0),AND(K74=1,J74=0)),"Yes","No")</f>
        <v>No</v>
      </c>
      <c r="P74" s="0" t="n">
        <v>0</v>
      </c>
      <c r="Q74" s="0" t="str">
        <f aca="false">IF(OR(AND(M74=0,P74&gt;0),AND(M74=1,P74&lt;=0)),"Yes","No")</f>
        <v>No</v>
      </c>
      <c r="R74" s="0" t="str">
        <f aca="false">IF(AND(M74=1,P74&gt;calc_helpers!$B$5),"Yes","No")</f>
        <v>No</v>
      </c>
      <c r="S74" s="0" t="n">
        <v>0</v>
      </c>
      <c r="T74" s="0" t="str">
        <f aca="false">IF(S74&gt;0,"Yes","No")</f>
        <v>No</v>
      </c>
      <c r="U74" s="0" t="n">
        <v>0</v>
      </c>
      <c r="W74" s="0" t="str">
        <f aca="false">IF(OR(AND(M74=1,ISBLANK(V74)),AND(M74=0,NOT(ISBLANK(V74)))),"Yes","No")</f>
        <v>No</v>
      </c>
      <c r="X74" s="0" t="n">
        <v>46.4</v>
      </c>
      <c r="Y74" s="3" t="s">
        <v>30</v>
      </c>
      <c r="Z74" s="0" t="str">
        <f aca="false">IF(M74=1,P74,"")</f>
        <v/>
      </c>
    </row>
    <row r="75" customFormat="false" ht="15" hidden="false" customHeight="false" outlineLevel="0" collapsed="false">
      <c r="A75" s="0" t="s">
        <v>116</v>
      </c>
      <c r="B75" s="2" t="n">
        <v>45698</v>
      </c>
      <c r="C75" s="3" t="s">
        <v>27</v>
      </c>
      <c r="D75" s="3" t="s">
        <v>43</v>
      </c>
      <c r="E75" s="3" t="s">
        <v>35</v>
      </c>
      <c r="F75" s="3" t="s">
        <v>30</v>
      </c>
      <c r="G75" s="3" t="s">
        <v>40</v>
      </c>
      <c r="H75" s="3" t="s">
        <v>30</v>
      </c>
      <c r="I75" s="3" t="s">
        <v>32</v>
      </c>
      <c r="J75" s="0" t="n">
        <v>0</v>
      </c>
      <c r="K75" s="0" t="n">
        <v>0</v>
      </c>
      <c r="L75" s="0" t="n">
        <v>0</v>
      </c>
      <c r="M75" s="0" t="n">
        <v>0</v>
      </c>
      <c r="N75" s="0" t="str">
        <f aca="false">IF(OR(NOT(OR(J75=0,J75=1)),NOT(OR(K75=0,K75=1)),NOT(OR(L75=0,L75=1)),NOT(OR(M75=0,M75=1)),NOT(OR(U75=0,U75=1))),"Yes","No")</f>
        <v>No</v>
      </c>
      <c r="O75" s="0" t="str">
        <f aca="false">IF(OR(AND(M75=1,L75=0),AND(L75=1,K75=0),AND(K75=1,J75=0)),"Yes","No")</f>
        <v>No</v>
      </c>
      <c r="P75" s="0" t="n">
        <v>0</v>
      </c>
      <c r="Q75" s="0" t="str">
        <f aca="false">IF(OR(AND(M75=0,P75&gt;0),AND(M75=1,P75&lt;=0)),"Yes","No")</f>
        <v>No</v>
      </c>
      <c r="R75" s="0" t="str">
        <f aca="false">IF(AND(M75=1,P75&gt;calc_helpers!$B$5),"Yes","No")</f>
        <v>No</v>
      </c>
      <c r="S75" s="0" t="n">
        <v>0</v>
      </c>
      <c r="T75" s="0" t="str">
        <f aca="false">IF(S75&gt;0,"Yes","No")</f>
        <v>No</v>
      </c>
      <c r="U75" s="0" t="n">
        <v>0</v>
      </c>
      <c r="W75" s="0" t="str">
        <f aca="false">IF(OR(AND(M75=1,ISBLANK(V75)),AND(M75=0,NOT(ISBLANK(V75)))),"Yes","No")</f>
        <v>No</v>
      </c>
      <c r="X75" s="0" t="n">
        <v>54.5</v>
      </c>
      <c r="Y75" s="3" t="s">
        <v>30</v>
      </c>
      <c r="Z75" s="0" t="str">
        <f aca="false">IF(M75=1,P75,"")</f>
        <v/>
      </c>
    </row>
    <row r="76" customFormat="false" ht="15" hidden="false" customHeight="false" outlineLevel="0" collapsed="false">
      <c r="A76" s="0" t="s">
        <v>117</v>
      </c>
      <c r="B76" s="2" t="n">
        <v>45733</v>
      </c>
      <c r="C76" s="3" t="s">
        <v>27</v>
      </c>
      <c r="D76" s="3" t="s">
        <v>28</v>
      </c>
      <c r="E76" s="3" t="s">
        <v>35</v>
      </c>
      <c r="F76" s="3" t="s">
        <v>30</v>
      </c>
      <c r="G76" s="3" t="s">
        <v>36</v>
      </c>
      <c r="H76" s="3" t="s">
        <v>30</v>
      </c>
      <c r="I76" s="3" t="s">
        <v>37</v>
      </c>
      <c r="J76" s="0" t="n">
        <v>0</v>
      </c>
      <c r="K76" s="0" t="n">
        <v>0</v>
      </c>
      <c r="L76" s="0" t="n">
        <v>0</v>
      </c>
      <c r="M76" s="0" t="n">
        <v>0</v>
      </c>
      <c r="N76" s="0" t="str">
        <f aca="false">IF(OR(NOT(OR(J76=0,J76=1)),NOT(OR(K76=0,K76=1)),NOT(OR(L76=0,L76=1)),NOT(OR(M76=0,M76=1)),NOT(OR(U76=0,U76=1))),"Yes","No")</f>
        <v>No</v>
      </c>
      <c r="O76" s="0" t="str">
        <f aca="false">IF(OR(AND(M76=1,L76=0),AND(L76=1,K76=0),AND(K76=1,J76=0)),"Yes","No")</f>
        <v>No</v>
      </c>
      <c r="P76" s="0" t="n">
        <v>0</v>
      </c>
      <c r="Q76" s="0" t="str">
        <f aca="false">IF(OR(AND(M76=0,P76&gt;0),AND(M76=1,P76&lt;=0)),"Yes","No")</f>
        <v>No</v>
      </c>
      <c r="R76" s="0" t="str">
        <f aca="false">IF(AND(M76=1,P76&gt;calc_helpers!$B$5),"Yes","No")</f>
        <v>No</v>
      </c>
      <c r="S76" s="0" t="n">
        <v>0</v>
      </c>
      <c r="T76" s="0" t="str">
        <f aca="false">IF(S76&gt;0,"Yes","No")</f>
        <v>No</v>
      </c>
      <c r="U76" s="0" t="n">
        <v>0</v>
      </c>
      <c r="W76" s="0" t="str">
        <f aca="false">IF(OR(AND(M76=1,ISBLANK(V76)),AND(M76=0,NOT(ISBLANK(V76)))),"Yes","No")</f>
        <v>No</v>
      </c>
      <c r="X76" s="0" t="n">
        <v>58.5</v>
      </c>
      <c r="Y76" s="3" t="s">
        <v>30</v>
      </c>
      <c r="Z76" s="0" t="str">
        <f aca="false">IF(M76=1,P76,"")</f>
        <v/>
      </c>
    </row>
    <row r="77" customFormat="false" ht="15" hidden="false" customHeight="false" outlineLevel="0" collapsed="false">
      <c r="A77" s="0" t="s">
        <v>118</v>
      </c>
      <c r="B77" s="2" t="n">
        <v>45666</v>
      </c>
      <c r="C77" s="3" t="s">
        <v>27</v>
      </c>
      <c r="D77" s="3" t="s">
        <v>43</v>
      </c>
      <c r="E77" s="3" t="s">
        <v>35</v>
      </c>
      <c r="F77" s="3" t="s">
        <v>30</v>
      </c>
      <c r="G77" s="3" t="s">
        <v>31</v>
      </c>
      <c r="H77" s="3" t="s">
        <v>30</v>
      </c>
      <c r="I77" s="3" t="s">
        <v>37</v>
      </c>
      <c r="J77" s="0" t="n">
        <v>0</v>
      </c>
      <c r="K77" s="0" t="n">
        <v>0</v>
      </c>
      <c r="L77" s="0" t="n">
        <v>0</v>
      </c>
      <c r="M77" s="0" t="n">
        <v>0</v>
      </c>
      <c r="N77" s="0" t="str">
        <f aca="false">IF(OR(NOT(OR(J77=0,J77=1)),NOT(OR(K77=0,K77=1)),NOT(OR(L77=0,L77=1)),NOT(OR(M77=0,M77=1)),NOT(OR(U77=0,U77=1))),"Yes","No")</f>
        <v>No</v>
      </c>
      <c r="O77" s="0" t="str">
        <f aca="false">IF(OR(AND(M77=1,L77=0),AND(L77=1,K77=0),AND(K77=1,J77=0)),"Yes","No")</f>
        <v>No</v>
      </c>
      <c r="P77" s="0" t="n">
        <v>0</v>
      </c>
      <c r="Q77" s="0" t="str">
        <f aca="false">IF(OR(AND(M77=0,P77&gt;0),AND(M77=1,P77&lt;=0)),"Yes","No")</f>
        <v>No</v>
      </c>
      <c r="R77" s="0" t="str">
        <f aca="false">IF(AND(M77=1,P77&gt;calc_helpers!$B$5),"Yes","No")</f>
        <v>No</v>
      </c>
      <c r="S77" s="0" t="n">
        <v>0</v>
      </c>
      <c r="T77" s="0" t="str">
        <f aca="false">IF(S77&gt;0,"Yes","No")</f>
        <v>No</v>
      </c>
      <c r="U77" s="0" t="n">
        <v>0</v>
      </c>
      <c r="W77" s="0" t="str">
        <f aca="false">IF(OR(AND(M77=1,ISBLANK(V77)),AND(M77=0,NOT(ISBLANK(V77)))),"Yes","No")</f>
        <v>No</v>
      </c>
      <c r="X77" s="0" t="n">
        <v>75.9</v>
      </c>
      <c r="Y77" s="3" t="s">
        <v>30</v>
      </c>
      <c r="Z77" s="0" t="str">
        <f aca="false">IF(M77=1,P77,"")</f>
        <v/>
      </c>
    </row>
    <row r="78" customFormat="false" ht="15" hidden="false" customHeight="false" outlineLevel="0" collapsed="false">
      <c r="A78" s="0" t="s">
        <v>119</v>
      </c>
      <c r="B78" s="2" t="n">
        <v>45764</v>
      </c>
      <c r="C78" s="3" t="s">
        <v>27</v>
      </c>
      <c r="D78" s="3" t="s">
        <v>28</v>
      </c>
      <c r="E78" s="3" t="s">
        <v>35</v>
      </c>
      <c r="F78" s="3" t="s">
        <v>30</v>
      </c>
      <c r="G78" s="3" t="s">
        <v>50</v>
      </c>
      <c r="H78" s="3" t="s">
        <v>30</v>
      </c>
      <c r="I78" s="3" t="s">
        <v>37</v>
      </c>
      <c r="J78" s="0" t="n">
        <v>0</v>
      </c>
      <c r="K78" s="0" t="n">
        <v>0</v>
      </c>
      <c r="L78" s="0" t="n">
        <v>0</v>
      </c>
      <c r="M78" s="0" t="n">
        <v>0</v>
      </c>
      <c r="N78" s="0" t="str">
        <f aca="false">IF(OR(NOT(OR(J78=0,J78=1)),NOT(OR(K78=0,K78=1)),NOT(OR(L78=0,L78=1)),NOT(OR(M78=0,M78=1)),NOT(OR(U78=0,U78=1))),"Yes","No")</f>
        <v>No</v>
      </c>
      <c r="O78" s="0" t="str">
        <f aca="false">IF(OR(AND(M78=1,L78=0),AND(L78=1,K78=0),AND(K78=1,J78=0)),"Yes","No")</f>
        <v>No</v>
      </c>
      <c r="P78" s="0" t="n">
        <v>0</v>
      </c>
      <c r="Q78" s="0" t="str">
        <f aca="false">IF(OR(AND(M78=0,P78&gt;0),AND(M78=1,P78&lt;=0)),"Yes","No")</f>
        <v>No</v>
      </c>
      <c r="R78" s="0" t="str">
        <f aca="false">IF(AND(M78=1,P78&gt;calc_helpers!$B$5),"Yes","No")</f>
        <v>No</v>
      </c>
      <c r="S78" s="0" t="n">
        <v>1</v>
      </c>
      <c r="T78" s="0" t="str">
        <f aca="false">IF(S78&gt;0,"Yes","No")</f>
        <v>Yes</v>
      </c>
      <c r="U78" s="0" t="n">
        <v>0</v>
      </c>
      <c r="W78" s="0" t="str">
        <f aca="false">IF(OR(AND(M78=1,ISBLANK(V78)),AND(M78=0,NOT(ISBLANK(V78)))),"Yes","No")</f>
        <v>No</v>
      </c>
      <c r="X78" s="0" t="n">
        <v>84.9</v>
      </c>
      <c r="Y78" s="3" t="s">
        <v>30</v>
      </c>
      <c r="Z78" s="0" t="str">
        <f aca="false">IF(M78=1,P78,"")</f>
        <v/>
      </c>
    </row>
    <row r="79" customFormat="false" ht="15" hidden="false" customHeight="false" outlineLevel="0" collapsed="false">
      <c r="A79" s="0" t="s">
        <v>120</v>
      </c>
      <c r="B79" s="2" t="n">
        <v>45673</v>
      </c>
      <c r="C79" s="3" t="s">
        <v>27</v>
      </c>
      <c r="D79" s="3" t="s">
        <v>28</v>
      </c>
      <c r="E79" s="3" t="s">
        <v>35</v>
      </c>
      <c r="F79" s="3" t="s">
        <v>30</v>
      </c>
      <c r="G79" s="3" t="s">
        <v>36</v>
      </c>
      <c r="H79" s="3" t="s">
        <v>30</v>
      </c>
      <c r="I79" s="3" t="s">
        <v>37</v>
      </c>
      <c r="J79" s="0" t="n">
        <v>0</v>
      </c>
      <c r="K79" s="0" t="n">
        <v>0</v>
      </c>
      <c r="L79" s="0" t="n">
        <v>0</v>
      </c>
      <c r="M79" s="0" t="n">
        <v>0</v>
      </c>
      <c r="N79" s="0" t="str">
        <f aca="false">IF(OR(NOT(OR(J79=0,J79=1)),NOT(OR(K79=0,K79=1)),NOT(OR(L79=0,L79=1)),NOT(OR(M79=0,M79=1)),NOT(OR(U79=0,U79=1))),"Yes","No")</f>
        <v>No</v>
      </c>
      <c r="O79" s="0" t="str">
        <f aca="false">IF(OR(AND(M79=1,L79=0),AND(L79=1,K79=0),AND(K79=1,J79=0)),"Yes","No")</f>
        <v>No</v>
      </c>
      <c r="P79" s="0" t="n">
        <v>0</v>
      </c>
      <c r="Q79" s="0" t="str">
        <f aca="false">IF(OR(AND(M79=0,P79&gt;0),AND(M79=1,P79&lt;=0)),"Yes","No")</f>
        <v>No</v>
      </c>
      <c r="R79" s="0" t="str">
        <f aca="false">IF(AND(M79=1,P79&gt;calc_helpers!$B$5),"Yes","No")</f>
        <v>No</v>
      </c>
      <c r="S79" s="0" t="n">
        <v>2</v>
      </c>
      <c r="T79" s="0" t="str">
        <f aca="false">IF(S79&gt;0,"Yes","No")</f>
        <v>Yes</v>
      </c>
      <c r="U79" s="0" t="n">
        <v>0</v>
      </c>
      <c r="W79" s="0" t="str">
        <f aca="false">IF(OR(AND(M79=1,ISBLANK(V79)),AND(M79=0,NOT(ISBLANK(V79)))),"Yes","No")</f>
        <v>No</v>
      </c>
      <c r="X79" s="0" t="n">
        <v>48.4</v>
      </c>
      <c r="Y79" s="3" t="s">
        <v>30</v>
      </c>
      <c r="Z79" s="0" t="str">
        <f aca="false">IF(M79=1,P79,"")</f>
        <v/>
      </c>
    </row>
    <row r="80" customFormat="false" ht="15" hidden="false" customHeight="false" outlineLevel="0" collapsed="false">
      <c r="A80" s="0" t="s">
        <v>121</v>
      </c>
      <c r="B80" s="2" t="n">
        <v>45708</v>
      </c>
      <c r="C80" s="3" t="s">
        <v>27</v>
      </c>
      <c r="D80" s="3" t="s">
        <v>34</v>
      </c>
      <c r="E80" s="3" t="s">
        <v>29</v>
      </c>
      <c r="F80" s="3" t="s">
        <v>30</v>
      </c>
      <c r="G80" s="3" t="s">
        <v>36</v>
      </c>
      <c r="H80" s="3" t="s">
        <v>30</v>
      </c>
      <c r="I80" s="3" t="s">
        <v>37</v>
      </c>
      <c r="J80" s="0" t="n">
        <v>1</v>
      </c>
      <c r="K80" s="0" t="n">
        <v>1</v>
      </c>
      <c r="L80" s="0" t="n">
        <v>1</v>
      </c>
      <c r="M80" s="0" t="n">
        <v>1</v>
      </c>
      <c r="N80" s="0" t="str">
        <f aca="false">IF(OR(NOT(OR(J80=0,J80=1)),NOT(OR(K80=0,K80=1)),NOT(OR(L80=0,L80=1)),NOT(OR(M80=0,M80=1)),NOT(OR(U80=0,U80=1))),"Yes","No")</f>
        <v>No</v>
      </c>
      <c r="O80" s="0" t="str">
        <f aca="false">IF(OR(AND(M80=1,L80=0),AND(L80=1,K80=0),AND(K80=1,J80=0)),"Yes","No")</f>
        <v>No</v>
      </c>
      <c r="P80" s="0" t="n">
        <v>457.51</v>
      </c>
      <c r="Q80" s="0" t="str">
        <f aca="false">IF(OR(AND(M80=0,P80&gt;0),AND(M80=1,P80&lt;=0)),"Yes","No")</f>
        <v>No</v>
      </c>
      <c r="R80" s="0" t="str">
        <f aca="false">IF(AND(M80=1,P80&gt;calc_helpers!$B$5),"Yes","No")</f>
        <v>No</v>
      </c>
      <c r="S80" s="0" t="n">
        <v>0</v>
      </c>
      <c r="T80" s="0" t="str">
        <f aca="false">IF(S80&gt;0,"Yes","No")</f>
        <v>No</v>
      </c>
      <c r="U80" s="0" t="n">
        <v>0</v>
      </c>
      <c r="V80" s="0" t="n">
        <v>7</v>
      </c>
      <c r="W80" s="0" t="str">
        <f aca="false">IF(OR(AND(M80=1,ISBLANK(V80)),AND(M80=0,NOT(ISBLANK(V80)))),"Yes","No")</f>
        <v>No</v>
      </c>
      <c r="X80" s="0" t="n">
        <v>38</v>
      </c>
      <c r="Y80" s="3" t="s">
        <v>30</v>
      </c>
      <c r="Z80" s="3" t="n">
        <f aca="false">IF(M80=1,P80,"")</f>
        <v>457.51</v>
      </c>
    </row>
    <row r="81" customFormat="false" ht="15" hidden="false" customHeight="false" outlineLevel="0" collapsed="false">
      <c r="A81" s="0" t="s">
        <v>122</v>
      </c>
      <c r="B81" s="2" t="n">
        <v>45798</v>
      </c>
      <c r="C81" s="3" t="s">
        <v>27</v>
      </c>
      <c r="D81" s="3" t="s">
        <v>39</v>
      </c>
      <c r="E81" s="3" t="s">
        <v>35</v>
      </c>
      <c r="F81" s="3" t="s">
        <v>30</v>
      </c>
      <c r="G81" s="3" t="s">
        <v>52</v>
      </c>
      <c r="H81" s="3" t="s">
        <v>30</v>
      </c>
      <c r="I81" s="3" t="s">
        <v>37</v>
      </c>
      <c r="J81" s="0" t="n">
        <v>1</v>
      </c>
      <c r="K81" s="0" t="n">
        <v>0</v>
      </c>
      <c r="L81" s="0" t="n">
        <v>0</v>
      </c>
      <c r="M81" s="0" t="n">
        <v>0</v>
      </c>
      <c r="N81" s="0" t="str">
        <f aca="false">IF(OR(NOT(OR(J81=0,J81=1)),NOT(OR(K81=0,K81=1)),NOT(OR(L81=0,L81=1)),NOT(OR(M81=0,M81=1)),NOT(OR(U81=0,U81=1))),"Yes","No")</f>
        <v>No</v>
      </c>
      <c r="O81" s="0" t="str">
        <f aca="false">IF(OR(AND(M81=1,L81=0),AND(L81=1,K81=0),AND(K81=1,J81=0)),"Yes","No")</f>
        <v>No</v>
      </c>
      <c r="P81" s="0" t="n">
        <v>0</v>
      </c>
      <c r="Q81" s="0" t="str">
        <f aca="false">IF(OR(AND(M81=0,P81&gt;0),AND(M81=1,P81&lt;=0)),"Yes","No")</f>
        <v>No</v>
      </c>
      <c r="R81" s="0" t="str">
        <f aca="false">IF(AND(M81=1,P81&gt;calc_helpers!$B$5),"Yes","No")</f>
        <v>No</v>
      </c>
      <c r="S81" s="0" t="n">
        <v>0</v>
      </c>
      <c r="T81" s="0" t="str">
        <f aca="false">IF(S81&gt;0,"Yes","No")</f>
        <v>No</v>
      </c>
      <c r="U81" s="0" t="n">
        <v>0</v>
      </c>
      <c r="W81" s="0" t="str">
        <f aca="false">IF(OR(AND(M81=1,ISBLANK(V81)),AND(M81=0,NOT(ISBLANK(V81)))),"Yes","No")</f>
        <v>No</v>
      </c>
      <c r="X81" s="0" t="n">
        <v>44.2</v>
      </c>
      <c r="Y81" s="3" t="s">
        <v>30</v>
      </c>
      <c r="Z81" s="0" t="str">
        <f aca="false">IF(M81=1,P81,"")</f>
        <v/>
      </c>
    </row>
    <row r="82" customFormat="false" ht="15" hidden="false" customHeight="false" outlineLevel="0" collapsed="false">
      <c r="A82" s="0" t="s">
        <v>123</v>
      </c>
      <c r="B82" s="2" t="n">
        <v>45785</v>
      </c>
      <c r="C82" s="3" t="s">
        <v>27</v>
      </c>
      <c r="D82" s="3" t="s">
        <v>43</v>
      </c>
      <c r="E82" s="3" t="s">
        <v>35</v>
      </c>
      <c r="F82" s="3" t="s">
        <v>30</v>
      </c>
      <c r="G82" s="3" t="s">
        <v>36</v>
      </c>
      <c r="H82" s="3" t="s">
        <v>30</v>
      </c>
      <c r="I82" s="3" t="s">
        <v>37</v>
      </c>
      <c r="J82" s="0" t="n">
        <v>1</v>
      </c>
      <c r="K82" s="0" t="n">
        <v>1</v>
      </c>
      <c r="L82" s="0" t="n">
        <v>1</v>
      </c>
      <c r="M82" s="0" t="n">
        <v>0</v>
      </c>
      <c r="N82" s="0" t="str">
        <f aca="false">IF(OR(NOT(OR(J82=0,J82=1)),NOT(OR(K82=0,K82=1)),NOT(OR(L82=0,L82=1)),NOT(OR(M82=0,M82=1)),NOT(OR(U82=0,U82=1))),"Yes","No")</f>
        <v>No</v>
      </c>
      <c r="O82" s="0" t="str">
        <f aca="false">IF(OR(AND(M82=1,L82=0),AND(L82=1,K82=0),AND(K82=1,J82=0)),"Yes","No")</f>
        <v>No</v>
      </c>
      <c r="P82" s="0" t="n">
        <v>0</v>
      </c>
      <c r="Q82" s="0" t="str">
        <f aca="false">IF(OR(AND(M82=0,P82&gt;0),AND(M82=1,P82&lt;=0)),"Yes","No")</f>
        <v>No</v>
      </c>
      <c r="R82" s="0" t="str">
        <f aca="false">IF(AND(M82=1,P82&gt;calc_helpers!$B$5),"Yes","No")</f>
        <v>No</v>
      </c>
      <c r="S82" s="0" t="n">
        <v>0</v>
      </c>
      <c r="T82" s="0" t="str">
        <f aca="false">IF(S82&gt;0,"Yes","No")</f>
        <v>No</v>
      </c>
      <c r="U82" s="0" t="n">
        <v>0</v>
      </c>
      <c r="W82" s="0" t="str">
        <f aca="false">IF(OR(AND(M82=1,ISBLANK(V82)),AND(M82=0,NOT(ISBLANK(V82)))),"Yes","No")</f>
        <v>No</v>
      </c>
      <c r="X82" s="0" t="n">
        <v>81.2</v>
      </c>
      <c r="Y82" s="3" t="s">
        <v>30</v>
      </c>
      <c r="Z82" s="0" t="str">
        <f aca="false">IF(M82=1,P82,"")</f>
        <v/>
      </c>
    </row>
    <row r="83" customFormat="false" ht="15" hidden="false" customHeight="false" outlineLevel="0" collapsed="false">
      <c r="A83" s="0" t="s">
        <v>124</v>
      </c>
      <c r="B83" s="2" t="n">
        <v>45724</v>
      </c>
      <c r="C83" s="3" t="s">
        <v>27</v>
      </c>
      <c r="D83" s="3" t="s">
        <v>43</v>
      </c>
      <c r="E83" s="3" t="s">
        <v>35</v>
      </c>
      <c r="F83" s="3" t="s">
        <v>30</v>
      </c>
      <c r="G83" s="3" t="s">
        <v>50</v>
      </c>
      <c r="H83" s="3" t="s">
        <v>30</v>
      </c>
      <c r="I83" s="3" t="s">
        <v>37</v>
      </c>
      <c r="J83" s="0" t="n">
        <v>1</v>
      </c>
      <c r="K83" s="0" t="n">
        <v>1</v>
      </c>
      <c r="L83" s="0" t="n">
        <v>0</v>
      </c>
      <c r="M83" s="0" t="n">
        <v>0</v>
      </c>
      <c r="N83" s="0" t="str">
        <f aca="false">IF(OR(NOT(OR(J83=0,J83=1)),NOT(OR(K83=0,K83=1)),NOT(OR(L83=0,L83=1)),NOT(OR(M83=0,M83=1)),NOT(OR(U83=0,U83=1))),"Yes","No")</f>
        <v>No</v>
      </c>
      <c r="O83" s="0" t="str">
        <f aca="false">IF(OR(AND(M83=1,L83=0),AND(L83=1,K83=0),AND(K83=1,J83=0)),"Yes","No")</f>
        <v>No</v>
      </c>
      <c r="P83" s="0" t="n">
        <v>0</v>
      </c>
      <c r="Q83" s="0" t="str">
        <f aca="false">IF(OR(AND(M83=0,P83&gt;0),AND(M83=1,P83&lt;=0)),"Yes","No")</f>
        <v>No</v>
      </c>
      <c r="R83" s="0" t="str">
        <f aca="false">IF(AND(M83=1,P83&gt;calc_helpers!$B$5),"Yes","No")</f>
        <v>No</v>
      </c>
      <c r="S83" s="0" t="n">
        <v>0</v>
      </c>
      <c r="T83" s="0" t="str">
        <f aca="false">IF(S83&gt;0,"Yes","No")</f>
        <v>No</v>
      </c>
      <c r="U83" s="0" t="n">
        <v>0</v>
      </c>
      <c r="W83" s="0" t="str">
        <f aca="false">IF(OR(AND(M83=1,ISBLANK(V83)),AND(M83=0,NOT(ISBLANK(V83)))),"Yes","No")</f>
        <v>No</v>
      </c>
      <c r="X83" s="0" t="n">
        <v>63.8</v>
      </c>
      <c r="Y83" s="3" t="s">
        <v>30</v>
      </c>
      <c r="Z83" s="0" t="str">
        <f aca="false">IF(M83=1,P83,"")</f>
        <v/>
      </c>
    </row>
    <row r="84" customFormat="false" ht="15" hidden="false" customHeight="false" outlineLevel="0" collapsed="false">
      <c r="A84" s="0" t="s">
        <v>125</v>
      </c>
      <c r="B84" s="2" t="n">
        <v>45748</v>
      </c>
      <c r="C84" s="3" t="s">
        <v>27</v>
      </c>
      <c r="D84" s="3" t="s">
        <v>43</v>
      </c>
      <c r="E84" s="3" t="s">
        <v>29</v>
      </c>
      <c r="F84" s="3" t="s">
        <v>30</v>
      </c>
      <c r="G84" s="3" t="s">
        <v>31</v>
      </c>
      <c r="H84" s="3" t="s">
        <v>30</v>
      </c>
      <c r="I84" s="3" t="s">
        <v>37</v>
      </c>
      <c r="J84" s="0" t="n">
        <v>0</v>
      </c>
      <c r="K84" s="0" t="n">
        <v>0</v>
      </c>
      <c r="L84" s="0" t="n">
        <v>0</v>
      </c>
      <c r="M84" s="0" t="n">
        <v>0</v>
      </c>
      <c r="N84" s="0" t="str">
        <f aca="false">IF(OR(NOT(OR(J84=0,J84=1)),NOT(OR(K84=0,K84=1)),NOT(OR(L84=0,L84=1)),NOT(OR(M84=0,M84=1)),NOT(OR(U84=0,U84=1))),"Yes","No")</f>
        <v>No</v>
      </c>
      <c r="O84" s="0" t="str">
        <f aca="false">IF(OR(AND(M84=1,L84=0),AND(L84=1,K84=0),AND(K84=1,J84=0)),"Yes","No")</f>
        <v>No</v>
      </c>
      <c r="P84" s="0" t="n">
        <v>0</v>
      </c>
      <c r="Q84" s="0" t="str">
        <f aca="false">IF(OR(AND(M84=0,P84&gt;0),AND(M84=1,P84&lt;=0)),"Yes","No")</f>
        <v>No</v>
      </c>
      <c r="R84" s="0" t="str">
        <f aca="false">IF(AND(M84=1,P84&gt;calc_helpers!$B$5),"Yes","No")</f>
        <v>No</v>
      </c>
      <c r="S84" s="0" t="n">
        <v>0</v>
      </c>
      <c r="T84" s="0" t="str">
        <f aca="false">IF(S84&gt;0,"Yes","No")</f>
        <v>No</v>
      </c>
      <c r="U84" s="0" t="n">
        <v>0</v>
      </c>
      <c r="W84" s="0" t="str">
        <f aca="false">IF(OR(AND(M84=1,ISBLANK(V84)),AND(M84=0,NOT(ISBLANK(V84)))),"Yes","No")</f>
        <v>No</v>
      </c>
      <c r="X84" s="0" t="n">
        <v>64.7</v>
      </c>
      <c r="Y84" s="3" t="s">
        <v>30</v>
      </c>
      <c r="Z84" s="0" t="str">
        <f aca="false">IF(M84=1,P84,"")</f>
        <v/>
      </c>
    </row>
    <row r="85" customFormat="false" ht="15" hidden="false" customHeight="false" outlineLevel="0" collapsed="false">
      <c r="A85" s="0" t="s">
        <v>126</v>
      </c>
      <c r="B85" s="2" t="n">
        <v>45719</v>
      </c>
      <c r="C85" s="3" t="s">
        <v>27</v>
      </c>
      <c r="D85" s="3" t="s">
        <v>34</v>
      </c>
      <c r="E85" s="3" t="s">
        <v>35</v>
      </c>
      <c r="F85" s="3" t="s">
        <v>30</v>
      </c>
      <c r="G85" s="3" t="s">
        <v>52</v>
      </c>
      <c r="H85" s="3" t="s">
        <v>30</v>
      </c>
      <c r="I85" s="3" t="s">
        <v>32</v>
      </c>
      <c r="J85" s="0" t="n">
        <v>0</v>
      </c>
      <c r="K85" s="0" t="n">
        <v>0</v>
      </c>
      <c r="L85" s="0" t="n">
        <v>0</v>
      </c>
      <c r="M85" s="0" t="n">
        <v>0</v>
      </c>
      <c r="N85" s="0" t="str">
        <f aca="false">IF(OR(NOT(OR(J85=0,J85=1)),NOT(OR(K85=0,K85=1)),NOT(OR(L85=0,L85=1)),NOT(OR(M85=0,M85=1)),NOT(OR(U85=0,U85=1))),"Yes","No")</f>
        <v>No</v>
      </c>
      <c r="O85" s="0" t="str">
        <f aca="false">IF(OR(AND(M85=1,L85=0),AND(L85=1,K85=0),AND(K85=1,J85=0)),"Yes","No")</f>
        <v>No</v>
      </c>
      <c r="P85" s="0" t="n">
        <v>0</v>
      </c>
      <c r="Q85" s="0" t="str">
        <f aca="false">IF(OR(AND(M85=0,P85&gt;0),AND(M85=1,P85&lt;=0)),"Yes","No")</f>
        <v>No</v>
      </c>
      <c r="R85" s="0" t="str">
        <f aca="false">IF(AND(M85=1,P85&gt;calc_helpers!$B$5),"Yes","No")</f>
        <v>No</v>
      </c>
      <c r="S85" s="0" t="n">
        <v>0</v>
      </c>
      <c r="T85" s="0" t="str">
        <f aca="false">IF(S85&gt;0,"Yes","No")</f>
        <v>No</v>
      </c>
      <c r="U85" s="0" t="n">
        <v>0</v>
      </c>
      <c r="W85" s="0" t="str">
        <f aca="false">IF(OR(AND(M85=1,ISBLANK(V85)),AND(M85=0,NOT(ISBLANK(V85)))),"Yes","No")</f>
        <v>No</v>
      </c>
      <c r="X85" s="0" t="n">
        <v>60.4</v>
      </c>
      <c r="Y85" s="3" t="s">
        <v>30</v>
      </c>
      <c r="Z85" s="0" t="str">
        <f aca="false">IF(M85=1,P85,"")</f>
        <v/>
      </c>
    </row>
    <row r="86" customFormat="false" ht="15" hidden="false" customHeight="false" outlineLevel="0" collapsed="false">
      <c r="A86" s="0" t="s">
        <v>127</v>
      </c>
      <c r="B86" s="2" t="n">
        <v>45763</v>
      </c>
      <c r="C86" s="3" t="s">
        <v>27</v>
      </c>
      <c r="D86" s="3" t="s">
        <v>43</v>
      </c>
      <c r="E86" s="3" t="s">
        <v>35</v>
      </c>
      <c r="F86" s="3" t="s">
        <v>30</v>
      </c>
      <c r="G86" s="3" t="s">
        <v>40</v>
      </c>
      <c r="H86" s="3" t="s">
        <v>30</v>
      </c>
      <c r="I86" s="3" t="s">
        <v>37</v>
      </c>
      <c r="J86" s="0" t="n">
        <v>0</v>
      </c>
      <c r="K86" s="0" t="n">
        <v>0</v>
      </c>
      <c r="L86" s="0" t="n">
        <v>0</v>
      </c>
      <c r="M86" s="0" t="n">
        <v>0</v>
      </c>
      <c r="N86" s="0" t="str">
        <f aca="false">IF(OR(NOT(OR(J86=0,J86=1)),NOT(OR(K86=0,K86=1)),NOT(OR(L86=0,L86=1)),NOT(OR(M86=0,M86=1)),NOT(OR(U86=0,U86=1))),"Yes","No")</f>
        <v>No</v>
      </c>
      <c r="O86" s="0" t="str">
        <f aca="false">IF(OR(AND(M86=1,L86=0),AND(L86=1,K86=0),AND(K86=1,J86=0)),"Yes","No")</f>
        <v>No</v>
      </c>
      <c r="P86" s="0" t="n">
        <v>0</v>
      </c>
      <c r="Q86" s="0" t="str">
        <f aca="false">IF(OR(AND(M86=0,P86&gt;0),AND(M86=1,P86&lt;=0)),"Yes","No")</f>
        <v>No</v>
      </c>
      <c r="R86" s="0" t="str">
        <f aca="false">IF(AND(M86=1,P86&gt;calc_helpers!$B$5),"Yes","No")</f>
        <v>No</v>
      </c>
      <c r="S86" s="0" t="n">
        <v>0</v>
      </c>
      <c r="T86" s="0" t="str">
        <f aca="false">IF(S86&gt;0,"Yes","No")</f>
        <v>No</v>
      </c>
      <c r="U86" s="0" t="n">
        <v>0</v>
      </c>
      <c r="W86" s="0" t="str">
        <f aca="false">IF(OR(AND(M86=1,ISBLANK(V86)),AND(M86=0,NOT(ISBLANK(V86)))),"Yes","No")</f>
        <v>No</v>
      </c>
      <c r="X86" s="0" t="n">
        <v>66.6</v>
      </c>
      <c r="Y86" s="3" t="s">
        <v>30</v>
      </c>
      <c r="Z86" s="0" t="str">
        <f aca="false">IF(M86=1,P86,"")</f>
        <v/>
      </c>
    </row>
    <row r="87" customFormat="false" ht="15" hidden="false" customHeight="false" outlineLevel="0" collapsed="false">
      <c r="A87" s="0" t="s">
        <v>128</v>
      </c>
      <c r="B87" s="2" t="n">
        <v>45666</v>
      </c>
      <c r="C87" s="3" t="s">
        <v>27</v>
      </c>
      <c r="D87" s="3" t="s">
        <v>28</v>
      </c>
      <c r="E87" s="3" t="s">
        <v>29</v>
      </c>
      <c r="F87" s="3" t="s">
        <v>30</v>
      </c>
      <c r="G87" s="3" t="s">
        <v>36</v>
      </c>
      <c r="H87" s="3" t="s">
        <v>30</v>
      </c>
      <c r="I87" s="3" t="s">
        <v>37</v>
      </c>
      <c r="J87" s="0" t="n">
        <v>1</v>
      </c>
      <c r="K87" s="0" t="n">
        <v>0</v>
      </c>
      <c r="L87" s="0" t="n">
        <v>0</v>
      </c>
      <c r="M87" s="0" t="n">
        <v>0</v>
      </c>
      <c r="N87" s="0" t="str">
        <f aca="false">IF(OR(NOT(OR(J87=0,J87=1)),NOT(OR(K87=0,K87=1)),NOT(OR(L87=0,L87=1)),NOT(OR(M87=0,M87=1)),NOT(OR(U87=0,U87=1))),"Yes","No")</f>
        <v>No</v>
      </c>
      <c r="O87" s="0" t="str">
        <f aca="false">IF(OR(AND(M87=1,L87=0),AND(L87=1,K87=0),AND(K87=1,J87=0)),"Yes","No")</f>
        <v>No</v>
      </c>
      <c r="P87" s="0" t="n">
        <v>0</v>
      </c>
      <c r="Q87" s="0" t="str">
        <f aca="false">IF(OR(AND(M87=0,P87&gt;0),AND(M87=1,P87&lt;=0)),"Yes","No")</f>
        <v>No</v>
      </c>
      <c r="R87" s="0" t="str">
        <f aca="false">IF(AND(M87=1,P87&gt;calc_helpers!$B$5),"Yes","No")</f>
        <v>No</v>
      </c>
      <c r="S87" s="0" t="n">
        <v>0</v>
      </c>
      <c r="T87" s="0" t="str">
        <f aca="false">IF(S87&gt;0,"Yes","No")</f>
        <v>No</v>
      </c>
      <c r="U87" s="0" t="n">
        <v>0</v>
      </c>
      <c r="W87" s="0" t="str">
        <f aca="false">IF(OR(AND(M87=1,ISBLANK(V87)),AND(M87=0,NOT(ISBLANK(V87)))),"Yes","No")</f>
        <v>No</v>
      </c>
      <c r="X87" s="0" t="n">
        <v>50.9</v>
      </c>
      <c r="Y87" s="3" t="s">
        <v>30</v>
      </c>
      <c r="Z87" s="0" t="str">
        <f aca="false">IF(M87=1,P87,"")</f>
        <v/>
      </c>
    </row>
    <row r="88" customFormat="false" ht="15" hidden="false" customHeight="false" outlineLevel="0" collapsed="false">
      <c r="A88" s="0" t="s">
        <v>129</v>
      </c>
      <c r="B88" s="2" t="n">
        <v>45679</v>
      </c>
      <c r="C88" s="3" t="s">
        <v>27</v>
      </c>
      <c r="D88" s="3" t="s">
        <v>34</v>
      </c>
      <c r="E88" s="3" t="s">
        <v>29</v>
      </c>
      <c r="F88" s="3" t="s">
        <v>30</v>
      </c>
      <c r="G88" s="3" t="s">
        <v>52</v>
      </c>
      <c r="H88" s="3" t="s">
        <v>30</v>
      </c>
      <c r="I88" s="3" t="s">
        <v>32</v>
      </c>
      <c r="J88" s="0" t="n">
        <v>0</v>
      </c>
      <c r="K88" s="0" t="n">
        <v>0</v>
      </c>
      <c r="L88" s="0" t="n">
        <v>0</v>
      </c>
      <c r="M88" s="0" t="n">
        <v>0</v>
      </c>
      <c r="N88" s="0" t="str">
        <f aca="false">IF(OR(NOT(OR(J88=0,J88=1)),NOT(OR(K88=0,K88=1)),NOT(OR(L88=0,L88=1)),NOT(OR(M88=0,M88=1)),NOT(OR(U88=0,U88=1))),"Yes","No")</f>
        <v>No</v>
      </c>
      <c r="O88" s="0" t="str">
        <f aca="false">IF(OR(AND(M88=1,L88=0),AND(L88=1,K88=0),AND(K88=1,J88=0)),"Yes","No")</f>
        <v>No</v>
      </c>
      <c r="P88" s="0" t="n">
        <v>0</v>
      </c>
      <c r="Q88" s="0" t="str">
        <f aca="false">IF(OR(AND(M88=0,P88&gt;0),AND(M88=1,P88&lt;=0)),"Yes","No")</f>
        <v>No</v>
      </c>
      <c r="R88" s="0" t="str">
        <f aca="false">IF(AND(M88=1,P88&gt;calc_helpers!$B$5),"Yes","No")</f>
        <v>No</v>
      </c>
      <c r="S88" s="0" t="n">
        <v>0</v>
      </c>
      <c r="T88" s="0" t="str">
        <f aca="false">IF(S88&gt;0,"Yes","No")</f>
        <v>No</v>
      </c>
      <c r="U88" s="0" t="n">
        <v>0</v>
      </c>
      <c r="W88" s="0" t="str">
        <f aca="false">IF(OR(AND(M88=1,ISBLANK(V88)),AND(M88=0,NOT(ISBLANK(V88)))),"Yes","No")</f>
        <v>No</v>
      </c>
      <c r="X88" s="0" t="n">
        <v>51</v>
      </c>
      <c r="Y88" s="3" t="s">
        <v>30</v>
      </c>
      <c r="Z88" s="0" t="str">
        <f aca="false">IF(M88=1,P88,"")</f>
        <v/>
      </c>
    </row>
    <row r="89" customFormat="false" ht="15" hidden="false" customHeight="false" outlineLevel="0" collapsed="false">
      <c r="A89" s="0" t="s">
        <v>130</v>
      </c>
      <c r="B89" s="2" t="n">
        <v>45777</v>
      </c>
      <c r="C89" s="3" t="s">
        <v>27</v>
      </c>
      <c r="D89" s="3" t="s">
        <v>43</v>
      </c>
      <c r="E89" s="3" t="s">
        <v>35</v>
      </c>
      <c r="F89" s="3" t="s">
        <v>30</v>
      </c>
      <c r="G89" s="3" t="s">
        <v>31</v>
      </c>
      <c r="H89" s="3" t="s">
        <v>30</v>
      </c>
      <c r="I89" s="3" t="s">
        <v>41</v>
      </c>
      <c r="J89" s="0" t="n">
        <v>0</v>
      </c>
      <c r="K89" s="0" t="n">
        <v>0</v>
      </c>
      <c r="L89" s="0" t="n">
        <v>0</v>
      </c>
      <c r="M89" s="0" t="n">
        <v>0</v>
      </c>
      <c r="N89" s="0" t="str">
        <f aca="false">IF(OR(NOT(OR(J89=0,J89=1)),NOT(OR(K89=0,K89=1)),NOT(OR(L89=0,L89=1)),NOT(OR(M89=0,M89=1)),NOT(OR(U89=0,U89=1))),"Yes","No")</f>
        <v>No</v>
      </c>
      <c r="O89" s="0" t="str">
        <f aca="false">IF(OR(AND(M89=1,L89=0),AND(L89=1,K89=0),AND(K89=1,J89=0)),"Yes","No")</f>
        <v>No</v>
      </c>
      <c r="P89" s="0" t="n">
        <v>0</v>
      </c>
      <c r="Q89" s="0" t="str">
        <f aca="false">IF(OR(AND(M89=0,P89&gt;0),AND(M89=1,P89&lt;=0)),"Yes","No")</f>
        <v>No</v>
      </c>
      <c r="R89" s="0" t="str">
        <f aca="false">IF(AND(M89=1,P89&gt;calc_helpers!$B$5),"Yes","No")</f>
        <v>No</v>
      </c>
      <c r="S89" s="0" t="n">
        <v>0</v>
      </c>
      <c r="T89" s="0" t="str">
        <f aca="false">IF(S89&gt;0,"Yes","No")</f>
        <v>No</v>
      </c>
      <c r="U89" s="0" t="n">
        <v>0</v>
      </c>
      <c r="W89" s="0" t="str">
        <f aca="false">IF(OR(AND(M89=1,ISBLANK(V89)),AND(M89=0,NOT(ISBLANK(V89)))),"Yes","No")</f>
        <v>No</v>
      </c>
      <c r="X89" s="0" t="n">
        <v>65.8</v>
      </c>
      <c r="Y89" s="3" t="s">
        <v>30</v>
      </c>
      <c r="Z89" s="0" t="str">
        <f aca="false">IF(M89=1,P89,"")</f>
        <v/>
      </c>
    </row>
    <row r="90" customFormat="false" ht="15" hidden="false" customHeight="false" outlineLevel="0" collapsed="false">
      <c r="A90" s="0" t="s">
        <v>131</v>
      </c>
      <c r="B90" s="2" t="n">
        <v>45772</v>
      </c>
      <c r="C90" s="3" t="s">
        <v>27</v>
      </c>
      <c r="D90" s="3" t="s">
        <v>28</v>
      </c>
      <c r="E90" s="3" t="s">
        <v>35</v>
      </c>
      <c r="F90" s="3" t="s">
        <v>30</v>
      </c>
      <c r="G90" s="3" t="s">
        <v>50</v>
      </c>
      <c r="H90" s="3" t="s">
        <v>30</v>
      </c>
      <c r="I90" s="3" t="s">
        <v>32</v>
      </c>
      <c r="J90" s="0" t="n">
        <v>1</v>
      </c>
      <c r="K90" s="0" t="n">
        <v>0</v>
      </c>
      <c r="L90" s="0" t="n">
        <v>0</v>
      </c>
      <c r="M90" s="0" t="n">
        <v>0</v>
      </c>
      <c r="N90" s="0" t="str">
        <f aca="false">IF(OR(NOT(OR(J90=0,J90=1)),NOT(OR(K90=0,K90=1)),NOT(OR(L90=0,L90=1)),NOT(OR(M90=0,M90=1)),NOT(OR(U90=0,U90=1))),"Yes","No")</f>
        <v>No</v>
      </c>
      <c r="O90" s="0" t="str">
        <f aca="false">IF(OR(AND(M90=1,L90=0),AND(L90=1,K90=0),AND(K90=1,J90=0)),"Yes","No")</f>
        <v>No</v>
      </c>
      <c r="P90" s="0" t="n">
        <v>0</v>
      </c>
      <c r="Q90" s="0" t="str">
        <f aca="false">IF(OR(AND(M90=0,P90&gt;0),AND(M90=1,P90&lt;=0)),"Yes","No")</f>
        <v>No</v>
      </c>
      <c r="R90" s="0" t="str">
        <f aca="false">IF(AND(M90=1,P90&gt;calc_helpers!$B$5),"Yes","No")</f>
        <v>No</v>
      </c>
      <c r="S90" s="0" t="n">
        <v>0</v>
      </c>
      <c r="T90" s="0" t="str">
        <f aca="false">IF(S90&gt;0,"Yes","No")</f>
        <v>No</v>
      </c>
      <c r="U90" s="0" t="n">
        <v>0</v>
      </c>
      <c r="W90" s="0" t="str">
        <f aca="false">IF(OR(AND(M90=1,ISBLANK(V90)),AND(M90=0,NOT(ISBLANK(V90)))),"Yes","No")</f>
        <v>No</v>
      </c>
      <c r="X90" s="0" t="n">
        <v>61.8</v>
      </c>
      <c r="Y90" s="3" t="s">
        <v>30</v>
      </c>
      <c r="Z90" s="0" t="str">
        <f aca="false">IF(M90=1,P90,"")</f>
        <v/>
      </c>
    </row>
    <row r="91" customFormat="false" ht="15" hidden="false" customHeight="false" outlineLevel="0" collapsed="false">
      <c r="A91" s="0" t="s">
        <v>132</v>
      </c>
      <c r="B91" s="2" t="n">
        <v>45689</v>
      </c>
      <c r="C91" s="3" t="s">
        <v>27</v>
      </c>
      <c r="D91" s="3" t="s">
        <v>28</v>
      </c>
      <c r="E91" s="3" t="s">
        <v>35</v>
      </c>
      <c r="F91" s="3" t="s">
        <v>30</v>
      </c>
      <c r="G91" s="3" t="s">
        <v>36</v>
      </c>
      <c r="H91" s="3" t="s">
        <v>30</v>
      </c>
      <c r="I91" s="3" t="s">
        <v>32</v>
      </c>
      <c r="J91" s="0" t="n">
        <v>1</v>
      </c>
      <c r="K91" s="0" t="n">
        <v>0</v>
      </c>
      <c r="L91" s="0" t="n">
        <v>0</v>
      </c>
      <c r="M91" s="0" t="n">
        <v>0</v>
      </c>
      <c r="N91" s="0" t="str">
        <f aca="false">IF(OR(NOT(OR(J91=0,J91=1)),NOT(OR(K91=0,K91=1)),NOT(OR(L91=0,L91=1)),NOT(OR(M91=0,M91=1)),NOT(OR(U91=0,U91=1))),"Yes","No")</f>
        <v>No</v>
      </c>
      <c r="O91" s="0" t="str">
        <f aca="false">IF(OR(AND(M91=1,L91=0),AND(L91=1,K91=0),AND(K91=1,J91=0)),"Yes","No")</f>
        <v>No</v>
      </c>
      <c r="P91" s="0" t="n">
        <v>0</v>
      </c>
      <c r="Q91" s="0" t="str">
        <f aca="false">IF(OR(AND(M91=0,P91&gt;0),AND(M91=1,P91&lt;=0)),"Yes","No")</f>
        <v>No</v>
      </c>
      <c r="R91" s="0" t="str">
        <f aca="false">IF(AND(M91=1,P91&gt;calc_helpers!$B$5),"Yes","No")</f>
        <v>No</v>
      </c>
      <c r="S91" s="0" t="n">
        <v>0</v>
      </c>
      <c r="T91" s="0" t="str">
        <f aca="false">IF(S91&gt;0,"Yes","No")</f>
        <v>No</v>
      </c>
      <c r="U91" s="0" t="n">
        <v>0</v>
      </c>
      <c r="W91" s="0" t="str">
        <f aca="false">IF(OR(AND(M91=1,ISBLANK(V91)),AND(M91=0,NOT(ISBLANK(V91)))),"Yes","No")</f>
        <v>No</v>
      </c>
      <c r="X91" s="0" t="n">
        <v>54.5</v>
      </c>
      <c r="Y91" s="3" t="s">
        <v>30</v>
      </c>
      <c r="Z91" s="0" t="str">
        <f aca="false">IF(M91=1,P91,"")</f>
        <v/>
      </c>
    </row>
    <row r="92" customFormat="false" ht="15" hidden="false" customHeight="false" outlineLevel="0" collapsed="false">
      <c r="A92" s="0" t="s">
        <v>133</v>
      </c>
      <c r="B92" s="2" t="n">
        <v>45770</v>
      </c>
      <c r="C92" s="3" t="s">
        <v>27</v>
      </c>
      <c r="D92" s="3" t="s">
        <v>43</v>
      </c>
      <c r="E92" s="3" t="s">
        <v>29</v>
      </c>
      <c r="F92" s="3" t="s">
        <v>30</v>
      </c>
      <c r="G92" s="3" t="s">
        <v>36</v>
      </c>
      <c r="H92" s="3" t="s">
        <v>30</v>
      </c>
      <c r="I92" s="3" t="s">
        <v>37</v>
      </c>
      <c r="J92" s="0" t="n">
        <v>1</v>
      </c>
      <c r="K92" s="0" t="n">
        <v>0</v>
      </c>
      <c r="L92" s="0" t="n">
        <v>0</v>
      </c>
      <c r="M92" s="0" t="n">
        <v>0</v>
      </c>
      <c r="N92" s="0" t="str">
        <f aca="false">IF(OR(NOT(OR(J92=0,J92=1)),NOT(OR(K92=0,K92=1)),NOT(OR(L92=0,L92=1)),NOT(OR(M92=0,M92=1)),NOT(OR(U92=0,U92=1))),"Yes","No")</f>
        <v>No</v>
      </c>
      <c r="O92" s="0" t="str">
        <f aca="false">IF(OR(AND(M92=1,L92=0),AND(L92=1,K92=0),AND(K92=1,J92=0)),"Yes","No")</f>
        <v>No</v>
      </c>
      <c r="P92" s="0" t="n">
        <v>0</v>
      </c>
      <c r="Q92" s="0" t="str">
        <f aca="false">IF(OR(AND(M92=0,P92&gt;0),AND(M92=1,P92&lt;=0)),"Yes","No")</f>
        <v>No</v>
      </c>
      <c r="R92" s="0" t="str">
        <f aca="false">IF(AND(M92=1,P92&gt;calc_helpers!$B$5),"Yes","No")</f>
        <v>No</v>
      </c>
      <c r="S92" s="0" t="n">
        <v>0</v>
      </c>
      <c r="T92" s="0" t="str">
        <f aca="false">IF(S92&gt;0,"Yes","No")</f>
        <v>No</v>
      </c>
      <c r="U92" s="0" t="n">
        <v>0</v>
      </c>
      <c r="W92" s="0" t="str">
        <f aca="false">IF(OR(AND(M92=1,ISBLANK(V92)),AND(M92=0,NOT(ISBLANK(V92)))),"Yes","No")</f>
        <v>No</v>
      </c>
      <c r="X92" s="0" t="n">
        <v>72.2</v>
      </c>
      <c r="Y92" s="3" t="s">
        <v>30</v>
      </c>
      <c r="Z92" s="0" t="str">
        <f aca="false">IF(M92=1,P92,"")</f>
        <v/>
      </c>
    </row>
    <row r="93" customFormat="false" ht="15" hidden="false" customHeight="false" outlineLevel="0" collapsed="false">
      <c r="A93" s="0" t="s">
        <v>134</v>
      </c>
      <c r="B93" s="2" t="n">
        <v>45715</v>
      </c>
      <c r="C93" s="3" t="s">
        <v>27</v>
      </c>
      <c r="D93" s="3" t="s">
        <v>43</v>
      </c>
      <c r="E93" s="3" t="s">
        <v>35</v>
      </c>
      <c r="F93" s="3" t="s">
        <v>30</v>
      </c>
      <c r="G93" s="3" t="s">
        <v>52</v>
      </c>
      <c r="H93" s="3" t="s">
        <v>30</v>
      </c>
      <c r="I93" s="3" t="s">
        <v>37</v>
      </c>
      <c r="J93" s="0" t="n">
        <v>1</v>
      </c>
      <c r="K93" s="0" t="n">
        <v>0</v>
      </c>
      <c r="L93" s="0" t="n">
        <v>0</v>
      </c>
      <c r="M93" s="0" t="n">
        <v>0</v>
      </c>
      <c r="N93" s="0" t="str">
        <f aca="false">IF(OR(NOT(OR(J93=0,J93=1)),NOT(OR(K93=0,K93=1)),NOT(OR(L93=0,L93=1)),NOT(OR(M93=0,M93=1)),NOT(OR(U93=0,U93=1))),"Yes","No")</f>
        <v>No</v>
      </c>
      <c r="O93" s="0" t="str">
        <f aca="false">IF(OR(AND(M93=1,L93=0),AND(L93=1,K93=0),AND(K93=1,J93=0)),"Yes","No")</f>
        <v>No</v>
      </c>
      <c r="P93" s="0" t="n">
        <v>0</v>
      </c>
      <c r="Q93" s="0" t="str">
        <f aca="false">IF(OR(AND(M93=0,P93&gt;0),AND(M93=1,P93&lt;=0)),"Yes","No")</f>
        <v>No</v>
      </c>
      <c r="R93" s="0" t="str">
        <f aca="false">IF(AND(M93=1,P93&gt;calc_helpers!$B$5),"Yes","No")</f>
        <v>No</v>
      </c>
      <c r="S93" s="0" t="n">
        <v>0</v>
      </c>
      <c r="T93" s="0" t="str">
        <f aca="false">IF(S93&gt;0,"Yes","No")</f>
        <v>No</v>
      </c>
      <c r="U93" s="0" t="n">
        <v>0</v>
      </c>
      <c r="W93" s="0" t="str">
        <f aca="false">IF(OR(AND(M93=1,ISBLANK(V93)),AND(M93=0,NOT(ISBLANK(V93)))),"Yes","No")</f>
        <v>No</v>
      </c>
      <c r="X93" s="0" t="n">
        <v>42.3</v>
      </c>
      <c r="Y93" s="3" t="s">
        <v>30</v>
      </c>
      <c r="Z93" s="0" t="str">
        <f aca="false">IF(M93=1,P93,"")</f>
        <v/>
      </c>
    </row>
    <row r="94" customFormat="false" ht="15" hidden="false" customHeight="false" outlineLevel="0" collapsed="false">
      <c r="A94" s="0" t="s">
        <v>135</v>
      </c>
      <c r="B94" s="2" t="n">
        <v>45756</v>
      </c>
      <c r="C94" s="3" t="s">
        <v>27</v>
      </c>
      <c r="D94" s="3" t="s">
        <v>39</v>
      </c>
      <c r="E94" s="3" t="s">
        <v>29</v>
      </c>
      <c r="F94" s="3" t="s">
        <v>30</v>
      </c>
      <c r="G94" s="3" t="s">
        <v>36</v>
      </c>
      <c r="H94" s="3" t="s">
        <v>30</v>
      </c>
      <c r="I94" s="3" t="s">
        <v>32</v>
      </c>
      <c r="J94" s="0" t="n">
        <v>1</v>
      </c>
      <c r="K94" s="0" t="n">
        <v>0</v>
      </c>
      <c r="L94" s="0" t="n">
        <v>0</v>
      </c>
      <c r="M94" s="0" t="n">
        <v>0</v>
      </c>
      <c r="N94" s="0" t="str">
        <f aca="false">IF(OR(NOT(OR(J94=0,J94=1)),NOT(OR(K94=0,K94=1)),NOT(OR(L94=0,L94=1)),NOT(OR(M94=0,M94=1)),NOT(OR(U94=0,U94=1))),"Yes","No")</f>
        <v>No</v>
      </c>
      <c r="O94" s="0" t="str">
        <f aca="false">IF(OR(AND(M94=1,L94=0),AND(L94=1,K94=0),AND(K94=1,J94=0)),"Yes","No")</f>
        <v>No</v>
      </c>
      <c r="P94" s="0" t="n">
        <v>0</v>
      </c>
      <c r="Q94" s="0" t="str">
        <f aca="false">IF(OR(AND(M94=0,P94&gt;0),AND(M94=1,P94&lt;=0)),"Yes","No")</f>
        <v>No</v>
      </c>
      <c r="R94" s="0" t="str">
        <f aca="false">IF(AND(M94=1,P94&gt;calc_helpers!$B$5),"Yes","No")</f>
        <v>No</v>
      </c>
      <c r="S94" s="0" t="n">
        <v>0</v>
      </c>
      <c r="T94" s="0" t="str">
        <f aca="false">IF(S94&gt;0,"Yes","No")</f>
        <v>No</v>
      </c>
      <c r="U94" s="0" t="n">
        <v>0</v>
      </c>
      <c r="W94" s="0" t="str">
        <f aca="false">IF(OR(AND(M94=1,ISBLANK(V94)),AND(M94=0,NOT(ISBLANK(V94)))),"Yes","No")</f>
        <v>No</v>
      </c>
      <c r="X94" s="0" t="n">
        <v>76.2</v>
      </c>
      <c r="Y94" s="3" t="s">
        <v>30</v>
      </c>
      <c r="Z94" s="0" t="str">
        <f aca="false">IF(M94=1,P94,"")</f>
        <v/>
      </c>
    </row>
    <row r="95" customFormat="false" ht="15" hidden="false" customHeight="false" outlineLevel="0" collapsed="false">
      <c r="A95" s="0" t="s">
        <v>136</v>
      </c>
      <c r="B95" s="2" t="n">
        <v>45790</v>
      </c>
      <c r="C95" s="3" t="s">
        <v>27</v>
      </c>
      <c r="D95" s="3" t="s">
        <v>43</v>
      </c>
      <c r="E95" s="3" t="s">
        <v>45</v>
      </c>
      <c r="F95" s="3" t="s">
        <v>30</v>
      </c>
      <c r="G95" s="3" t="s">
        <v>36</v>
      </c>
      <c r="H95" s="3" t="s">
        <v>30</v>
      </c>
      <c r="I95" s="3" t="s">
        <v>41</v>
      </c>
      <c r="J95" s="0" t="n">
        <v>1</v>
      </c>
      <c r="K95" s="0" t="n">
        <v>1</v>
      </c>
      <c r="L95" s="0" t="n">
        <v>1</v>
      </c>
      <c r="M95" s="0" t="n">
        <v>0</v>
      </c>
      <c r="N95" s="0" t="str">
        <f aca="false">IF(OR(NOT(OR(J95=0,J95=1)),NOT(OR(K95=0,K95=1)),NOT(OR(L95=0,L95=1)),NOT(OR(M95=0,M95=1)),NOT(OR(U95=0,U95=1))),"Yes","No")</f>
        <v>No</v>
      </c>
      <c r="O95" s="0" t="str">
        <f aca="false">IF(OR(AND(M95=1,L95=0),AND(L95=1,K95=0),AND(K95=1,J95=0)),"Yes","No")</f>
        <v>No</v>
      </c>
      <c r="P95" s="0" t="n">
        <v>0</v>
      </c>
      <c r="Q95" s="0" t="str">
        <f aca="false">IF(OR(AND(M95=0,P95&gt;0),AND(M95=1,P95&lt;=0)),"Yes","No")</f>
        <v>No</v>
      </c>
      <c r="R95" s="0" t="str">
        <f aca="false">IF(AND(M95=1,P95&gt;calc_helpers!$B$5),"Yes","No")</f>
        <v>No</v>
      </c>
      <c r="S95" s="0" t="n">
        <v>1</v>
      </c>
      <c r="T95" s="0" t="str">
        <f aca="false">IF(S95&gt;0,"Yes","No")</f>
        <v>Yes</v>
      </c>
      <c r="U95" s="0" t="n">
        <v>0</v>
      </c>
      <c r="W95" s="0" t="str">
        <f aca="false">IF(OR(AND(M95=1,ISBLANK(V95)),AND(M95=0,NOT(ISBLANK(V95)))),"Yes","No")</f>
        <v>No</v>
      </c>
      <c r="X95" s="0" t="n">
        <v>37.4</v>
      </c>
      <c r="Y95" s="3" t="s">
        <v>30</v>
      </c>
      <c r="Z95" s="0" t="str">
        <f aca="false">IF(M95=1,P95,"")</f>
        <v/>
      </c>
    </row>
    <row r="96" customFormat="false" ht="15" hidden="false" customHeight="false" outlineLevel="0" collapsed="false">
      <c r="A96" s="0" t="s">
        <v>137</v>
      </c>
      <c r="B96" s="2" t="n">
        <v>45760</v>
      </c>
      <c r="C96" s="3" t="s">
        <v>27</v>
      </c>
      <c r="D96" s="3" t="s">
        <v>39</v>
      </c>
      <c r="E96" s="3" t="s">
        <v>35</v>
      </c>
      <c r="F96" s="3" t="s">
        <v>30</v>
      </c>
      <c r="G96" s="3" t="s">
        <v>36</v>
      </c>
      <c r="H96" s="3" t="s">
        <v>30</v>
      </c>
      <c r="I96" s="3" t="s">
        <v>37</v>
      </c>
      <c r="J96" s="0" t="n">
        <v>0</v>
      </c>
      <c r="K96" s="0" t="n">
        <v>0</v>
      </c>
      <c r="L96" s="0" t="n">
        <v>0</v>
      </c>
      <c r="M96" s="0" t="n">
        <v>0</v>
      </c>
      <c r="N96" s="0" t="str">
        <f aca="false">IF(OR(NOT(OR(J96=0,J96=1)),NOT(OR(K96=0,K96=1)),NOT(OR(L96=0,L96=1)),NOT(OR(M96=0,M96=1)),NOT(OR(U96=0,U96=1))),"Yes","No")</f>
        <v>No</v>
      </c>
      <c r="O96" s="0" t="str">
        <f aca="false">IF(OR(AND(M96=1,L96=0),AND(L96=1,K96=0),AND(K96=1,J96=0)),"Yes","No")</f>
        <v>No</v>
      </c>
      <c r="P96" s="0" t="n">
        <v>0</v>
      </c>
      <c r="Q96" s="0" t="str">
        <f aca="false">IF(OR(AND(M96=0,P96&gt;0),AND(M96=1,P96&lt;=0)),"Yes","No")</f>
        <v>No</v>
      </c>
      <c r="R96" s="0" t="str">
        <f aca="false">IF(AND(M96=1,P96&gt;calc_helpers!$B$5),"Yes","No")</f>
        <v>No</v>
      </c>
      <c r="S96" s="0" t="n">
        <v>0</v>
      </c>
      <c r="T96" s="0" t="str">
        <f aca="false">IF(S96&gt;0,"Yes","No")</f>
        <v>No</v>
      </c>
      <c r="U96" s="0" t="n">
        <v>0</v>
      </c>
      <c r="W96" s="0" t="str">
        <f aca="false">IF(OR(AND(M96=1,ISBLANK(V96)),AND(M96=0,NOT(ISBLANK(V96)))),"Yes","No")</f>
        <v>No</v>
      </c>
      <c r="X96" s="0" t="n">
        <v>84.2</v>
      </c>
      <c r="Y96" s="3" t="s">
        <v>30</v>
      </c>
      <c r="Z96" s="0" t="str">
        <f aca="false">IF(M96=1,P96,"")</f>
        <v/>
      </c>
    </row>
    <row r="97" customFormat="false" ht="15" hidden="false" customHeight="false" outlineLevel="0" collapsed="false">
      <c r="A97" s="0" t="s">
        <v>138</v>
      </c>
      <c r="B97" s="2" t="n">
        <v>45693</v>
      </c>
      <c r="C97" s="3" t="s">
        <v>27</v>
      </c>
      <c r="D97" s="3" t="s">
        <v>39</v>
      </c>
      <c r="E97" s="3" t="s">
        <v>35</v>
      </c>
      <c r="F97" s="3" t="s">
        <v>30</v>
      </c>
      <c r="G97" s="3" t="s">
        <v>52</v>
      </c>
      <c r="H97" s="3" t="s">
        <v>30</v>
      </c>
      <c r="I97" s="3" t="s">
        <v>37</v>
      </c>
      <c r="J97" s="0" t="n">
        <v>0</v>
      </c>
      <c r="K97" s="0" t="n">
        <v>0</v>
      </c>
      <c r="L97" s="0" t="n">
        <v>0</v>
      </c>
      <c r="M97" s="0" t="n">
        <v>0</v>
      </c>
      <c r="N97" s="0" t="str">
        <f aca="false">IF(OR(NOT(OR(J97=0,J97=1)),NOT(OR(K97=0,K97=1)),NOT(OR(L97=0,L97=1)),NOT(OR(M97=0,M97=1)),NOT(OR(U97=0,U97=1))),"Yes","No")</f>
        <v>No</v>
      </c>
      <c r="O97" s="0" t="str">
        <f aca="false">IF(OR(AND(M97=1,L97=0),AND(L97=1,K97=0),AND(K97=1,J97=0)),"Yes","No")</f>
        <v>No</v>
      </c>
      <c r="P97" s="0" t="n">
        <v>0</v>
      </c>
      <c r="Q97" s="0" t="str">
        <f aca="false">IF(OR(AND(M97=0,P97&gt;0),AND(M97=1,P97&lt;=0)),"Yes","No")</f>
        <v>No</v>
      </c>
      <c r="R97" s="0" t="str">
        <f aca="false">IF(AND(M97=1,P97&gt;calc_helpers!$B$5),"Yes","No")</f>
        <v>No</v>
      </c>
      <c r="S97" s="0" t="n">
        <v>0</v>
      </c>
      <c r="T97" s="0" t="str">
        <f aca="false">IF(S97&gt;0,"Yes","No")</f>
        <v>No</v>
      </c>
      <c r="U97" s="0" t="n">
        <v>0</v>
      </c>
      <c r="W97" s="0" t="str">
        <f aca="false">IF(OR(AND(M97=1,ISBLANK(V97)),AND(M97=0,NOT(ISBLANK(V97)))),"Yes","No")</f>
        <v>No</v>
      </c>
      <c r="X97" s="0" t="n">
        <v>68</v>
      </c>
      <c r="Y97" s="3" t="s">
        <v>30</v>
      </c>
      <c r="Z97" s="0" t="str">
        <f aca="false">IF(M97=1,P97,"")</f>
        <v/>
      </c>
    </row>
    <row r="98" customFormat="false" ht="15" hidden="false" customHeight="false" outlineLevel="0" collapsed="false">
      <c r="A98" s="0" t="s">
        <v>139</v>
      </c>
      <c r="B98" s="2" t="n">
        <v>45702</v>
      </c>
      <c r="C98" s="3" t="s">
        <v>27</v>
      </c>
      <c r="D98" s="3" t="s">
        <v>34</v>
      </c>
      <c r="E98" s="3" t="s">
        <v>35</v>
      </c>
      <c r="F98" s="3" t="s">
        <v>30</v>
      </c>
      <c r="G98" s="3" t="s">
        <v>36</v>
      </c>
      <c r="H98" s="3" t="s">
        <v>30</v>
      </c>
      <c r="I98" s="3" t="s">
        <v>32</v>
      </c>
      <c r="J98" s="0" t="n">
        <v>1</v>
      </c>
      <c r="K98" s="0" t="n">
        <v>0</v>
      </c>
      <c r="L98" s="0" t="n">
        <v>0</v>
      </c>
      <c r="M98" s="0" t="n">
        <v>0</v>
      </c>
      <c r="N98" s="0" t="str">
        <f aca="false">IF(OR(NOT(OR(J98=0,J98=1)),NOT(OR(K98=0,K98=1)),NOT(OR(L98=0,L98=1)),NOT(OR(M98=0,M98=1)),NOT(OR(U98=0,U98=1))),"Yes","No")</f>
        <v>No</v>
      </c>
      <c r="O98" s="0" t="str">
        <f aca="false">IF(OR(AND(M98=1,L98=0),AND(L98=1,K98=0),AND(K98=1,J98=0)),"Yes","No")</f>
        <v>No</v>
      </c>
      <c r="P98" s="0" t="n">
        <v>0</v>
      </c>
      <c r="Q98" s="0" t="str">
        <f aca="false">IF(OR(AND(M98=0,P98&gt;0),AND(M98=1,P98&lt;=0)),"Yes","No")</f>
        <v>No</v>
      </c>
      <c r="R98" s="0" t="str">
        <f aca="false">IF(AND(M98=1,P98&gt;calc_helpers!$B$5),"Yes","No")</f>
        <v>No</v>
      </c>
      <c r="S98" s="0" t="n">
        <v>0</v>
      </c>
      <c r="T98" s="0" t="str">
        <f aca="false">IF(S98&gt;0,"Yes","No")</f>
        <v>No</v>
      </c>
      <c r="U98" s="0" t="n">
        <v>0</v>
      </c>
      <c r="W98" s="0" t="str">
        <f aca="false">IF(OR(AND(M98=1,ISBLANK(V98)),AND(M98=0,NOT(ISBLANK(V98)))),"Yes","No")</f>
        <v>No</v>
      </c>
      <c r="X98" s="0" t="n">
        <v>53.5</v>
      </c>
      <c r="Y98" s="3" t="s">
        <v>30</v>
      </c>
      <c r="Z98" s="0" t="str">
        <f aca="false">IF(M98=1,P98,"")</f>
        <v/>
      </c>
    </row>
    <row r="99" customFormat="false" ht="15" hidden="false" customHeight="false" outlineLevel="0" collapsed="false">
      <c r="A99" s="0" t="s">
        <v>140</v>
      </c>
      <c r="B99" s="2" t="n">
        <v>45699</v>
      </c>
      <c r="C99" s="3" t="s">
        <v>27</v>
      </c>
      <c r="D99" s="3" t="s">
        <v>28</v>
      </c>
      <c r="E99" s="3" t="s">
        <v>29</v>
      </c>
      <c r="F99" s="3" t="s">
        <v>30</v>
      </c>
      <c r="G99" s="3" t="s">
        <v>36</v>
      </c>
      <c r="H99" s="3" t="s">
        <v>30</v>
      </c>
      <c r="I99" s="3" t="s">
        <v>41</v>
      </c>
      <c r="J99" s="0" t="n">
        <v>1</v>
      </c>
      <c r="K99" s="0" t="n">
        <v>0</v>
      </c>
      <c r="L99" s="0" t="n">
        <v>0</v>
      </c>
      <c r="M99" s="0" t="n">
        <v>0</v>
      </c>
      <c r="N99" s="0" t="str">
        <f aca="false">IF(OR(NOT(OR(J99=0,J99=1)),NOT(OR(K99=0,K99=1)),NOT(OR(L99=0,L99=1)),NOT(OR(M99=0,M99=1)),NOT(OR(U99=0,U99=1))),"Yes","No")</f>
        <v>No</v>
      </c>
      <c r="O99" s="0" t="str">
        <f aca="false">IF(OR(AND(M99=1,L99=0),AND(L99=1,K99=0),AND(K99=1,J99=0)),"Yes","No")</f>
        <v>No</v>
      </c>
      <c r="P99" s="0" t="n">
        <v>0</v>
      </c>
      <c r="Q99" s="0" t="str">
        <f aca="false">IF(OR(AND(M99=0,P99&gt;0),AND(M99=1,P99&lt;=0)),"Yes","No")</f>
        <v>No</v>
      </c>
      <c r="R99" s="0" t="str">
        <f aca="false">IF(AND(M99=1,P99&gt;calc_helpers!$B$5),"Yes","No")</f>
        <v>No</v>
      </c>
      <c r="S99" s="0" t="n">
        <v>0</v>
      </c>
      <c r="T99" s="0" t="str">
        <f aca="false">IF(S99&gt;0,"Yes","No")</f>
        <v>No</v>
      </c>
      <c r="U99" s="0" t="n">
        <v>0</v>
      </c>
      <c r="W99" s="0" t="str">
        <f aca="false">IF(OR(AND(M99=1,ISBLANK(V99)),AND(M99=0,NOT(ISBLANK(V99)))),"Yes","No")</f>
        <v>No</v>
      </c>
      <c r="X99" s="0" t="n">
        <v>63.2</v>
      </c>
      <c r="Y99" s="3" t="s">
        <v>30</v>
      </c>
      <c r="Z99" s="0" t="str">
        <f aca="false">IF(M99=1,P99,"")</f>
        <v/>
      </c>
    </row>
    <row r="100" customFormat="false" ht="15" hidden="false" customHeight="false" outlineLevel="0" collapsed="false">
      <c r="A100" s="0" t="s">
        <v>141</v>
      </c>
      <c r="B100" s="2" t="n">
        <v>45699</v>
      </c>
      <c r="C100" s="3" t="s">
        <v>27</v>
      </c>
      <c r="D100" s="3" t="s">
        <v>39</v>
      </c>
      <c r="E100" s="3" t="s">
        <v>29</v>
      </c>
      <c r="F100" s="3" t="s">
        <v>30</v>
      </c>
      <c r="G100" s="3" t="s">
        <v>52</v>
      </c>
      <c r="H100" s="3" t="s">
        <v>30</v>
      </c>
      <c r="I100" s="3" t="s">
        <v>37</v>
      </c>
      <c r="J100" s="0" t="n">
        <v>1</v>
      </c>
      <c r="K100" s="0" t="n">
        <v>1</v>
      </c>
      <c r="L100" s="0" t="n">
        <v>1</v>
      </c>
      <c r="M100" s="0" t="n">
        <v>1</v>
      </c>
      <c r="N100" s="0" t="str">
        <f aca="false">IF(OR(NOT(OR(J100=0,J100=1)),NOT(OR(K100=0,K100=1)),NOT(OR(L100=0,L100=1)),NOT(OR(M100=0,M100=1)),NOT(OR(U100=0,U100=1))),"Yes","No")</f>
        <v>No</v>
      </c>
      <c r="O100" s="0" t="str">
        <f aca="false">IF(OR(AND(M100=1,L100=0),AND(L100=1,K100=0),AND(K100=1,J100=0)),"Yes","No")</f>
        <v>No</v>
      </c>
      <c r="P100" s="0" t="n">
        <v>363.32</v>
      </c>
      <c r="Q100" s="0" t="str">
        <f aca="false">IF(OR(AND(M100=0,P100&gt;0),AND(M100=1,P100&lt;=0)),"Yes","No")</f>
        <v>No</v>
      </c>
      <c r="R100" s="0" t="str">
        <f aca="false">IF(AND(M100=1,P100&gt;calc_helpers!$B$5),"Yes","No")</f>
        <v>No</v>
      </c>
      <c r="S100" s="0" t="n">
        <v>0</v>
      </c>
      <c r="T100" s="0" t="str">
        <f aca="false">IF(S100&gt;0,"Yes","No")</f>
        <v>No</v>
      </c>
      <c r="U100" s="0" t="n">
        <v>0</v>
      </c>
      <c r="V100" s="0" t="n">
        <v>9</v>
      </c>
      <c r="W100" s="0" t="str">
        <f aca="false">IF(OR(AND(M100=1,ISBLANK(V100)),AND(M100=0,NOT(ISBLANK(V100)))),"Yes","No")</f>
        <v>No</v>
      </c>
      <c r="X100" s="0" t="n">
        <v>55.9</v>
      </c>
      <c r="Y100" s="3" t="s">
        <v>30</v>
      </c>
      <c r="Z100" s="3" t="n">
        <f aca="false">IF(M100=1,P100,"")</f>
        <v>363.32</v>
      </c>
    </row>
    <row r="101" customFormat="false" ht="15" hidden="false" customHeight="false" outlineLevel="0" collapsed="false">
      <c r="A101" s="0" t="s">
        <v>142</v>
      </c>
      <c r="B101" s="2" t="n">
        <v>45803</v>
      </c>
      <c r="C101" s="3" t="s">
        <v>27</v>
      </c>
      <c r="D101" s="3" t="s">
        <v>28</v>
      </c>
      <c r="E101" s="3" t="s">
        <v>35</v>
      </c>
      <c r="F101" s="3" t="s">
        <v>30</v>
      </c>
      <c r="G101" s="3" t="s">
        <v>36</v>
      </c>
      <c r="H101" s="3" t="s">
        <v>30</v>
      </c>
      <c r="I101" s="3" t="s">
        <v>37</v>
      </c>
      <c r="J101" s="0" t="n">
        <v>1</v>
      </c>
      <c r="K101" s="0" t="n">
        <v>0</v>
      </c>
      <c r="L101" s="0" t="n">
        <v>0</v>
      </c>
      <c r="M101" s="0" t="n">
        <v>0</v>
      </c>
      <c r="N101" s="0" t="str">
        <f aca="false">IF(OR(NOT(OR(J101=0,J101=1)),NOT(OR(K101=0,K101=1)),NOT(OR(L101=0,L101=1)),NOT(OR(M101=0,M101=1)),NOT(OR(U101=0,U101=1))),"Yes","No")</f>
        <v>No</v>
      </c>
      <c r="O101" s="0" t="str">
        <f aca="false">IF(OR(AND(M101=1,L101=0),AND(L101=1,K101=0),AND(K101=1,J101=0)),"Yes","No")</f>
        <v>No</v>
      </c>
      <c r="P101" s="0" t="n">
        <v>0</v>
      </c>
      <c r="Q101" s="0" t="str">
        <f aca="false">IF(OR(AND(M101=0,P101&gt;0),AND(M101=1,P101&lt;=0)),"Yes","No")</f>
        <v>No</v>
      </c>
      <c r="R101" s="0" t="str">
        <f aca="false">IF(AND(M101=1,P101&gt;calc_helpers!$B$5),"Yes","No")</f>
        <v>No</v>
      </c>
      <c r="S101" s="0" t="n">
        <v>0</v>
      </c>
      <c r="T101" s="0" t="str">
        <f aca="false">IF(S101&gt;0,"Yes","No")</f>
        <v>No</v>
      </c>
      <c r="U101" s="0" t="n">
        <v>0</v>
      </c>
      <c r="W101" s="0" t="str">
        <f aca="false">IF(OR(AND(M101=1,ISBLANK(V101)),AND(M101=0,NOT(ISBLANK(V101)))),"Yes","No")</f>
        <v>No</v>
      </c>
      <c r="X101" s="0" t="n">
        <v>63.5</v>
      </c>
      <c r="Y101" s="3" t="s">
        <v>30</v>
      </c>
      <c r="Z101" s="0" t="str">
        <f aca="false">IF(M101=1,P101,"")</f>
        <v/>
      </c>
    </row>
    <row r="102" customFormat="false" ht="15" hidden="false" customHeight="false" outlineLevel="0" collapsed="false">
      <c r="A102" s="0" t="s">
        <v>143</v>
      </c>
      <c r="B102" s="2" t="n">
        <v>45738</v>
      </c>
      <c r="C102" s="3" t="s">
        <v>27</v>
      </c>
      <c r="D102" s="3" t="s">
        <v>28</v>
      </c>
      <c r="E102" s="3" t="s">
        <v>35</v>
      </c>
      <c r="F102" s="3" t="s">
        <v>30</v>
      </c>
      <c r="G102" s="3" t="s">
        <v>40</v>
      </c>
      <c r="H102" s="3" t="s">
        <v>30</v>
      </c>
      <c r="I102" s="3" t="s">
        <v>32</v>
      </c>
      <c r="J102" s="0" t="n">
        <v>1</v>
      </c>
      <c r="K102" s="0" t="n">
        <v>0</v>
      </c>
      <c r="L102" s="0" t="n">
        <v>0</v>
      </c>
      <c r="M102" s="0" t="n">
        <v>0</v>
      </c>
      <c r="N102" s="0" t="str">
        <f aca="false">IF(OR(NOT(OR(J102=0,J102=1)),NOT(OR(K102=0,K102=1)),NOT(OR(L102=0,L102=1)),NOT(OR(M102=0,M102=1)),NOT(OR(U102=0,U102=1))),"Yes","No")</f>
        <v>No</v>
      </c>
      <c r="O102" s="0" t="str">
        <f aca="false">IF(OR(AND(M102=1,L102=0),AND(L102=1,K102=0),AND(K102=1,J102=0)),"Yes","No")</f>
        <v>No</v>
      </c>
      <c r="P102" s="0" t="n">
        <v>0</v>
      </c>
      <c r="Q102" s="0" t="str">
        <f aca="false">IF(OR(AND(M102=0,P102&gt;0),AND(M102=1,P102&lt;=0)),"Yes","No")</f>
        <v>No</v>
      </c>
      <c r="R102" s="0" t="str">
        <f aca="false">IF(AND(M102=1,P102&gt;calc_helpers!$B$5),"Yes","No")</f>
        <v>No</v>
      </c>
      <c r="S102" s="0" t="n">
        <v>0</v>
      </c>
      <c r="T102" s="0" t="str">
        <f aca="false">IF(S102&gt;0,"Yes","No")</f>
        <v>No</v>
      </c>
      <c r="U102" s="0" t="n">
        <v>0</v>
      </c>
      <c r="W102" s="0" t="str">
        <f aca="false">IF(OR(AND(M102=1,ISBLANK(V102)),AND(M102=0,NOT(ISBLANK(V102)))),"Yes","No")</f>
        <v>No</v>
      </c>
      <c r="X102" s="0" t="n">
        <v>51.5</v>
      </c>
      <c r="Y102" s="3" t="s">
        <v>30</v>
      </c>
      <c r="Z102" s="0" t="str">
        <f aca="false">IF(M102=1,P102,"")</f>
        <v/>
      </c>
    </row>
    <row r="103" customFormat="false" ht="15" hidden="false" customHeight="false" outlineLevel="0" collapsed="false">
      <c r="A103" s="0" t="s">
        <v>144</v>
      </c>
      <c r="B103" s="2" t="n">
        <v>45755</v>
      </c>
      <c r="C103" s="3" t="s">
        <v>27</v>
      </c>
      <c r="D103" s="3" t="s">
        <v>34</v>
      </c>
      <c r="E103" s="3" t="s">
        <v>35</v>
      </c>
      <c r="F103" s="3" t="s">
        <v>30</v>
      </c>
      <c r="G103" s="3" t="s">
        <v>40</v>
      </c>
      <c r="H103" s="3" t="s">
        <v>30</v>
      </c>
      <c r="I103" s="3" t="s">
        <v>37</v>
      </c>
      <c r="J103" s="0" t="n">
        <v>1</v>
      </c>
      <c r="K103" s="0" t="n">
        <v>0</v>
      </c>
      <c r="L103" s="0" t="n">
        <v>0</v>
      </c>
      <c r="M103" s="0" t="n">
        <v>0</v>
      </c>
      <c r="N103" s="0" t="str">
        <f aca="false">IF(OR(NOT(OR(J103=0,J103=1)),NOT(OR(K103=0,K103=1)),NOT(OR(L103=0,L103=1)),NOT(OR(M103=0,M103=1)),NOT(OR(U103=0,U103=1))),"Yes","No")</f>
        <v>No</v>
      </c>
      <c r="O103" s="0" t="str">
        <f aca="false">IF(OR(AND(M103=1,L103=0),AND(L103=1,K103=0),AND(K103=1,J103=0)),"Yes","No")</f>
        <v>No</v>
      </c>
      <c r="P103" s="0" t="n">
        <v>0</v>
      </c>
      <c r="Q103" s="0" t="str">
        <f aca="false">IF(OR(AND(M103=0,P103&gt;0),AND(M103=1,P103&lt;=0)),"Yes","No")</f>
        <v>No</v>
      </c>
      <c r="R103" s="0" t="str">
        <f aca="false">IF(AND(M103=1,P103&gt;calc_helpers!$B$5),"Yes","No")</f>
        <v>No</v>
      </c>
      <c r="S103" s="0" t="n">
        <v>0</v>
      </c>
      <c r="T103" s="0" t="str">
        <f aca="false">IF(S103&gt;0,"Yes","No")</f>
        <v>No</v>
      </c>
      <c r="U103" s="0" t="n">
        <v>0</v>
      </c>
      <c r="W103" s="0" t="str">
        <f aca="false">IF(OR(AND(M103=1,ISBLANK(V103)),AND(M103=0,NOT(ISBLANK(V103)))),"Yes","No")</f>
        <v>No</v>
      </c>
      <c r="X103" s="0" t="n">
        <v>74.4</v>
      </c>
      <c r="Y103" s="3" t="s">
        <v>30</v>
      </c>
      <c r="Z103" s="0" t="str">
        <f aca="false">IF(M103=1,P103,"")</f>
        <v/>
      </c>
    </row>
    <row r="104" customFormat="false" ht="15" hidden="false" customHeight="false" outlineLevel="0" collapsed="false">
      <c r="A104" s="0" t="s">
        <v>145</v>
      </c>
      <c r="B104" s="2" t="n">
        <v>45761</v>
      </c>
      <c r="C104" s="3" t="s">
        <v>27</v>
      </c>
      <c r="D104" s="3" t="s">
        <v>28</v>
      </c>
      <c r="E104" s="3" t="s">
        <v>29</v>
      </c>
      <c r="F104" s="3" t="s">
        <v>30</v>
      </c>
      <c r="G104" s="3" t="s">
        <v>52</v>
      </c>
      <c r="H104" s="3" t="s">
        <v>30</v>
      </c>
      <c r="I104" s="3" t="s">
        <v>37</v>
      </c>
      <c r="J104" s="0" t="n">
        <v>1</v>
      </c>
      <c r="K104" s="0" t="n">
        <v>1</v>
      </c>
      <c r="L104" s="0" t="n">
        <v>1</v>
      </c>
      <c r="M104" s="0" t="n">
        <v>1</v>
      </c>
      <c r="N104" s="0" t="str">
        <f aca="false">IF(OR(NOT(OR(J104=0,J104=1)),NOT(OR(K104=0,K104=1)),NOT(OR(L104=0,L104=1)),NOT(OR(M104=0,M104=1)),NOT(OR(U104=0,U104=1))),"Yes","No")</f>
        <v>No</v>
      </c>
      <c r="O104" s="0" t="str">
        <f aca="false">IF(OR(AND(M104=1,L104=0),AND(L104=1,K104=0),AND(K104=1,J104=0)),"Yes","No")</f>
        <v>No</v>
      </c>
      <c r="P104" s="0" t="n">
        <v>3887.98</v>
      </c>
      <c r="Q104" s="0" t="str">
        <f aca="false">IF(OR(AND(M104=0,P104&gt;0),AND(M104=1,P104&lt;=0)),"Yes","No")</f>
        <v>No</v>
      </c>
      <c r="R104" s="0" t="str">
        <f aca="false">IF(AND(M104=1,P104&gt;calc_helpers!$B$5),"Yes","No")</f>
        <v>Yes</v>
      </c>
      <c r="S104" s="0" t="n">
        <v>0</v>
      </c>
      <c r="T104" s="0" t="str">
        <f aca="false">IF(S104&gt;0,"Yes","No")</f>
        <v>No</v>
      </c>
      <c r="U104" s="0" t="n">
        <v>0</v>
      </c>
      <c r="V104" s="0" t="n">
        <v>13</v>
      </c>
      <c r="W104" s="0" t="str">
        <f aca="false">IF(OR(AND(M104=1,ISBLANK(V104)),AND(M104=0,NOT(ISBLANK(V104)))),"Yes","No")</f>
        <v>No</v>
      </c>
      <c r="X104" s="0" t="n">
        <v>60.2</v>
      </c>
      <c r="Y104" s="3" t="s">
        <v>30</v>
      </c>
      <c r="Z104" s="3" t="n">
        <f aca="false">IF(M104=1,P104,"")</f>
        <v>3887.98</v>
      </c>
    </row>
    <row r="105" customFormat="false" ht="15" hidden="false" customHeight="false" outlineLevel="0" collapsed="false">
      <c r="A105" s="0" t="s">
        <v>146</v>
      </c>
      <c r="B105" s="2" t="n">
        <v>45743</v>
      </c>
      <c r="C105" s="3" t="s">
        <v>27</v>
      </c>
      <c r="D105" s="3" t="s">
        <v>43</v>
      </c>
      <c r="E105" s="3" t="s">
        <v>35</v>
      </c>
      <c r="F105" s="3" t="s">
        <v>30</v>
      </c>
      <c r="G105" s="3" t="s">
        <v>31</v>
      </c>
      <c r="H105" s="3" t="s">
        <v>30</v>
      </c>
      <c r="I105" s="3" t="s">
        <v>37</v>
      </c>
      <c r="J105" s="0" t="n">
        <v>1</v>
      </c>
      <c r="K105" s="0" t="n">
        <v>0</v>
      </c>
      <c r="L105" s="0" t="n">
        <v>0</v>
      </c>
      <c r="M105" s="0" t="n">
        <v>0</v>
      </c>
      <c r="N105" s="0" t="str">
        <f aca="false">IF(OR(NOT(OR(J105=0,J105=1)),NOT(OR(K105=0,K105=1)),NOT(OR(L105=0,L105=1)),NOT(OR(M105=0,M105=1)),NOT(OR(U105=0,U105=1))),"Yes","No")</f>
        <v>No</v>
      </c>
      <c r="O105" s="0" t="str">
        <f aca="false">IF(OR(AND(M105=1,L105=0),AND(L105=1,K105=0),AND(K105=1,J105=0)),"Yes","No")</f>
        <v>No</v>
      </c>
      <c r="P105" s="0" t="n">
        <v>0</v>
      </c>
      <c r="Q105" s="0" t="str">
        <f aca="false">IF(OR(AND(M105=0,P105&gt;0),AND(M105=1,P105&lt;=0)),"Yes","No")</f>
        <v>No</v>
      </c>
      <c r="R105" s="0" t="str">
        <f aca="false">IF(AND(M105=1,P105&gt;calc_helpers!$B$5),"Yes","No")</f>
        <v>No</v>
      </c>
      <c r="S105" s="0" t="n">
        <v>1</v>
      </c>
      <c r="T105" s="0" t="str">
        <f aca="false">IF(S105&gt;0,"Yes","No")</f>
        <v>Yes</v>
      </c>
      <c r="U105" s="0" t="n">
        <v>0</v>
      </c>
      <c r="W105" s="0" t="str">
        <f aca="false">IF(OR(AND(M105=1,ISBLANK(V105)),AND(M105=0,NOT(ISBLANK(V105)))),"Yes","No")</f>
        <v>No</v>
      </c>
      <c r="X105" s="0" t="n">
        <v>67.2</v>
      </c>
      <c r="Y105" s="3" t="s">
        <v>30</v>
      </c>
      <c r="Z105" s="0" t="str">
        <f aca="false">IF(M105=1,P105,"")</f>
        <v/>
      </c>
    </row>
    <row r="106" customFormat="false" ht="15" hidden="false" customHeight="false" outlineLevel="0" collapsed="false">
      <c r="A106" s="0" t="s">
        <v>147</v>
      </c>
      <c r="B106" s="2" t="n">
        <v>45662</v>
      </c>
      <c r="C106" s="3" t="s">
        <v>27</v>
      </c>
      <c r="D106" s="3" t="s">
        <v>43</v>
      </c>
      <c r="E106" s="3" t="s">
        <v>35</v>
      </c>
      <c r="F106" s="3" t="s">
        <v>30</v>
      </c>
      <c r="G106" s="3" t="s">
        <v>52</v>
      </c>
      <c r="H106" s="3" t="s">
        <v>30</v>
      </c>
      <c r="I106" s="3" t="s">
        <v>37</v>
      </c>
      <c r="J106" s="0" t="n">
        <v>1</v>
      </c>
      <c r="K106" s="0" t="n">
        <v>1</v>
      </c>
      <c r="L106" s="0" t="n">
        <v>1</v>
      </c>
      <c r="M106" s="0" t="n">
        <v>0</v>
      </c>
      <c r="N106" s="0" t="str">
        <f aca="false">IF(OR(NOT(OR(J106=0,J106=1)),NOT(OR(K106=0,K106=1)),NOT(OR(L106=0,L106=1)),NOT(OR(M106=0,M106=1)),NOT(OR(U106=0,U106=1))),"Yes","No")</f>
        <v>No</v>
      </c>
      <c r="O106" s="0" t="str">
        <f aca="false">IF(OR(AND(M106=1,L106=0),AND(L106=1,K106=0),AND(K106=1,J106=0)),"Yes","No")</f>
        <v>No</v>
      </c>
      <c r="P106" s="0" t="n">
        <v>0</v>
      </c>
      <c r="Q106" s="0" t="str">
        <f aca="false">IF(OR(AND(M106=0,P106&gt;0),AND(M106=1,P106&lt;=0)),"Yes","No")</f>
        <v>No</v>
      </c>
      <c r="R106" s="0" t="str">
        <f aca="false">IF(AND(M106=1,P106&gt;calc_helpers!$B$5),"Yes","No")</f>
        <v>No</v>
      </c>
      <c r="S106" s="0" t="n">
        <v>0</v>
      </c>
      <c r="T106" s="0" t="str">
        <f aca="false">IF(S106&gt;0,"Yes","No")</f>
        <v>No</v>
      </c>
      <c r="U106" s="0" t="n">
        <v>0</v>
      </c>
      <c r="W106" s="0" t="str">
        <f aca="false">IF(OR(AND(M106=1,ISBLANK(V106)),AND(M106=0,NOT(ISBLANK(V106)))),"Yes","No")</f>
        <v>No</v>
      </c>
      <c r="X106" s="0" t="n">
        <v>79.6</v>
      </c>
      <c r="Y106" s="3" t="s">
        <v>30</v>
      </c>
      <c r="Z106" s="0" t="str">
        <f aca="false">IF(M106=1,P106,"")</f>
        <v/>
      </c>
    </row>
    <row r="107" customFormat="false" ht="15" hidden="false" customHeight="false" outlineLevel="0" collapsed="false">
      <c r="A107" s="0" t="s">
        <v>148</v>
      </c>
      <c r="B107" s="2" t="n">
        <v>45682</v>
      </c>
      <c r="C107" s="3" t="s">
        <v>27</v>
      </c>
      <c r="D107" s="3" t="s">
        <v>43</v>
      </c>
      <c r="E107" s="3" t="s">
        <v>35</v>
      </c>
      <c r="F107" s="3" t="s">
        <v>30</v>
      </c>
      <c r="G107" s="3" t="s">
        <v>52</v>
      </c>
      <c r="H107" s="3" t="s">
        <v>30</v>
      </c>
      <c r="I107" s="3" t="s">
        <v>32</v>
      </c>
      <c r="J107" s="0" t="n">
        <v>1</v>
      </c>
      <c r="K107" s="0" t="n">
        <v>1</v>
      </c>
      <c r="L107" s="0" t="n">
        <v>1</v>
      </c>
      <c r="M107" s="0" t="n">
        <v>1</v>
      </c>
      <c r="N107" s="0" t="str">
        <f aca="false">IF(OR(NOT(OR(J107=0,J107=1)),NOT(OR(K107=0,K107=1)),NOT(OR(L107=0,L107=1)),NOT(OR(M107=0,M107=1)),NOT(OR(U107=0,U107=1))),"Yes","No")</f>
        <v>No</v>
      </c>
      <c r="O107" s="0" t="str">
        <f aca="false">IF(OR(AND(M107=1,L107=0),AND(L107=1,K107=0),AND(K107=1,J107=0)),"Yes","No")</f>
        <v>No</v>
      </c>
      <c r="P107" s="0" t="n">
        <v>8610.72</v>
      </c>
      <c r="Q107" s="0" t="str">
        <f aca="false">IF(OR(AND(M107=0,P107&gt;0),AND(M107=1,P107&lt;=0)),"Yes","No")</f>
        <v>No</v>
      </c>
      <c r="R107" s="0" t="str">
        <f aca="false">IF(AND(M107=1,P107&gt;calc_helpers!$B$5),"Yes","No")</f>
        <v>Yes</v>
      </c>
      <c r="S107" s="0" t="n">
        <v>0</v>
      </c>
      <c r="T107" s="0" t="str">
        <f aca="false">IF(S107&gt;0,"Yes","No")</f>
        <v>No</v>
      </c>
      <c r="U107" s="0" t="n">
        <v>0</v>
      </c>
      <c r="V107" s="0" t="n">
        <v>6</v>
      </c>
      <c r="W107" s="0" t="str">
        <f aca="false">IF(OR(AND(M107=1,ISBLANK(V107)),AND(M107=0,NOT(ISBLANK(V107)))),"Yes","No")</f>
        <v>No</v>
      </c>
      <c r="X107" s="0" t="n">
        <v>61</v>
      </c>
      <c r="Y107" s="3" t="s">
        <v>30</v>
      </c>
      <c r="Z107" s="3" t="n">
        <f aca="false">IF(M107=1,P107,"")</f>
        <v>8610.72</v>
      </c>
    </row>
    <row r="108" customFormat="false" ht="15" hidden="false" customHeight="false" outlineLevel="0" collapsed="false">
      <c r="A108" s="0" t="s">
        <v>149</v>
      </c>
      <c r="B108" s="2" t="n">
        <v>45680</v>
      </c>
      <c r="C108" s="3" t="s">
        <v>27</v>
      </c>
      <c r="D108" s="3" t="s">
        <v>34</v>
      </c>
      <c r="E108" s="3" t="s">
        <v>35</v>
      </c>
      <c r="F108" s="3" t="s">
        <v>30</v>
      </c>
      <c r="G108" s="3" t="s">
        <v>31</v>
      </c>
      <c r="H108" s="3" t="s">
        <v>30</v>
      </c>
      <c r="I108" s="3" t="s">
        <v>37</v>
      </c>
      <c r="J108" s="0" t="n">
        <v>1</v>
      </c>
      <c r="K108" s="0" t="n">
        <v>1</v>
      </c>
      <c r="L108" s="0" t="n">
        <v>1</v>
      </c>
      <c r="M108" s="0" t="n">
        <v>0</v>
      </c>
      <c r="N108" s="0" t="str">
        <f aca="false">IF(OR(NOT(OR(J108=0,J108=1)),NOT(OR(K108=0,K108=1)),NOT(OR(L108=0,L108=1)),NOT(OR(M108=0,M108=1)),NOT(OR(U108=0,U108=1))),"Yes","No")</f>
        <v>No</v>
      </c>
      <c r="O108" s="0" t="str">
        <f aca="false">IF(OR(AND(M108=1,L108=0),AND(L108=1,K108=0),AND(K108=1,J108=0)),"Yes","No")</f>
        <v>No</v>
      </c>
      <c r="P108" s="0" t="n">
        <v>0</v>
      </c>
      <c r="Q108" s="0" t="str">
        <f aca="false">IF(OR(AND(M108=0,P108&gt;0),AND(M108=1,P108&lt;=0)),"Yes","No")</f>
        <v>No</v>
      </c>
      <c r="R108" s="0" t="str">
        <f aca="false">IF(AND(M108=1,P108&gt;calc_helpers!$B$5),"Yes","No")</f>
        <v>No</v>
      </c>
      <c r="S108" s="0" t="n">
        <v>4</v>
      </c>
      <c r="T108" s="0" t="str">
        <f aca="false">IF(S108&gt;0,"Yes","No")</f>
        <v>Yes</v>
      </c>
      <c r="U108" s="0" t="n">
        <v>0</v>
      </c>
      <c r="W108" s="0" t="str">
        <f aca="false">IF(OR(AND(M108=1,ISBLANK(V108)),AND(M108=0,NOT(ISBLANK(V108)))),"Yes","No")</f>
        <v>No</v>
      </c>
      <c r="X108" s="0" t="n">
        <v>51.1</v>
      </c>
      <c r="Y108" s="3" t="s">
        <v>30</v>
      </c>
      <c r="Z108" s="0" t="str">
        <f aca="false">IF(M108=1,P108,"")</f>
        <v/>
      </c>
    </row>
    <row r="109" customFormat="false" ht="15" hidden="false" customHeight="false" outlineLevel="0" collapsed="false">
      <c r="A109" s="0" t="s">
        <v>150</v>
      </c>
      <c r="B109" s="2" t="n">
        <v>45802</v>
      </c>
      <c r="C109" s="3" t="s">
        <v>27</v>
      </c>
      <c r="D109" s="3" t="s">
        <v>39</v>
      </c>
      <c r="E109" s="3" t="s">
        <v>29</v>
      </c>
      <c r="F109" s="3" t="s">
        <v>30</v>
      </c>
      <c r="G109" s="3" t="s">
        <v>50</v>
      </c>
      <c r="H109" s="3" t="s">
        <v>30</v>
      </c>
      <c r="I109" s="3" t="s">
        <v>37</v>
      </c>
      <c r="J109" s="0" t="n">
        <v>1</v>
      </c>
      <c r="K109" s="0" t="n">
        <v>0</v>
      </c>
      <c r="L109" s="0" t="n">
        <v>0</v>
      </c>
      <c r="M109" s="0" t="n">
        <v>0</v>
      </c>
      <c r="N109" s="0" t="str">
        <f aca="false">IF(OR(NOT(OR(J109=0,J109=1)),NOT(OR(K109=0,K109=1)),NOT(OR(L109=0,L109=1)),NOT(OR(M109=0,M109=1)),NOT(OR(U109=0,U109=1))),"Yes","No")</f>
        <v>No</v>
      </c>
      <c r="O109" s="0" t="str">
        <f aca="false">IF(OR(AND(M109=1,L109=0),AND(L109=1,K109=0),AND(K109=1,J109=0)),"Yes","No")</f>
        <v>No</v>
      </c>
      <c r="P109" s="0" t="n">
        <v>0</v>
      </c>
      <c r="Q109" s="0" t="str">
        <f aca="false">IF(OR(AND(M109=0,P109&gt;0),AND(M109=1,P109&lt;=0)),"Yes","No")</f>
        <v>No</v>
      </c>
      <c r="R109" s="0" t="str">
        <f aca="false">IF(AND(M109=1,P109&gt;calc_helpers!$B$5),"Yes","No")</f>
        <v>No</v>
      </c>
      <c r="S109" s="0" t="n">
        <v>0</v>
      </c>
      <c r="T109" s="0" t="str">
        <f aca="false">IF(S109&gt;0,"Yes","No")</f>
        <v>No</v>
      </c>
      <c r="U109" s="0" t="n">
        <v>0</v>
      </c>
      <c r="W109" s="0" t="str">
        <f aca="false">IF(OR(AND(M109=1,ISBLANK(V109)),AND(M109=0,NOT(ISBLANK(V109)))),"Yes","No")</f>
        <v>No</v>
      </c>
      <c r="X109" s="0" t="n">
        <v>92.1</v>
      </c>
      <c r="Y109" s="3" t="s">
        <v>30</v>
      </c>
      <c r="Z109" s="0" t="str">
        <f aca="false">IF(M109=1,P109,"")</f>
        <v/>
      </c>
    </row>
    <row r="110" customFormat="false" ht="15" hidden="false" customHeight="false" outlineLevel="0" collapsed="false">
      <c r="A110" s="0" t="s">
        <v>151</v>
      </c>
      <c r="B110" s="2" t="n">
        <v>45738</v>
      </c>
      <c r="C110" s="3" t="s">
        <v>27</v>
      </c>
      <c r="D110" s="3" t="s">
        <v>43</v>
      </c>
      <c r="E110" s="3" t="s">
        <v>35</v>
      </c>
      <c r="F110" s="3" t="s">
        <v>30</v>
      </c>
      <c r="G110" s="3" t="s">
        <v>50</v>
      </c>
      <c r="H110" s="3" t="s">
        <v>30</v>
      </c>
      <c r="I110" s="3" t="s">
        <v>32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str">
        <f aca="false">IF(OR(NOT(OR(J110=0,J110=1)),NOT(OR(K110=0,K110=1)),NOT(OR(L110=0,L110=1)),NOT(OR(M110=0,M110=1)),NOT(OR(U110=0,U110=1))),"Yes","No")</f>
        <v>No</v>
      </c>
      <c r="O110" s="0" t="str">
        <f aca="false">IF(OR(AND(M110=1,L110=0),AND(L110=1,K110=0),AND(K110=1,J110=0)),"Yes","No")</f>
        <v>No</v>
      </c>
      <c r="P110" s="0" t="n">
        <v>0</v>
      </c>
      <c r="Q110" s="0" t="str">
        <f aca="false">IF(OR(AND(M110=0,P110&gt;0),AND(M110=1,P110&lt;=0)),"Yes","No")</f>
        <v>No</v>
      </c>
      <c r="R110" s="0" t="str">
        <f aca="false">IF(AND(M110=1,P110&gt;calc_helpers!$B$5),"Yes","No")</f>
        <v>No</v>
      </c>
      <c r="S110" s="0" t="n">
        <v>0</v>
      </c>
      <c r="T110" s="0" t="str">
        <f aca="false">IF(S110&gt;0,"Yes","No")</f>
        <v>No</v>
      </c>
      <c r="U110" s="0" t="n">
        <v>0</v>
      </c>
      <c r="W110" s="0" t="str">
        <f aca="false">IF(OR(AND(M110=1,ISBLANK(V110)),AND(M110=0,NOT(ISBLANK(V110)))),"Yes","No")</f>
        <v>No</v>
      </c>
      <c r="X110" s="0" t="n">
        <v>82.1</v>
      </c>
      <c r="Y110" s="3" t="s">
        <v>30</v>
      </c>
      <c r="Z110" s="0" t="str">
        <f aca="false">IF(M110=1,P110,"")</f>
        <v/>
      </c>
    </row>
    <row r="111" customFormat="false" ht="15" hidden="false" customHeight="false" outlineLevel="0" collapsed="false">
      <c r="A111" s="0" t="s">
        <v>152</v>
      </c>
      <c r="B111" s="2" t="n">
        <v>45700</v>
      </c>
      <c r="C111" s="3" t="s">
        <v>27</v>
      </c>
      <c r="D111" s="3" t="s">
        <v>34</v>
      </c>
      <c r="E111" s="3" t="s">
        <v>29</v>
      </c>
      <c r="F111" s="3" t="s">
        <v>30</v>
      </c>
      <c r="G111" s="3" t="s">
        <v>40</v>
      </c>
      <c r="H111" s="3" t="s">
        <v>30</v>
      </c>
      <c r="I111" s="3" t="s">
        <v>32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str">
        <f aca="false">IF(OR(NOT(OR(J111=0,J111=1)),NOT(OR(K111=0,K111=1)),NOT(OR(L111=0,L111=1)),NOT(OR(M111=0,M111=1)),NOT(OR(U111=0,U111=1))),"Yes","No")</f>
        <v>No</v>
      </c>
      <c r="O111" s="0" t="str">
        <f aca="false">IF(OR(AND(M111=1,L111=0),AND(L111=1,K111=0),AND(K111=1,J111=0)),"Yes","No")</f>
        <v>No</v>
      </c>
      <c r="P111" s="0" t="n">
        <v>0</v>
      </c>
      <c r="Q111" s="0" t="str">
        <f aca="false">IF(OR(AND(M111=0,P111&gt;0),AND(M111=1,P111&lt;=0)),"Yes","No")</f>
        <v>No</v>
      </c>
      <c r="R111" s="0" t="str">
        <f aca="false">IF(AND(M111=1,P111&gt;calc_helpers!$B$5),"Yes","No")</f>
        <v>No</v>
      </c>
      <c r="S111" s="0" t="n">
        <v>1</v>
      </c>
      <c r="T111" s="0" t="str">
        <f aca="false">IF(S111&gt;0,"Yes","No")</f>
        <v>Yes</v>
      </c>
      <c r="U111" s="0" t="n">
        <v>0</v>
      </c>
      <c r="W111" s="0" t="str">
        <f aca="false">IF(OR(AND(M111=1,ISBLANK(V111)),AND(M111=0,NOT(ISBLANK(V111)))),"Yes","No")</f>
        <v>No</v>
      </c>
      <c r="X111" s="0" t="n">
        <v>74</v>
      </c>
      <c r="Y111" s="3" t="s">
        <v>30</v>
      </c>
      <c r="Z111" s="0" t="str">
        <f aca="false">IF(M111=1,P111,"")</f>
        <v/>
      </c>
    </row>
    <row r="112" customFormat="false" ht="15" hidden="false" customHeight="false" outlineLevel="0" collapsed="false">
      <c r="A112" s="0" t="s">
        <v>153</v>
      </c>
      <c r="B112" s="2" t="n">
        <v>45775</v>
      </c>
      <c r="C112" s="3" t="s">
        <v>27</v>
      </c>
      <c r="D112" s="3" t="s">
        <v>34</v>
      </c>
      <c r="E112" s="3" t="s">
        <v>29</v>
      </c>
      <c r="F112" s="3" t="s">
        <v>30</v>
      </c>
      <c r="G112" s="3" t="s">
        <v>36</v>
      </c>
      <c r="H112" s="3" t="s">
        <v>30</v>
      </c>
      <c r="I112" s="3" t="s">
        <v>32</v>
      </c>
      <c r="J112" s="0" t="n">
        <v>1</v>
      </c>
      <c r="K112" s="0" t="n">
        <v>0</v>
      </c>
      <c r="L112" s="0" t="n">
        <v>0</v>
      </c>
      <c r="M112" s="0" t="n">
        <v>0</v>
      </c>
      <c r="N112" s="0" t="str">
        <f aca="false">IF(OR(NOT(OR(J112=0,J112=1)),NOT(OR(K112=0,K112=1)),NOT(OR(L112=0,L112=1)),NOT(OR(M112=0,M112=1)),NOT(OR(U112=0,U112=1))),"Yes","No")</f>
        <v>No</v>
      </c>
      <c r="O112" s="0" t="str">
        <f aca="false">IF(OR(AND(M112=1,L112=0),AND(L112=1,K112=0),AND(K112=1,J112=0)),"Yes","No")</f>
        <v>No</v>
      </c>
      <c r="P112" s="0" t="n">
        <v>0</v>
      </c>
      <c r="Q112" s="0" t="str">
        <f aca="false">IF(OR(AND(M112=0,P112&gt;0),AND(M112=1,P112&lt;=0)),"Yes","No")</f>
        <v>No</v>
      </c>
      <c r="R112" s="0" t="str">
        <f aca="false">IF(AND(M112=1,P112&gt;calc_helpers!$B$5),"Yes","No")</f>
        <v>No</v>
      </c>
      <c r="S112" s="0" t="n">
        <v>0</v>
      </c>
      <c r="T112" s="0" t="str">
        <f aca="false">IF(S112&gt;0,"Yes","No")</f>
        <v>No</v>
      </c>
      <c r="U112" s="0" t="n">
        <v>0</v>
      </c>
      <c r="W112" s="0" t="str">
        <f aca="false">IF(OR(AND(M112=1,ISBLANK(V112)),AND(M112=0,NOT(ISBLANK(V112)))),"Yes","No")</f>
        <v>No</v>
      </c>
      <c r="X112" s="0" t="n">
        <v>63.4</v>
      </c>
      <c r="Y112" s="3" t="s">
        <v>30</v>
      </c>
      <c r="Z112" s="0" t="str">
        <f aca="false">IF(M112=1,P112,"")</f>
        <v/>
      </c>
    </row>
    <row r="113" customFormat="false" ht="15" hidden="false" customHeight="false" outlineLevel="0" collapsed="false">
      <c r="A113" s="0" t="s">
        <v>154</v>
      </c>
      <c r="B113" s="2" t="n">
        <v>45687</v>
      </c>
      <c r="C113" s="3" t="s">
        <v>27</v>
      </c>
      <c r="D113" s="3" t="s">
        <v>28</v>
      </c>
      <c r="E113" s="3" t="s">
        <v>35</v>
      </c>
      <c r="F113" s="3" t="s">
        <v>30</v>
      </c>
      <c r="G113" s="3" t="s">
        <v>36</v>
      </c>
      <c r="H113" s="3" t="s">
        <v>30</v>
      </c>
      <c r="I113" s="3" t="s">
        <v>32</v>
      </c>
      <c r="J113" s="0" t="n">
        <v>1</v>
      </c>
      <c r="K113" s="0" t="n">
        <v>0</v>
      </c>
      <c r="L113" s="0" t="n">
        <v>0</v>
      </c>
      <c r="M113" s="0" t="n">
        <v>0</v>
      </c>
      <c r="N113" s="0" t="str">
        <f aca="false">IF(OR(NOT(OR(J113=0,J113=1)),NOT(OR(K113=0,K113=1)),NOT(OR(L113=0,L113=1)),NOT(OR(M113=0,M113=1)),NOT(OR(U113=0,U113=1))),"Yes","No")</f>
        <v>No</v>
      </c>
      <c r="O113" s="0" t="str">
        <f aca="false">IF(OR(AND(M113=1,L113=0),AND(L113=1,K113=0),AND(K113=1,J113=0)),"Yes","No")</f>
        <v>No</v>
      </c>
      <c r="P113" s="0" t="n">
        <v>0</v>
      </c>
      <c r="Q113" s="0" t="str">
        <f aca="false">IF(OR(AND(M113=0,P113&gt;0),AND(M113=1,P113&lt;=0)),"Yes","No")</f>
        <v>No</v>
      </c>
      <c r="R113" s="0" t="str">
        <f aca="false">IF(AND(M113=1,P113&gt;calc_helpers!$B$5),"Yes","No")</f>
        <v>No</v>
      </c>
      <c r="S113" s="0" t="n">
        <v>0</v>
      </c>
      <c r="T113" s="0" t="str">
        <f aca="false">IF(S113&gt;0,"Yes","No")</f>
        <v>No</v>
      </c>
      <c r="U113" s="0" t="n">
        <v>0</v>
      </c>
      <c r="W113" s="0" t="str">
        <f aca="false">IF(OR(AND(M113=1,ISBLANK(V113)),AND(M113=0,NOT(ISBLANK(V113)))),"Yes","No")</f>
        <v>No</v>
      </c>
      <c r="X113" s="0" t="n">
        <v>53.2</v>
      </c>
      <c r="Y113" s="3" t="s">
        <v>30</v>
      </c>
      <c r="Z113" s="0" t="str">
        <f aca="false">IF(M113=1,P113,"")</f>
        <v/>
      </c>
    </row>
    <row r="114" customFormat="false" ht="15" hidden="false" customHeight="false" outlineLevel="0" collapsed="false">
      <c r="A114" s="0" t="s">
        <v>155</v>
      </c>
      <c r="B114" s="2" t="n">
        <v>45796</v>
      </c>
      <c r="C114" s="3" t="s">
        <v>27</v>
      </c>
      <c r="D114" s="3" t="s">
        <v>39</v>
      </c>
      <c r="E114" s="3" t="s">
        <v>45</v>
      </c>
      <c r="F114" s="3" t="s">
        <v>30</v>
      </c>
      <c r="G114" s="3" t="s">
        <v>40</v>
      </c>
      <c r="H114" s="3" t="s">
        <v>30</v>
      </c>
      <c r="I114" s="3" t="s">
        <v>37</v>
      </c>
      <c r="J114" s="0" t="n">
        <v>0</v>
      </c>
      <c r="K114" s="0" t="n">
        <v>0</v>
      </c>
      <c r="L114" s="0" t="n">
        <v>0</v>
      </c>
      <c r="M114" s="0" t="n">
        <v>0</v>
      </c>
      <c r="N114" s="0" t="str">
        <f aca="false">IF(OR(NOT(OR(J114=0,J114=1)),NOT(OR(K114=0,K114=1)),NOT(OR(L114=0,L114=1)),NOT(OR(M114=0,M114=1)),NOT(OR(U114=0,U114=1))),"Yes","No")</f>
        <v>No</v>
      </c>
      <c r="O114" s="0" t="str">
        <f aca="false">IF(OR(AND(M114=1,L114=0),AND(L114=1,K114=0),AND(K114=1,J114=0)),"Yes","No")</f>
        <v>No</v>
      </c>
      <c r="P114" s="0" t="n">
        <v>0</v>
      </c>
      <c r="Q114" s="0" t="str">
        <f aca="false">IF(OR(AND(M114=0,P114&gt;0),AND(M114=1,P114&lt;=0)),"Yes","No")</f>
        <v>No</v>
      </c>
      <c r="R114" s="0" t="str">
        <f aca="false">IF(AND(M114=1,P114&gt;calc_helpers!$B$5),"Yes","No")</f>
        <v>No</v>
      </c>
      <c r="S114" s="0" t="n">
        <v>0</v>
      </c>
      <c r="T114" s="0" t="str">
        <f aca="false">IF(S114&gt;0,"Yes","No")</f>
        <v>No</v>
      </c>
      <c r="U114" s="0" t="n">
        <v>0</v>
      </c>
      <c r="W114" s="0" t="str">
        <f aca="false">IF(OR(AND(M114=1,ISBLANK(V114)),AND(M114=0,NOT(ISBLANK(V114)))),"Yes","No")</f>
        <v>No</v>
      </c>
      <c r="X114" s="0" t="n">
        <v>48.1</v>
      </c>
      <c r="Y114" s="3" t="s">
        <v>30</v>
      </c>
      <c r="Z114" s="0" t="str">
        <f aca="false">IF(M114=1,P114,"")</f>
        <v/>
      </c>
    </row>
    <row r="115" customFormat="false" ht="15" hidden="false" customHeight="false" outlineLevel="0" collapsed="false">
      <c r="A115" s="0" t="s">
        <v>156</v>
      </c>
      <c r="B115" s="2" t="n">
        <v>45680</v>
      </c>
      <c r="C115" s="3" t="s">
        <v>27</v>
      </c>
      <c r="D115" s="3" t="s">
        <v>43</v>
      </c>
      <c r="E115" s="3" t="s">
        <v>35</v>
      </c>
      <c r="F115" s="3" t="s">
        <v>30</v>
      </c>
      <c r="G115" s="3" t="s">
        <v>52</v>
      </c>
      <c r="H115" s="3" t="s">
        <v>30</v>
      </c>
      <c r="I115" s="3" t="s">
        <v>37</v>
      </c>
      <c r="J115" s="0" t="n">
        <v>1</v>
      </c>
      <c r="K115" s="0" t="n">
        <v>1</v>
      </c>
      <c r="L115" s="0" t="n">
        <v>0</v>
      </c>
      <c r="M115" s="0" t="n">
        <v>0</v>
      </c>
      <c r="N115" s="0" t="str">
        <f aca="false">IF(OR(NOT(OR(J115=0,J115=1)),NOT(OR(K115=0,K115=1)),NOT(OR(L115=0,L115=1)),NOT(OR(M115=0,M115=1)),NOT(OR(U115=0,U115=1))),"Yes","No")</f>
        <v>No</v>
      </c>
      <c r="O115" s="0" t="str">
        <f aca="false">IF(OR(AND(M115=1,L115=0),AND(L115=1,K115=0),AND(K115=1,J115=0)),"Yes","No")</f>
        <v>No</v>
      </c>
      <c r="P115" s="0" t="n">
        <v>0</v>
      </c>
      <c r="Q115" s="0" t="str">
        <f aca="false">IF(OR(AND(M115=0,P115&gt;0),AND(M115=1,P115&lt;=0)),"Yes","No")</f>
        <v>No</v>
      </c>
      <c r="R115" s="0" t="str">
        <f aca="false">IF(AND(M115=1,P115&gt;calc_helpers!$B$5),"Yes","No")</f>
        <v>No</v>
      </c>
      <c r="S115" s="0" t="n">
        <v>0</v>
      </c>
      <c r="T115" s="0" t="str">
        <f aca="false">IF(S115&gt;0,"Yes","No")</f>
        <v>No</v>
      </c>
      <c r="U115" s="0" t="n">
        <v>0</v>
      </c>
      <c r="W115" s="0" t="str">
        <f aca="false">IF(OR(AND(M115=1,ISBLANK(V115)),AND(M115=0,NOT(ISBLANK(V115)))),"Yes","No")</f>
        <v>No</v>
      </c>
      <c r="X115" s="0" t="n">
        <v>61.5</v>
      </c>
      <c r="Y115" s="3" t="s">
        <v>30</v>
      </c>
      <c r="Z115" s="0" t="str">
        <f aca="false">IF(M115=1,P115,"")</f>
        <v/>
      </c>
    </row>
    <row r="116" customFormat="false" ht="15" hidden="false" customHeight="false" outlineLevel="0" collapsed="false">
      <c r="A116" s="0" t="s">
        <v>157</v>
      </c>
      <c r="B116" s="2" t="n">
        <v>45744</v>
      </c>
      <c r="C116" s="3" t="s">
        <v>27</v>
      </c>
      <c r="D116" s="3" t="s">
        <v>39</v>
      </c>
      <c r="E116" s="3" t="s">
        <v>29</v>
      </c>
      <c r="F116" s="3" t="s">
        <v>30</v>
      </c>
      <c r="G116" s="3" t="s">
        <v>52</v>
      </c>
      <c r="H116" s="3" t="s">
        <v>30</v>
      </c>
      <c r="I116" s="3" t="s">
        <v>37</v>
      </c>
      <c r="J116" s="0" t="n">
        <v>1</v>
      </c>
      <c r="K116" s="0" t="n">
        <v>0</v>
      </c>
      <c r="L116" s="0" t="n">
        <v>0</v>
      </c>
      <c r="M116" s="0" t="n">
        <v>0</v>
      </c>
      <c r="N116" s="0" t="str">
        <f aca="false">IF(OR(NOT(OR(J116=0,J116=1)),NOT(OR(K116=0,K116=1)),NOT(OR(L116=0,L116=1)),NOT(OR(M116=0,M116=1)),NOT(OR(U116=0,U116=1))),"Yes","No")</f>
        <v>No</v>
      </c>
      <c r="O116" s="0" t="str">
        <f aca="false">IF(OR(AND(M116=1,L116=0),AND(L116=1,K116=0),AND(K116=1,J116=0)),"Yes","No")</f>
        <v>No</v>
      </c>
      <c r="P116" s="0" t="n">
        <v>0</v>
      </c>
      <c r="Q116" s="0" t="str">
        <f aca="false">IF(OR(AND(M116=0,P116&gt;0),AND(M116=1,P116&lt;=0)),"Yes","No")</f>
        <v>No</v>
      </c>
      <c r="R116" s="0" t="str">
        <f aca="false">IF(AND(M116=1,P116&gt;calc_helpers!$B$5),"Yes","No")</f>
        <v>No</v>
      </c>
      <c r="S116" s="0" t="n">
        <v>0</v>
      </c>
      <c r="T116" s="0" t="str">
        <f aca="false">IF(S116&gt;0,"Yes","No")</f>
        <v>No</v>
      </c>
      <c r="U116" s="0" t="n">
        <v>0</v>
      </c>
      <c r="W116" s="0" t="str">
        <f aca="false">IF(OR(AND(M116=1,ISBLANK(V116)),AND(M116=0,NOT(ISBLANK(V116)))),"Yes","No")</f>
        <v>No</v>
      </c>
      <c r="X116" s="0" t="n">
        <v>63.2</v>
      </c>
      <c r="Y116" s="3" t="s">
        <v>30</v>
      </c>
      <c r="Z116" s="0" t="str">
        <f aca="false">IF(M116=1,P116,"")</f>
        <v/>
      </c>
    </row>
    <row r="117" customFormat="false" ht="15" hidden="false" customHeight="false" outlineLevel="0" collapsed="false">
      <c r="A117" s="0" t="s">
        <v>158</v>
      </c>
      <c r="B117" s="2" t="n">
        <v>45668</v>
      </c>
      <c r="C117" s="3" t="s">
        <v>27</v>
      </c>
      <c r="D117" s="3" t="s">
        <v>34</v>
      </c>
      <c r="E117" s="3" t="s">
        <v>35</v>
      </c>
      <c r="F117" s="3" t="s">
        <v>30</v>
      </c>
      <c r="G117" s="3" t="s">
        <v>36</v>
      </c>
      <c r="H117" s="3" t="s">
        <v>30</v>
      </c>
      <c r="I117" s="3" t="s">
        <v>37</v>
      </c>
      <c r="J117" s="0" t="n">
        <v>0</v>
      </c>
      <c r="K117" s="0" t="n">
        <v>0</v>
      </c>
      <c r="L117" s="0" t="n">
        <v>0</v>
      </c>
      <c r="M117" s="0" t="n">
        <v>0</v>
      </c>
      <c r="N117" s="0" t="str">
        <f aca="false">IF(OR(NOT(OR(J117=0,J117=1)),NOT(OR(K117=0,K117=1)),NOT(OR(L117=0,L117=1)),NOT(OR(M117=0,M117=1)),NOT(OR(U117=0,U117=1))),"Yes","No")</f>
        <v>No</v>
      </c>
      <c r="O117" s="0" t="str">
        <f aca="false">IF(OR(AND(M117=1,L117=0),AND(L117=1,K117=0),AND(K117=1,J117=0)),"Yes","No")</f>
        <v>No</v>
      </c>
      <c r="P117" s="0" t="n">
        <v>0</v>
      </c>
      <c r="Q117" s="0" t="str">
        <f aca="false">IF(OR(AND(M117=0,P117&gt;0),AND(M117=1,P117&lt;=0)),"Yes","No")</f>
        <v>No</v>
      </c>
      <c r="R117" s="0" t="str">
        <f aca="false">IF(AND(M117=1,P117&gt;calc_helpers!$B$5),"Yes","No")</f>
        <v>No</v>
      </c>
      <c r="S117" s="0" t="n">
        <v>0</v>
      </c>
      <c r="T117" s="0" t="str">
        <f aca="false">IF(S117&gt;0,"Yes","No")</f>
        <v>No</v>
      </c>
      <c r="U117" s="0" t="n">
        <v>0</v>
      </c>
      <c r="W117" s="0" t="str">
        <f aca="false">IF(OR(AND(M117=1,ISBLANK(V117)),AND(M117=0,NOT(ISBLANK(V117)))),"Yes","No")</f>
        <v>No</v>
      </c>
      <c r="X117" s="0" t="n">
        <v>71.9</v>
      </c>
      <c r="Y117" s="3" t="s">
        <v>30</v>
      </c>
      <c r="Z117" s="0" t="str">
        <f aca="false">IF(M117=1,P117,"")</f>
        <v/>
      </c>
    </row>
    <row r="118" customFormat="false" ht="15" hidden="false" customHeight="false" outlineLevel="0" collapsed="false">
      <c r="A118" s="0" t="s">
        <v>159</v>
      </c>
      <c r="B118" s="2" t="n">
        <v>45758</v>
      </c>
      <c r="C118" s="3" t="s">
        <v>27</v>
      </c>
      <c r="D118" s="3" t="s">
        <v>28</v>
      </c>
      <c r="E118" s="3" t="s">
        <v>35</v>
      </c>
      <c r="F118" s="3" t="s">
        <v>30</v>
      </c>
      <c r="G118" s="3" t="s">
        <v>50</v>
      </c>
      <c r="H118" s="3" t="s">
        <v>30</v>
      </c>
      <c r="I118" s="3" t="s">
        <v>37</v>
      </c>
      <c r="J118" s="0" t="n">
        <v>0</v>
      </c>
      <c r="K118" s="0" t="n">
        <v>0</v>
      </c>
      <c r="L118" s="0" t="n">
        <v>0</v>
      </c>
      <c r="M118" s="0" t="n">
        <v>0</v>
      </c>
      <c r="N118" s="0" t="str">
        <f aca="false">IF(OR(NOT(OR(J118=0,J118=1)),NOT(OR(K118=0,K118=1)),NOT(OR(L118=0,L118=1)),NOT(OR(M118=0,M118=1)),NOT(OR(U118=0,U118=1))),"Yes","No")</f>
        <v>No</v>
      </c>
      <c r="O118" s="0" t="str">
        <f aca="false">IF(OR(AND(M118=1,L118=0),AND(L118=1,K118=0),AND(K118=1,J118=0)),"Yes","No")</f>
        <v>No</v>
      </c>
      <c r="P118" s="0" t="n">
        <v>0</v>
      </c>
      <c r="Q118" s="0" t="str">
        <f aca="false">IF(OR(AND(M118=0,P118&gt;0),AND(M118=1,P118&lt;=0)),"Yes","No")</f>
        <v>No</v>
      </c>
      <c r="R118" s="0" t="str">
        <f aca="false">IF(AND(M118=1,P118&gt;calc_helpers!$B$5),"Yes","No")</f>
        <v>No</v>
      </c>
      <c r="S118" s="0" t="n">
        <v>0</v>
      </c>
      <c r="T118" s="0" t="str">
        <f aca="false">IF(S118&gt;0,"Yes","No")</f>
        <v>No</v>
      </c>
      <c r="U118" s="0" t="n">
        <v>0</v>
      </c>
      <c r="W118" s="0" t="str">
        <f aca="false">IF(OR(AND(M118=1,ISBLANK(V118)),AND(M118=0,NOT(ISBLANK(V118)))),"Yes","No")</f>
        <v>No</v>
      </c>
      <c r="X118" s="0" t="n">
        <v>62.7</v>
      </c>
      <c r="Y118" s="3" t="s">
        <v>30</v>
      </c>
      <c r="Z118" s="0" t="str">
        <f aca="false">IF(M118=1,P118,"")</f>
        <v/>
      </c>
    </row>
    <row r="119" customFormat="false" ht="15" hidden="false" customHeight="false" outlineLevel="0" collapsed="false">
      <c r="A119" s="0" t="s">
        <v>160</v>
      </c>
      <c r="B119" s="2" t="n">
        <v>45659</v>
      </c>
      <c r="C119" s="3" t="s">
        <v>27</v>
      </c>
      <c r="D119" s="3" t="s">
        <v>34</v>
      </c>
      <c r="E119" s="3" t="s">
        <v>35</v>
      </c>
      <c r="F119" s="3" t="s">
        <v>30</v>
      </c>
      <c r="G119" s="3" t="s">
        <v>40</v>
      </c>
      <c r="H119" s="3" t="s">
        <v>30</v>
      </c>
      <c r="I119" s="3" t="s">
        <v>37</v>
      </c>
      <c r="J119" s="0" t="n">
        <v>1</v>
      </c>
      <c r="K119" s="0" t="n">
        <v>0</v>
      </c>
      <c r="L119" s="0" t="n">
        <v>0</v>
      </c>
      <c r="M119" s="0" t="n">
        <v>0</v>
      </c>
      <c r="N119" s="0" t="str">
        <f aca="false">IF(OR(NOT(OR(J119=0,J119=1)),NOT(OR(K119=0,K119=1)),NOT(OR(L119=0,L119=1)),NOT(OR(M119=0,M119=1)),NOT(OR(U119=0,U119=1))),"Yes","No")</f>
        <v>No</v>
      </c>
      <c r="O119" s="0" t="str">
        <f aca="false">IF(OR(AND(M119=1,L119=0),AND(L119=1,K119=0),AND(K119=1,J119=0)),"Yes","No")</f>
        <v>No</v>
      </c>
      <c r="P119" s="0" t="n">
        <v>0</v>
      </c>
      <c r="Q119" s="0" t="str">
        <f aca="false">IF(OR(AND(M119=0,P119&gt;0),AND(M119=1,P119&lt;=0)),"Yes","No")</f>
        <v>No</v>
      </c>
      <c r="R119" s="0" t="str">
        <f aca="false">IF(AND(M119=1,P119&gt;calc_helpers!$B$5),"Yes","No")</f>
        <v>No</v>
      </c>
      <c r="S119" s="0" t="n">
        <v>0</v>
      </c>
      <c r="T119" s="0" t="str">
        <f aca="false">IF(S119&gt;0,"Yes","No")</f>
        <v>No</v>
      </c>
      <c r="U119" s="0" t="n">
        <v>0</v>
      </c>
      <c r="W119" s="0" t="str">
        <f aca="false">IF(OR(AND(M119=1,ISBLANK(V119)),AND(M119=0,NOT(ISBLANK(V119)))),"Yes","No")</f>
        <v>No</v>
      </c>
      <c r="X119" s="0" t="n">
        <v>51.5</v>
      </c>
      <c r="Y119" s="3" t="s">
        <v>30</v>
      </c>
      <c r="Z119" s="0" t="str">
        <f aca="false">IF(M119=1,P119,"")</f>
        <v/>
      </c>
    </row>
    <row r="120" customFormat="false" ht="15" hidden="false" customHeight="false" outlineLevel="0" collapsed="false">
      <c r="A120" s="0" t="s">
        <v>161</v>
      </c>
      <c r="B120" s="2" t="n">
        <v>45734</v>
      </c>
      <c r="C120" s="3" t="s">
        <v>27</v>
      </c>
      <c r="D120" s="3" t="s">
        <v>39</v>
      </c>
      <c r="E120" s="3" t="s">
        <v>35</v>
      </c>
      <c r="F120" s="3" t="s">
        <v>30</v>
      </c>
      <c r="G120" s="3" t="s">
        <v>52</v>
      </c>
      <c r="H120" s="3" t="s">
        <v>30</v>
      </c>
      <c r="I120" s="3" t="s">
        <v>37</v>
      </c>
      <c r="J120" s="0" t="n">
        <v>1</v>
      </c>
      <c r="K120" s="0" t="n">
        <v>1</v>
      </c>
      <c r="L120" s="0" t="n">
        <v>1</v>
      </c>
      <c r="M120" s="0" t="n">
        <v>0</v>
      </c>
      <c r="N120" s="0" t="str">
        <f aca="false">IF(OR(NOT(OR(J120=0,J120=1)),NOT(OR(K120=0,K120=1)),NOT(OR(L120=0,L120=1)),NOT(OR(M120=0,M120=1)),NOT(OR(U120=0,U120=1))),"Yes","No")</f>
        <v>No</v>
      </c>
      <c r="O120" s="0" t="str">
        <f aca="false">IF(OR(AND(M120=1,L120=0),AND(L120=1,K120=0),AND(K120=1,J120=0)),"Yes","No")</f>
        <v>No</v>
      </c>
      <c r="P120" s="0" t="n">
        <v>0</v>
      </c>
      <c r="Q120" s="0" t="str">
        <f aca="false">IF(OR(AND(M120=0,P120&gt;0),AND(M120=1,P120&lt;=0)),"Yes","No")</f>
        <v>No</v>
      </c>
      <c r="R120" s="0" t="str">
        <f aca="false">IF(AND(M120=1,P120&gt;calc_helpers!$B$5),"Yes","No")</f>
        <v>No</v>
      </c>
      <c r="S120" s="0" t="n">
        <v>0</v>
      </c>
      <c r="T120" s="0" t="str">
        <f aca="false">IF(S120&gt;0,"Yes","No")</f>
        <v>No</v>
      </c>
      <c r="U120" s="0" t="n">
        <v>0</v>
      </c>
      <c r="W120" s="0" t="str">
        <f aca="false">IF(OR(AND(M120=1,ISBLANK(V120)),AND(M120=0,NOT(ISBLANK(V120)))),"Yes","No")</f>
        <v>No</v>
      </c>
      <c r="X120" s="0" t="n">
        <v>39.1</v>
      </c>
      <c r="Y120" s="3" t="s">
        <v>30</v>
      </c>
      <c r="Z120" s="0" t="str">
        <f aca="false">IF(M120=1,P120,"")</f>
        <v/>
      </c>
    </row>
    <row r="121" customFormat="false" ht="15" hidden="false" customHeight="false" outlineLevel="0" collapsed="false">
      <c r="A121" s="0" t="s">
        <v>162</v>
      </c>
      <c r="B121" s="2" t="n">
        <v>45747</v>
      </c>
      <c r="C121" s="3" t="s">
        <v>27</v>
      </c>
      <c r="D121" s="3" t="s">
        <v>28</v>
      </c>
      <c r="E121" s="3" t="s">
        <v>35</v>
      </c>
      <c r="F121" s="3" t="s">
        <v>30</v>
      </c>
      <c r="G121" s="3" t="s">
        <v>31</v>
      </c>
      <c r="H121" s="3" t="s">
        <v>30</v>
      </c>
      <c r="I121" s="3" t="s">
        <v>37</v>
      </c>
      <c r="J121" s="0" t="n">
        <v>1</v>
      </c>
      <c r="K121" s="0" t="n">
        <v>0</v>
      </c>
      <c r="L121" s="0" t="n">
        <v>0</v>
      </c>
      <c r="M121" s="0" t="n">
        <v>0</v>
      </c>
      <c r="N121" s="0" t="str">
        <f aca="false">IF(OR(NOT(OR(J121=0,J121=1)),NOT(OR(K121=0,K121=1)),NOT(OR(L121=0,L121=1)),NOT(OR(M121=0,M121=1)),NOT(OR(U121=0,U121=1))),"Yes","No")</f>
        <v>No</v>
      </c>
      <c r="O121" s="0" t="str">
        <f aca="false">IF(OR(AND(M121=1,L121=0),AND(L121=1,K121=0),AND(K121=1,J121=0)),"Yes","No")</f>
        <v>No</v>
      </c>
      <c r="P121" s="0" t="n">
        <v>0</v>
      </c>
      <c r="Q121" s="0" t="str">
        <f aca="false">IF(OR(AND(M121=0,P121&gt;0),AND(M121=1,P121&lt;=0)),"Yes","No")</f>
        <v>No</v>
      </c>
      <c r="R121" s="0" t="str">
        <f aca="false">IF(AND(M121=1,P121&gt;calc_helpers!$B$5),"Yes","No")</f>
        <v>No</v>
      </c>
      <c r="S121" s="0" t="n">
        <v>0</v>
      </c>
      <c r="T121" s="0" t="str">
        <f aca="false">IF(S121&gt;0,"Yes","No")</f>
        <v>No</v>
      </c>
      <c r="U121" s="0" t="n">
        <v>0</v>
      </c>
      <c r="W121" s="0" t="str">
        <f aca="false">IF(OR(AND(M121=1,ISBLANK(V121)),AND(M121=0,NOT(ISBLANK(V121)))),"Yes","No")</f>
        <v>No</v>
      </c>
      <c r="X121" s="0" t="n">
        <v>43.8</v>
      </c>
      <c r="Y121" s="3" t="s">
        <v>30</v>
      </c>
      <c r="Z121" s="0" t="str">
        <f aca="false">IF(M121=1,P121,"")</f>
        <v/>
      </c>
    </row>
    <row r="122" customFormat="false" ht="15" hidden="false" customHeight="false" outlineLevel="0" collapsed="false">
      <c r="A122" s="0" t="s">
        <v>163</v>
      </c>
      <c r="B122" s="2" t="n">
        <v>45663</v>
      </c>
      <c r="C122" s="3" t="s">
        <v>27</v>
      </c>
      <c r="D122" s="3" t="s">
        <v>28</v>
      </c>
      <c r="E122" s="3" t="s">
        <v>35</v>
      </c>
      <c r="F122" s="3" t="s">
        <v>30</v>
      </c>
      <c r="G122" s="3" t="s">
        <v>40</v>
      </c>
      <c r="H122" s="3" t="s">
        <v>30</v>
      </c>
      <c r="I122" s="3" t="s">
        <v>32</v>
      </c>
      <c r="J122" s="0" t="n">
        <v>1</v>
      </c>
      <c r="K122" s="0" t="n">
        <v>0</v>
      </c>
      <c r="L122" s="0" t="n">
        <v>0</v>
      </c>
      <c r="M122" s="0" t="n">
        <v>0</v>
      </c>
      <c r="N122" s="0" t="str">
        <f aca="false">IF(OR(NOT(OR(J122=0,J122=1)),NOT(OR(K122=0,K122=1)),NOT(OR(L122=0,L122=1)),NOT(OR(M122=0,M122=1)),NOT(OR(U122=0,U122=1))),"Yes","No")</f>
        <v>No</v>
      </c>
      <c r="O122" s="0" t="str">
        <f aca="false">IF(OR(AND(M122=1,L122=0),AND(L122=1,K122=0),AND(K122=1,J122=0)),"Yes","No")</f>
        <v>No</v>
      </c>
      <c r="P122" s="0" t="n">
        <v>0</v>
      </c>
      <c r="Q122" s="0" t="str">
        <f aca="false">IF(OR(AND(M122=0,P122&gt;0),AND(M122=1,P122&lt;=0)),"Yes","No")</f>
        <v>No</v>
      </c>
      <c r="R122" s="0" t="str">
        <f aca="false">IF(AND(M122=1,P122&gt;calc_helpers!$B$5),"Yes","No")</f>
        <v>No</v>
      </c>
      <c r="S122" s="0" t="n">
        <v>0</v>
      </c>
      <c r="T122" s="0" t="str">
        <f aca="false">IF(S122&gt;0,"Yes","No")</f>
        <v>No</v>
      </c>
      <c r="U122" s="0" t="n">
        <v>0</v>
      </c>
      <c r="W122" s="0" t="str">
        <f aca="false">IF(OR(AND(M122=1,ISBLANK(V122)),AND(M122=0,NOT(ISBLANK(V122)))),"Yes","No")</f>
        <v>No</v>
      </c>
      <c r="X122" s="0" t="n">
        <v>59.9</v>
      </c>
      <c r="Y122" s="3" t="s">
        <v>30</v>
      </c>
      <c r="Z122" s="0" t="str">
        <f aca="false">IF(M122=1,P122,"")</f>
        <v/>
      </c>
    </row>
    <row r="123" customFormat="false" ht="15" hidden="false" customHeight="false" outlineLevel="0" collapsed="false">
      <c r="A123" s="0" t="s">
        <v>164</v>
      </c>
      <c r="B123" s="2" t="n">
        <v>45683</v>
      </c>
      <c r="C123" s="3" t="s">
        <v>27</v>
      </c>
      <c r="D123" s="3" t="s">
        <v>28</v>
      </c>
      <c r="E123" s="3" t="s">
        <v>35</v>
      </c>
      <c r="F123" s="3" t="s">
        <v>30</v>
      </c>
      <c r="G123" s="3" t="s">
        <v>50</v>
      </c>
      <c r="H123" s="3" t="s">
        <v>30</v>
      </c>
      <c r="I123" s="3" t="s">
        <v>37</v>
      </c>
      <c r="J123" s="0" t="n">
        <v>1</v>
      </c>
      <c r="K123" s="0" t="n">
        <v>1</v>
      </c>
      <c r="L123" s="0" t="n">
        <v>0</v>
      </c>
      <c r="M123" s="0" t="n">
        <v>0</v>
      </c>
      <c r="N123" s="0" t="str">
        <f aca="false">IF(OR(NOT(OR(J123=0,J123=1)),NOT(OR(K123=0,K123=1)),NOT(OR(L123=0,L123=1)),NOT(OR(M123=0,M123=1)),NOT(OR(U123=0,U123=1))),"Yes","No")</f>
        <v>No</v>
      </c>
      <c r="O123" s="0" t="str">
        <f aca="false">IF(OR(AND(M123=1,L123=0),AND(L123=1,K123=0),AND(K123=1,J123=0)),"Yes","No")</f>
        <v>No</v>
      </c>
      <c r="P123" s="0" t="n">
        <v>0</v>
      </c>
      <c r="Q123" s="0" t="str">
        <f aca="false">IF(OR(AND(M123=0,P123&gt;0),AND(M123=1,P123&lt;=0)),"Yes","No")</f>
        <v>No</v>
      </c>
      <c r="R123" s="0" t="str">
        <f aca="false">IF(AND(M123=1,P123&gt;calc_helpers!$B$5),"Yes","No")</f>
        <v>No</v>
      </c>
      <c r="S123" s="0" t="n">
        <v>0</v>
      </c>
      <c r="T123" s="0" t="str">
        <f aca="false">IF(S123&gt;0,"Yes","No")</f>
        <v>No</v>
      </c>
      <c r="U123" s="0" t="n">
        <v>0</v>
      </c>
      <c r="W123" s="0" t="str">
        <f aca="false">IF(OR(AND(M123=1,ISBLANK(V123)),AND(M123=0,NOT(ISBLANK(V123)))),"Yes","No")</f>
        <v>No</v>
      </c>
      <c r="X123" s="0" t="n">
        <v>71.4</v>
      </c>
      <c r="Y123" s="3" t="s">
        <v>30</v>
      </c>
      <c r="Z123" s="0" t="str">
        <f aca="false">IF(M123=1,P123,"")</f>
        <v/>
      </c>
    </row>
    <row r="124" customFormat="false" ht="15" hidden="false" customHeight="false" outlineLevel="0" collapsed="false">
      <c r="A124" s="0" t="s">
        <v>165</v>
      </c>
      <c r="B124" s="2" t="n">
        <v>45769</v>
      </c>
      <c r="C124" s="3" t="s">
        <v>27</v>
      </c>
      <c r="D124" s="3" t="s">
        <v>43</v>
      </c>
      <c r="E124" s="3" t="s">
        <v>35</v>
      </c>
      <c r="F124" s="3" t="s">
        <v>30</v>
      </c>
      <c r="G124" s="3" t="s">
        <v>50</v>
      </c>
      <c r="H124" s="3" t="s">
        <v>30</v>
      </c>
      <c r="I124" s="3" t="s">
        <v>32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str">
        <f aca="false">IF(OR(NOT(OR(J124=0,J124=1)),NOT(OR(K124=0,K124=1)),NOT(OR(L124=0,L124=1)),NOT(OR(M124=0,M124=1)),NOT(OR(U124=0,U124=1))),"Yes","No")</f>
        <v>No</v>
      </c>
      <c r="O124" s="0" t="str">
        <f aca="false">IF(OR(AND(M124=1,L124=0),AND(L124=1,K124=0),AND(K124=1,J124=0)),"Yes","No")</f>
        <v>No</v>
      </c>
      <c r="P124" s="0" t="n">
        <v>0</v>
      </c>
      <c r="Q124" s="0" t="str">
        <f aca="false">IF(OR(AND(M124=0,P124&gt;0),AND(M124=1,P124&lt;=0)),"Yes","No")</f>
        <v>No</v>
      </c>
      <c r="R124" s="0" t="str">
        <f aca="false">IF(AND(M124=1,P124&gt;calc_helpers!$B$5),"Yes","No")</f>
        <v>No</v>
      </c>
      <c r="S124" s="0" t="n">
        <v>0</v>
      </c>
      <c r="T124" s="0" t="str">
        <f aca="false">IF(S124&gt;0,"Yes","No")</f>
        <v>No</v>
      </c>
      <c r="U124" s="0" t="n">
        <v>0</v>
      </c>
      <c r="W124" s="0" t="str">
        <f aca="false">IF(OR(AND(M124=1,ISBLANK(V124)),AND(M124=0,NOT(ISBLANK(V124)))),"Yes","No")</f>
        <v>No</v>
      </c>
      <c r="X124" s="0" t="n">
        <v>36.1</v>
      </c>
      <c r="Y124" s="3" t="s">
        <v>30</v>
      </c>
      <c r="Z124" s="0" t="str">
        <f aca="false">IF(M124=1,P124,"")</f>
        <v/>
      </c>
    </row>
    <row r="125" customFormat="false" ht="15" hidden="false" customHeight="false" outlineLevel="0" collapsed="false">
      <c r="A125" s="0" t="s">
        <v>166</v>
      </c>
      <c r="B125" s="2" t="n">
        <v>45807</v>
      </c>
      <c r="C125" s="3" t="s">
        <v>27</v>
      </c>
      <c r="D125" s="3" t="s">
        <v>34</v>
      </c>
      <c r="E125" s="3" t="s">
        <v>167</v>
      </c>
      <c r="F125" s="3" t="s">
        <v>168</v>
      </c>
      <c r="G125" s="3" t="s">
        <v>31</v>
      </c>
      <c r="H125" s="3" t="s">
        <v>30</v>
      </c>
      <c r="I125" s="3" t="s">
        <v>32</v>
      </c>
      <c r="J125" s="0" t="n">
        <v>1</v>
      </c>
      <c r="K125" s="0" t="n">
        <v>1</v>
      </c>
      <c r="L125" s="0" t="n">
        <v>0</v>
      </c>
      <c r="M125" s="0" t="n">
        <v>0</v>
      </c>
      <c r="N125" s="0" t="str">
        <f aca="false">IF(OR(NOT(OR(J125=0,J125=1)),NOT(OR(K125=0,K125=1)),NOT(OR(L125=0,L125=1)),NOT(OR(M125=0,M125=1)),NOT(OR(U125=0,U125=1))),"Yes","No")</f>
        <v>No</v>
      </c>
      <c r="O125" s="0" t="str">
        <f aca="false">IF(OR(AND(M125=1,L125=0),AND(L125=1,K125=0),AND(K125=1,J125=0)),"Yes","No")</f>
        <v>No</v>
      </c>
      <c r="P125" s="0" t="n">
        <v>0</v>
      </c>
      <c r="Q125" s="0" t="str">
        <f aca="false">IF(OR(AND(M125=0,P125&gt;0),AND(M125=1,P125&lt;=0)),"Yes","No")</f>
        <v>No</v>
      </c>
      <c r="R125" s="0" t="str">
        <f aca="false">IF(AND(M125=1,P125&gt;calc_helpers!$B$5),"Yes","No")</f>
        <v>No</v>
      </c>
      <c r="S125" s="0" t="n">
        <v>0</v>
      </c>
      <c r="T125" s="0" t="str">
        <f aca="false">IF(S125&gt;0,"Yes","No")</f>
        <v>No</v>
      </c>
      <c r="U125" s="0" t="n">
        <v>0</v>
      </c>
      <c r="W125" s="0" t="str">
        <f aca="false">IF(OR(AND(M125=1,ISBLANK(V125)),AND(M125=0,NOT(ISBLANK(V125)))),"Yes","No")</f>
        <v>No</v>
      </c>
      <c r="X125" s="0" t="n">
        <v>47.9</v>
      </c>
      <c r="Y125" s="3" t="s">
        <v>30</v>
      </c>
      <c r="Z125" s="0" t="str">
        <f aca="false">IF(M125=1,P125,"")</f>
        <v/>
      </c>
    </row>
    <row r="126" customFormat="false" ht="15" hidden="false" customHeight="false" outlineLevel="0" collapsed="false">
      <c r="A126" s="0" t="s">
        <v>169</v>
      </c>
      <c r="B126" s="2" t="n">
        <v>45795</v>
      </c>
      <c r="C126" s="3" t="s">
        <v>27</v>
      </c>
      <c r="D126" s="3" t="s">
        <v>34</v>
      </c>
      <c r="E126" s="3" t="s">
        <v>29</v>
      </c>
      <c r="F126" s="3" t="s">
        <v>30</v>
      </c>
      <c r="G126" s="3" t="s">
        <v>36</v>
      </c>
      <c r="H126" s="3" t="s">
        <v>30</v>
      </c>
      <c r="I126" s="3" t="s">
        <v>41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str">
        <f aca="false">IF(OR(NOT(OR(J126=0,J126=1)),NOT(OR(K126=0,K126=1)),NOT(OR(L126=0,L126=1)),NOT(OR(M126=0,M126=1)),NOT(OR(U126=0,U126=1))),"Yes","No")</f>
        <v>No</v>
      </c>
      <c r="O126" s="0" t="str">
        <f aca="false">IF(OR(AND(M126=1,L126=0),AND(L126=1,K126=0),AND(K126=1,J126=0)),"Yes","No")</f>
        <v>No</v>
      </c>
      <c r="P126" s="0" t="n">
        <v>0</v>
      </c>
      <c r="Q126" s="0" t="str">
        <f aca="false">IF(OR(AND(M126=0,P126&gt;0),AND(M126=1,P126&lt;=0)),"Yes","No")</f>
        <v>No</v>
      </c>
      <c r="R126" s="0" t="str">
        <f aca="false">IF(AND(M126=1,P126&gt;calc_helpers!$B$5),"Yes","No")</f>
        <v>No</v>
      </c>
      <c r="S126" s="0" t="n">
        <v>0</v>
      </c>
      <c r="T126" s="0" t="str">
        <f aca="false">IF(S126&gt;0,"Yes","No")</f>
        <v>No</v>
      </c>
      <c r="U126" s="0" t="n">
        <v>0</v>
      </c>
      <c r="W126" s="0" t="str">
        <f aca="false">IF(OR(AND(M126=1,ISBLANK(V126)),AND(M126=0,NOT(ISBLANK(V126)))),"Yes","No")</f>
        <v>No</v>
      </c>
      <c r="X126" s="0" t="n">
        <v>62.5</v>
      </c>
      <c r="Y126" s="3" t="s">
        <v>30</v>
      </c>
      <c r="Z126" s="0" t="str">
        <f aca="false">IF(M126=1,P126,"")</f>
        <v/>
      </c>
    </row>
    <row r="127" customFormat="false" ht="15" hidden="false" customHeight="false" outlineLevel="0" collapsed="false">
      <c r="A127" s="0" t="s">
        <v>170</v>
      </c>
      <c r="B127" s="2" t="n">
        <v>45670</v>
      </c>
      <c r="C127" s="3" t="s">
        <v>27</v>
      </c>
      <c r="D127" s="3" t="s">
        <v>43</v>
      </c>
      <c r="E127" s="3" t="s">
        <v>29</v>
      </c>
      <c r="F127" s="3" t="s">
        <v>30</v>
      </c>
      <c r="G127" s="3" t="s">
        <v>40</v>
      </c>
      <c r="H127" s="3" t="s">
        <v>30</v>
      </c>
      <c r="I127" s="3" t="s">
        <v>41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str">
        <f aca="false">IF(OR(NOT(OR(J127=0,J127=1)),NOT(OR(K127=0,K127=1)),NOT(OR(L127=0,L127=1)),NOT(OR(M127=0,M127=1)),NOT(OR(U127=0,U127=1))),"Yes","No")</f>
        <v>No</v>
      </c>
      <c r="O127" s="0" t="str">
        <f aca="false">IF(OR(AND(M127=1,L127=0),AND(L127=1,K127=0),AND(K127=1,J127=0)),"Yes","No")</f>
        <v>No</v>
      </c>
      <c r="P127" s="0" t="n">
        <v>0</v>
      </c>
      <c r="Q127" s="0" t="str">
        <f aca="false">IF(OR(AND(M127=0,P127&gt;0),AND(M127=1,P127&lt;=0)),"Yes","No")</f>
        <v>No</v>
      </c>
      <c r="R127" s="0" t="str">
        <f aca="false">IF(AND(M127=1,P127&gt;calc_helpers!$B$5),"Yes","No")</f>
        <v>No</v>
      </c>
      <c r="S127" s="0" t="n">
        <v>0</v>
      </c>
      <c r="T127" s="0" t="str">
        <f aca="false">IF(S127&gt;0,"Yes","No")</f>
        <v>No</v>
      </c>
      <c r="U127" s="0" t="n">
        <v>0</v>
      </c>
      <c r="W127" s="0" t="str">
        <f aca="false">IF(OR(AND(M127=1,ISBLANK(V127)),AND(M127=0,NOT(ISBLANK(V127)))),"Yes","No")</f>
        <v>No</v>
      </c>
      <c r="X127" s="0" t="n">
        <v>56.9</v>
      </c>
      <c r="Y127" s="3" t="s">
        <v>30</v>
      </c>
      <c r="Z127" s="0" t="str">
        <f aca="false">IF(M127=1,P127,"")</f>
        <v/>
      </c>
    </row>
    <row r="128" customFormat="false" ht="15" hidden="false" customHeight="false" outlineLevel="0" collapsed="false">
      <c r="A128" s="0" t="s">
        <v>171</v>
      </c>
      <c r="B128" s="2" t="n">
        <v>45741</v>
      </c>
      <c r="C128" s="3" t="s">
        <v>27</v>
      </c>
      <c r="D128" s="3" t="s">
        <v>28</v>
      </c>
      <c r="E128" s="3" t="s">
        <v>29</v>
      </c>
      <c r="F128" s="3" t="s">
        <v>30</v>
      </c>
      <c r="G128" s="3" t="s">
        <v>31</v>
      </c>
      <c r="H128" s="3" t="s">
        <v>30</v>
      </c>
      <c r="I128" s="3" t="s">
        <v>37</v>
      </c>
      <c r="J128" s="0" t="n">
        <v>0</v>
      </c>
      <c r="K128" s="0" t="n">
        <v>0</v>
      </c>
      <c r="L128" s="0" t="n">
        <v>0</v>
      </c>
      <c r="M128" s="0" t="n">
        <v>0</v>
      </c>
      <c r="N128" s="0" t="str">
        <f aca="false">IF(OR(NOT(OR(J128=0,J128=1)),NOT(OR(K128=0,K128=1)),NOT(OR(L128=0,L128=1)),NOT(OR(M128=0,M128=1)),NOT(OR(U128=0,U128=1))),"Yes","No")</f>
        <v>No</v>
      </c>
      <c r="O128" s="0" t="str">
        <f aca="false">IF(OR(AND(M128=1,L128=0),AND(L128=1,K128=0),AND(K128=1,J128=0)),"Yes","No")</f>
        <v>No</v>
      </c>
      <c r="P128" s="0" t="n">
        <v>0</v>
      </c>
      <c r="Q128" s="0" t="str">
        <f aca="false">IF(OR(AND(M128=0,P128&gt;0),AND(M128=1,P128&lt;=0)),"Yes","No")</f>
        <v>No</v>
      </c>
      <c r="R128" s="0" t="str">
        <f aca="false">IF(AND(M128=1,P128&gt;calc_helpers!$B$5),"Yes","No")</f>
        <v>No</v>
      </c>
      <c r="S128" s="0" t="n">
        <v>0</v>
      </c>
      <c r="T128" s="0" t="str">
        <f aca="false">IF(S128&gt;0,"Yes","No")</f>
        <v>No</v>
      </c>
      <c r="U128" s="0" t="n">
        <v>0</v>
      </c>
      <c r="W128" s="0" t="str">
        <f aca="false">IF(OR(AND(M128=1,ISBLANK(V128)),AND(M128=0,NOT(ISBLANK(V128)))),"Yes","No")</f>
        <v>No</v>
      </c>
      <c r="X128" s="0" t="n">
        <v>64.7</v>
      </c>
      <c r="Y128" s="3" t="s">
        <v>30</v>
      </c>
      <c r="Z128" s="0" t="str">
        <f aca="false">IF(M128=1,P128,"")</f>
        <v/>
      </c>
    </row>
    <row r="129" customFormat="false" ht="15" hidden="false" customHeight="false" outlineLevel="0" collapsed="false">
      <c r="A129" s="0" t="s">
        <v>172</v>
      </c>
      <c r="B129" s="2" t="n">
        <v>45776</v>
      </c>
      <c r="C129" s="3" t="s">
        <v>27</v>
      </c>
      <c r="D129" s="3" t="s">
        <v>43</v>
      </c>
      <c r="E129" s="3" t="s">
        <v>29</v>
      </c>
      <c r="F129" s="3" t="s">
        <v>30</v>
      </c>
      <c r="G129" s="3" t="s">
        <v>36</v>
      </c>
      <c r="H129" s="3" t="s">
        <v>30</v>
      </c>
      <c r="I129" s="3" t="s">
        <v>37</v>
      </c>
      <c r="J129" s="0" t="n">
        <v>1</v>
      </c>
      <c r="K129" s="0" t="n">
        <v>1</v>
      </c>
      <c r="L129" s="0" t="n">
        <v>1</v>
      </c>
      <c r="M129" s="0" t="n">
        <v>0</v>
      </c>
      <c r="N129" s="0" t="str">
        <f aca="false">IF(OR(NOT(OR(J129=0,J129=1)),NOT(OR(K129=0,K129=1)),NOT(OR(L129=0,L129=1)),NOT(OR(M129=0,M129=1)),NOT(OR(U129=0,U129=1))),"Yes","No")</f>
        <v>No</v>
      </c>
      <c r="O129" s="0" t="str">
        <f aca="false">IF(OR(AND(M129=1,L129=0),AND(L129=1,K129=0),AND(K129=1,J129=0)),"Yes","No")</f>
        <v>No</v>
      </c>
      <c r="P129" s="0" t="n">
        <v>0</v>
      </c>
      <c r="Q129" s="0" t="str">
        <f aca="false">IF(OR(AND(M129=0,P129&gt;0),AND(M129=1,P129&lt;=0)),"Yes","No")</f>
        <v>No</v>
      </c>
      <c r="R129" s="0" t="str">
        <f aca="false">IF(AND(M129=1,P129&gt;calc_helpers!$B$5),"Yes","No")</f>
        <v>No</v>
      </c>
      <c r="S129" s="0" t="n">
        <v>0</v>
      </c>
      <c r="T129" s="0" t="str">
        <f aca="false">IF(S129&gt;0,"Yes","No")</f>
        <v>No</v>
      </c>
      <c r="U129" s="0" t="n">
        <v>0</v>
      </c>
      <c r="W129" s="0" t="str">
        <f aca="false">IF(OR(AND(M129=1,ISBLANK(V129)),AND(M129=0,NOT(ISBLANK(V129)))),"Yes","No")</f>
        <v>No</v>
      </c>
      <c r="X129" s="0" t="n">
        <v>64</v>
      </c>
      <c r="Y129" s="3" t="s">
        <v>30</v>
      </c>
      <c r="Z129" s="0" t="str">
        <f aca="false">IF(M129=1,P129,"")</f>
        <v/>
      </c>
    </row>
    <row r="130" customFormat="false" ht="15" hidden="false" customHeight="false" outlineLevel="0" collapsed="false">
      <c r="A130" s="0" t="s">
        <v>173</v>
      </c>
      <c r="B130" s="2" t="n">
        <v>45794</v>
      </c>
      <c r="C130" s="3" t="s">
        <v>27</v>
      </c>
      <c r="D130" s="3" t="s">
        <v>39</v>
      </c>
      <c r="E130" s="3" t="s">
        <v>35</v>
      </c>
      <c r="F130" s="3" t="s">
        <v>30</v>
      </c>
      <c r="G130" s="3" t="s">
        <v>50</v>
      </c>
      <c r="H130" s="3" t="s">
        <v>30</v>
      </c>
      <c r="I130" s="3" t="s">
        <v>32</v>
      </c>
      <c r="J130" s="0" t="n">
        <v>1</v>
      </c>
      <c r="K130" s="0" t="n">
        <v>1</v>
      </c>
      <c r="L130" s="0" t="n">
        <v>1</v>
      </c>
      <c r="M130" s="0" t="n">
        <v>0</v>
      </c>
      <c r="N130" s="0" t="str">
        <f aca="false">IF(OR(NOT(OR(J130=0,J130=1)),NOT(OR(K130=0,K130=1)),NOT(OR(L130=0,L130=1)),NOT(OR(M130=0,M130=1)),NOT(OR(U130=0,U130=1))),"Yes","No")</f>
        <v>No</v>
      </c>
      <c r="O130" s="0" t="str">
        <f aca="false">IF(OR(AND(M130=1,L130=0),AND(L130=1,K130=0),AND(K130=1,J130=0)),"Yes","No")</f>
        <v>No</v>
      </c>
      <c r="P130" s="0" t="n">
        <v>0</v>
      </c>
      <c r="Q130" s="0" t="str">
        <f aca="false">IF(OR(AND(M130=0,P130&gt;0),AND(M130=1,P130&lt;=0)),"Yes","No")</f>
        <v>No</v>
      </c>
      <c r="R130" s="0" t="str">
        <f aca="false">IF(AND(M130=1,P130&gt;calc_helpers!$B$5),"Yes","No")</f>
        <v>No</v>
      </c>
      <c r="S130" s="0" t="n">
        <v>0</v>
      </c>
      <c r="T130" s="0" t="str">
        <f aca="false">IF(S130&gt;0,"Yes","No")</f>
        <v>No</v>
      </c>
      <c r="U130" s="0" t="n">
        <v>0</v>
      </c>
      <c r="W130" s="0" t="str">
        <f aca="false">IF(OR(AND(M130=1,ISBLANK(V130)),AND(M130=0,NOT(ISBLANK(V130)))),"Yes","No")</f>
        <v>No</v>
      </c>
      <c r="X130" s="0" t="n">
        <v>75.2</v>
      </c>
      <c r="Y130" s="3" t="s">
        <v>30</v>
      </c>
      <c r="Z130" s="0" t="str">
        <f aca="false">IF(M130=1,P130,"")</f>
        <v/>
      </c>
    </row>
    <row r="131" customFormat="false" ht="15" hidden="false" customHeight="false" outlineLevel="0" collapsed="false">
      <c r="A131" s="0" t="s">
        <v>174</v>
      </c>
      <c r="B131" s="2" t="n">
        <v>45659</v>
      </c>
      <c r="C131" s="3" t="s">
        <v>27</v>
      </c>
      <c r="D131" s="3" t="s">
        <v>28</v>
      </c>
      <c r="E131" s="3" t="s">
        <v>35</v>
      </c>
      <c r="F131" s="3" t="s">
        <v>30</v>
      </c>
      <c r="G131" s="3" t="s">
        <v>40</v>
      </c>
      <c r="H131" s="3" t="s">
        <v>30</v>
      </c>
      <c r="I131" s="3" t="s">
        <v>37</v>
      </c>
      <c r="J131" s="0" t="n">
        <v>1</v>
      </c>
      <c r="K131" s="0" t="n">
        <v>0</v>
      </c>
      <c r="L131" s="0" t="n">
        <v>0</v>
      </c>
      <c r="M131" s="0" t="n">
        <v>0</v>
      </c>
      <c r="N131" s="0" t="str">
        <f aca="false">IF(OR(NOT(OR(J131=0,J131=1)),NOT(OR(K131=0,K131=1)),NOT(OR(L131=0,L131=1)),NOT(OR(M131=0,M131=1)),NOT(OR(U131=0,U131=1))),"Yes","No")</f>
        <v>No</v>
      </c>
      <c r="O131" s="0" t="str">
        <f aca="false">IF(OR(AND(M131=1,L131=0),AND(L131=1,K131=0),AND(K131=1,J131=0)),"Yes","No")</f>
        <v>No</v>
      </c>
      <c r="P131" s="0" t="n">
        <v>0</v>
      </c>
      <c r="Q131" s="0" t="str">
        <f aca="false">IF(OR(AND(M131=0,P131&gt;0),AND(M131=1,P131&lt;=0)),"Yes","No")</f>
        <v>No</v>
      </c>
      <c r="R131" s="0" t="str">
        <f aca="false">IF(AND(M131=1,P131&gt;calc_helpers!$B$5),"Yes","No")</f>
        <v>No</v>
      </c>
      <c r="S131" s="0" t="n">
        <v>1</v>
      </c>
      <c r="T131" s="0" t="str">
        <f aca="false">IF(S131&gt;0,"Yes","No")</f>
        <v>Yes</v>
      </c>
      <c r="U131" s="0" t="n">
        <v>0</v>
      </c>
      <c r="W131" s="0" t="str">
        <f aca="false">IF(OR(AND(M131=1,ISBLANK(V131)),AND(M131=0,NOT(ISBLANK(V131)))),"Yes","No")</f>
        <v>No</v>
      </c>
      <c r="X131" s="0" t="n">
        <v>79</v>
      </c>
      <c r="Y131" s="3" t="s">
        <v>30</v>
      </c>
      <c r="Z131" s="0" t="str">
        <f aca="false">IF(M131=1,P131,"")</f>
        <v/>
      </c>
    </row>
    <row r="132" customFormat="false" ht="15" hidden="false" customHeight="false" outlineLevel="0" collapsed="false">
      <c r="A132" s="0" t="s">
        <v>175</v>
      </c>
      <c r="B132" s="2" t="n">
        <v>45691</v>
      </c>
      <c r="C132" s="3" t="s">
        <v>27</v>
      </c>
      <c r="D132" s="3" t="s">
        <v>43</v>
      </c>
      <c r="E132" s="3" t="s">
        <v>35</v>
      </c>
      <c r="F132" s="3" t="s">
        <v>30</v>
      </c>
      <c r="G132" s="3" t="s">
        <v>36</v>
      </c>
      <c r="H132" s="3" t="s">
        <v>30</v>
      </c>
      <c r="I132" s="3" t="s">
        <v>37</v>
      </c>
      <c r="J132" s="0" t="n">
        <v>0</v>
      </c>
      <c r="K132" s="0" t="n">
        <v>0</v>
      </c>
      <c r="L132" s="0" t="n">
        <v>0</v>
      </c>
      <c r="M132" s="0" t="n">
        <v>0</v>
      </c>
      <c r="N132" s="0" t="str">
        <f aca="false">IF(OR(NOT(OR(J132=0,J132=1)),NOT(OR(K132=0,K132=1)),NOT(OR(L132=0,L132=1)),NOT(OR(M132=0,M132=1)),NOT(OR(U132=0,U132=1))),"Yes","No")</f>
        <v>No</v>
      </c>
      <c r="O132" s="0" t="str">
        <f aca="false">IF(OR(AND(M132=1,L132=0),AND(L132=1,K132=0),AND(K132=1,J132=0)),"Yes","No")</f>
        <v>No</v>
      </c>
      <c r="P132" s="0" t="n">
        <v>0</v>
      </c>
      <c r="Q132" s="0" t="str">
        <f aca="false">IF(OR(AND(M132=0,P132&gt;0),AND(M132=1,P132&lt;=0)),"Yes","No")</f>
        <v>No</v>
      </c>
      <c r="R132" s="0" t="str">
        <f aca="false">IF(AND(M132=1,P132&gt;calc_helpers!$B$5),"Yes","No")</f>
        <v>No</v>
      </c>
      <c r="S132" s="0" t="n">
        <v>0</v>
      </c>
      <c r="T132" s="0" t="str">
        <f aca="false">IF(S132&gt;0,"Yes","No")</f>
        <v>No</v>
      </c>
      <c r="U132" s="0" t="n">
        <v>0</v>
      </c>
      <c r="W132" s="0" t="str">
        <f aca="false">IF(OR(AND(M132=1,ISBLANK(V132)),AND(M132=0,NOT(ISBLANK(V132)))),"Yes","No")</f>
        <v>No</v>
      </c>
      <c r="X132" s="0" t="n">
        <v>33</v>
      </c>
      <c r="Y132" s="3" t="s">
        <v>30</v>
      </c>
      <c r="Z132" s="0" t="str">
        <f aca="false">IF(M132=1,P132,"")</f>
        <v/>
      </c>
    </row>
    <row r="133" customFormat="false" ht="15" hidden="false" customHeight="false" outlineLevel="0" collapsed="false">
      <c r="A133" s="0" t="s">
        <v>176</v>
      </c>
      <c r="B133" s="2" t="n">
        <v>45720</v>
      </c>
      <c r="C133" s="3" t="s">
        <v>27</v>
      </c>
      <c r="D133" s="3" t="s">
        <v>39</v>
      </c>
      <c r="E133" s="3" t="s">
        <v>35</v>
      </c>
      <c r="F133" s="3" t="s">
        <v>30</v>
      </c>
      <c r="G133" s="3" t="s">
        <v>36</v>
      </c>
      <c r="H133" s="3" t="s">
        <v>30</v>
      </c>
      <c r="I133" s="3" t="s">
        <v>37</v>
      </c>
      <c r="J133" s="0" t="n">
        <v>1</v>
      </c>
      <c r="K133" s="0" t="n">
        <v>0</v>
      </c>
      <c r="L133" s="0" t="n">
        <v>0</v>
      </c>
      <c r="M133" s="0" t="n">
        <v>0</v>
      </c>
      <c r="N133" s="0" t="str">
        <f aca="false">IF(OR(NOT(OR(J133=0,J133=1)),NOT(OR(K133=0,K133=1)),NOT(OR(L133=0,L133=1)),NOT(OR(M133=0,M133=1)),NOT(OR(U133=0,U133=1))),"Yes","No")</f>
        <v>No</v>
      </c>
      <c r="O133" s="0" t="str">
        <f aca="false">IF(OR(AND(M133=1,L133=0),AND(L133=1,K133=0),AND(K133=1,J133=0)),"Yes","No")</f>
        <v>No</v>
      </c>
      <c r="P133" s="0" t="n">
        <v>0</v>
      </c>
      <c r="Q133" s="0" t="str">
        <f aca="false">IF(OR(AND(M133=0,P133&gt;0),AND(M133=1,P133&lt;=0)),"Yes","No")</f>
        <v>No</v>
      </c>
      <c r="R133" s="0" t="str">
        <f aca="false">IF(AND(M133=1,P133&gt;calc_helpers!$B$5),"Yes","No")</f>
        <v>No</v>
      </c>
      <c r="S133" s="0" t="n">
        <v>0</v>
      </c>
      <c r="T133" s="0" t="str">
        <f aca="false">IF(S133&gt;0,"Yes","No")</f>
        <v>No</v>
      </c>
      <c r="U133" s="0" t="n">
        <v>0</v>
      </c>
      <c r="W133" s="0" t="str">
        <f aca="false">IF(OR(AND(M133=1,ISBLANK(V133)),AND(M133=0,NOT(ISBLANK(V133)))),"Yes","No")</f>
        <v>No</v>
      </c>
      <c r="X133" s="0" t="n">
        <v>67.9</v>
      </c>
      <c r="Y133" s="3" t="s">
        <v>30</v>
      </c>
      <c r="Z133" s="0" t="str">
        <f aca="false">IF(M133=1,P133,"")</f>
        <v/>
      </c>
    </row>
    <row r="134" customFormat="false" ht="15" hidden="false" customHeight="false" outlineLevel="0" collapsed="false">
      <c r="A134" s="0" t="s">
        <v>177</v>
      </c>
      <c r="B134" s="2" t="n">
        <v>45683</v>
      </c>
      <c r="C134" s="3" t="s">
        <v>27</v>
      </c>
      <c r="D134" s="3" t="s">
        <v>43</v>
      </c>
      <c r="E134" s="3" t="s">
        <v>35</v>
      </c>
      <c r="F134" s="3" t="s">
        <v>30</v>
      </c>
      <c r="G134" s="3" t="s">
        <v>40</v>
      </c>
      <c r="H134" s="3" t="s">
        <v>30</v>
      </c>
      <c r="I134" s="3" t="s">
        <v>32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str">
        <f aca="false">IF(OR(NOT(OR(J134=0,J134=1)),NOT(OR(K134=0,K134=1)),NOT(OR(L134=0,L134=1)),NOT(OR(M134=0,M134=1)),NOT(OR(U134=0,U134=1))),"Yes","No")</f>
        <v>No</v>
      </c>
      <c r="O134" s="0" t="str">
        <f aca="false">IF(OR(AND(M134=1,L134=0),AND(L134=1,K134=0),AND(K134=1,J134=0)),"Yes","No")</f>
        <v>No</v>
      </c>
      <c r="P134" s="0" t="n">
        <v>0</v>
      </c>
      <c r="Q134" s="0" t="str">
        <f aca="false">IF(OR(AND(M134=0,P134&gt;0),AND(M134=1,P134&lt;=0)),"Yes","No")</f>
        <v>No</v>
      </c>
      <c r="R134" s="0" t="str">
        <f aca="false">IF(AND(M134=1,P134&gt;calc_helpers!$B$5),"Yes","No")</f>
        <v>No</v>
      </c>
      <c r="S134" s="0" t="n">
        <v>0</v>
      </c>
      <c r="T134" s="0" t="str">
        <f aca="false">IF(S134&gt;0,"Yes","No")</f>
        <v>No</v>
      </c>
      <c r="U134" s="0" t="n">
        <v>0</v>
      </c>
      <c r="W134" s="0" t="str">
        <f aca="false">IF(OR(AND(M134=1,ISBLANK(V134)),AND(M134=0,NOT(ISBLANK(V134)))),"Yes","No")</f>
        <v>No</v>
      </c>
      <c r="X134" s="0" t="n">
        <v>42.2</v>
      </c>
      <c r="Y134" s="3" t="s">
        <v>30</v>
      </c>
      <c r="Z134" s="0" t="str">
        <f aca="false">IF(M134=1,P134,"")</f>
        <v/>
      </c>
    </row>
    <row r="135" customFormat="false" ht="15" hidden="false" customHeight="false" outlineLevel="0" collapsed="false">
      <c r="A135" s="0" t="s">
        <v>178</v>
      </c>
      <c r="B135" s="2" t="n">
        <v>45789</v>
      </c>
      <c r="C135" s="3" t="s">
        <v>27</v>
      </c>
      <c r="D135" s="3" t="s">
        <v>34</v>
      </c>
      <c r="E135" s="3" t="s">
        <v>35</v>
      </c>
      <c r="F135" s="3" t="s">
        <v>30</v>
      </c>
      <c r="G135" s="3" t="s">
        <v>40</v>
      </c>
      <c r="H135" s="3" t="s">
        <v>30</v>
      </c>
      <c r="I135" s="3" t="s">
        <v>32</v>
      </c>
      <c r="J135" s="0" t="n">
        <v>1</v>
      </c>
      <c r="K135" s="0" t="n">
        <v>1</v>
      </c>
      <c r="L135" s="0" t="n">
        <v>1</v>
      </c>
      <c r="M135" s="0" t="n">
        <v>0</v>
      </c>
      <c r="N135" s="0" t="str">
        <f aca="false">IF(OR(NOT(OR(J135=0,J135=1)),NOT(OR(K135=0,K135=1)),NOT(OR(L135=0,L135=1)),NOT(OR(M135=0,M135=1)),NOT(OR(U135=0,U135=1))),"Yes","No")</f>
        <v>No</v>
      </c>
      <c r="O135" s="0" t="str">
        <f aca="false">IF(OR(AND(M135=1,L135=0),AND(L135=1,K135=0),AND(K135=1,J135=0)),"Yes","No")</f>
        <v>No</v>
      </c>
      <c r="P135" s="0" t="n">
        <v>0</v>
      </c>
      <c r="Q135" s="0" t="str">
        <f aca="false">IF(OR(AND(M135=0,P135&gt;0),AND(M135=1,P135&lt;=0)),"Yes","No")</f>
        <v>No</v>
      </c>
      <c r="R135" s="0" t="str">
        <f aca="false">IF(AND(M135=1,P135&gt;calc_helpers!$B$5),"Yes","No")</f>
        <v>No</v>
      </c>
      <c r="S135" s="0" t="n">
        <v>0</v>
      </c>
      <c r="T135" s="0" t="str">
        <f aca="false">IF(S135&gt;0,"Yes","No")</f>
        <v>No</v>
      </c>
      <c r="U135" s="0" t="n">
        <v>0</v>
      </c>
      <c r="W135" s="0" t="str">
        <f aca="false">IF(OR(AND(M135=1,ISBLANK(V135)),AND(M135=0,NOT(ISBLANK(V135)))),"Yes","No")</f>
        <v>No</v>
      </c>
      <c r="X135" s="0" t="n">
        <v>43.4</v>
      </c>
      <c r="Y135" s="3" t="s">
        <v>30</v>
      </c>
      <c r="Z135" s="0" t="str">
        <f aca="false">IF(M135=1,P135,"")</f>
        <v/>
      </c>
    </row>
    <row r="136" customFormat="false" ht="15" hidden="false" customHeight="false" outlineLevel="0" collapsed="false">
      <c r="A136" s="0" t="s">
        <v>179</v>
      </c>
      <c r="B136" s="2" t="n">
        <v>45722</v>
      </c>
      <c r="C136" s="3" t="s">
        <v>27</v>
      </c>
      <c r="D136" s="3" t="s">
        <v>28</v>
      </c>
      <c r="E136" s="3" t="s">
        <v>35</v>
      </c>
      <c r="F136" s="3" t="s">
        <v>30</v>
      </c>
      <c r="G136" s="3" t="s">
        <v>36</v>
      </c>
      <c r="H136" s="3" t="s">
        <v>30</v>
      </c>
      <c r="I136" s="3" t="s">
        <v>32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str">
        <f aca="false">IF(OR(NOT(OR(J136=0,J136=1)),NOT(OR(K136=0,K136=1)),NOT(OR(L136=0,L136=1)),NOT(OR(M136=0,M136=1)),NOT(OR(U136=0,U136=1))),"Yes","No")</f>
        <v>No</v>
      </c>
      <c r="O136" s="0" t="str">
        <f aca="false">IF(OR(AND(M136=1,L136=0),AND(L136=1,K136=0),AND(K136=1,J136=0)),"Yes","No")</f>
        <v>No</v>
      </c>
      <c r="P136" s="0" t="n">
        <v>0</v>
      </c>
      <c r="Q136" s="0" t="str">
        <f aca="false">IF(OR(AND(M136=0,P136&gt;0),AND(M136=1,P136&lt;=0)),"Yes","No")</f>
        <v>No</v>
      </c>
      <c r="R136" s="0" t="str">
        <f aca="false">IF(AND(M136=1,P136&gt;calc_helpers!$B$5),"Yes","No")</f>
        <v>No</v>
      </c>
      <c r="S136" s="0" t="n">
        <v>0</v>
      </c>
      <c r="T136" s="0" t="str">
        <f aca="false">IF(S136&gt;0,"Yes","No")</f>
        <v>No</v>
      </c>
      <c r="U136" s="0" t="n">
        <v>0</v>
      </c>
      <c r="W136" s="0" t="str">
        <f aca="false">IF(OR(AND(M136=1,ISBLANK(V136)),AND(M136=0,NOT(ISBLANK(V136)))),"Yes","No")</f>
        <v>No</v>
      </c>
      <c r="X136" s="0" t="n">
        <v>54.4</v>
      </c>
      <c r="Y136" s="3" t="s">
        <v>30</v>
      </c>
      <c r="Z136" s="0" t="str">
        <f aca="false">IF(M136=1,P136,"")</f>
        <v/>
      </c>
    </row>
    <row r="137" customFormat="false" ht="15" hidden="false" customHeight="false" outlineLevel="0" collapsed="false">
      <c r="A137" s="0" t="s">
        <v>180</v>
      </c>
      <c r="B137" s="2" t="n">
        <v>45726</v>
      </c>
      <c r="C137" s="3" t="s">
        <v>27</v>
      </c>
      <c r="D137" s="3" t="s">
        <v>43</v>
      </c>
      <c r="E137" s="3" t="s">
        <v>29</v>
      </c>
      <c r="F137" s="3" t="s">
        <v>30</v>
      </c>
      <c r="G137" s="3" t="s">
        <v>31</v>
      </c>
      <c r="H137" s="3" t="s">
        <v>30</v>
      </c>
      <c r="I137" s="3" t="s">
        <v>41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str">
        <f aca="false">IF(OR(NOT(OR(J137=0,J137=1)),NOT(OR(K137=0,K137=1)),NOT(OR(L137=0,L137=1)),NOT(OR(M137=0,M137=1)),NOT(OR(U137=0,U137=1))),"Yes","No")</f>
        <v>No</v>
      </c>
      <c r="O137" s="0" t="str">
        <f aca="false">IF(OR(AND(M137=1,L137=0),AND(L137=1,K137=0),AND(K137=1,J137=0)),"Yes","No")</f>
        <v>No</v>
      </c>
      <c r="P137" s="0" t="n">
        <v>0</v>
      </c>
      <c r="Q137" s="0" t="str">
        <f aca="false">IF(OR(AND(M137=0,P137&gt;0),AND(M137=1,P137&lt;=0)),"Yes","No")</f>
        <v>No</v>
      </c>
      <c r="R137" s="0" t="str">
        <f aca="false">IF(AND(M137=1,P137&gt;calc_helpers!$B$5),"Yes","No")</f>
        <v>No</v>
      </c>
      <c r="S137" s="0" t="n">
        <v>0</v>
      </c>
      <c r="T137" s="0" t="str">
        <f aca="false">IF(S137&gt;0,"Yes","No")</f>
        <v>No</v>
      </c>
      <c r="U137" s="0" t="n">
        <v>0</v>
      </c>
      <c r="W137" s="0" t="str">
        <f aca="false">IF(OR(AND(M137=1,ISBLANK(V137)),AND(M137=0,NOT(ISBLANK(V137)))),"Yes","No")</f>
        <v>No</v>
      </c>
      <c r="X137" s="0" t="n">
        <v>45.7</v>
      </c>
      <c r="Y137" s="3" t="s">
        <v>30</v>
      </c>
      <c r="Z137" s="0" t="str">
        <f aca="false">IF(M137=1,P137,"")</f>
        <v/>
      </c>
    </row>
    <row r="138" customFormat="false" ht="15" hidden="false" customHeight="false" outlineLevel="0" collapsed="false">
      <c r="A138" s="0" t="s">
        <v>181</v>
      </c>
      <c r="B138" s="2" t="n">
        <v>45783</v>
      </c>
      <c r="C138" s="3" t="s">
        <v>27</v>
      </c>
      <c r="D138" s="3" t="s">
        <v>28</v>
      </c>
      <c r="E138" s="3" t="s">
        <v>35</v>
      </c>
      <c r="F138" s="3" t="s">
        <v>30</v>
      </c>
      <c r="G138" s="3" t="s">
        <v>40</v>
      </c>
      <c r="H138" s="3" t="s">
        <v>30</v>
      </c>
      <c r="I138" s="3" t="s">
        <v>37</v>
      </c>
      <c r="J138" s="0" t="n">
        <v>0</v>
      </c>
      <c r="K138" s="0" t="n">
        <v>0</v>
      </c>
      <c r="L138" s="0" t="n">
        <v>0</v>
      </c>
      <c r="M138" s="0" t="n">
        <v>0</v>
      </c>
      <c r="N138" s="0" t="str">
        <f aca="false">IF(OR(NOT(OR(J138=0,J138=1)),NOT(OR(K138=0,K138=1)),NOT(OR(L138=0,L138=1)),NOT(OR(M138=0,M138=1)),NOT(OR(U138=0,U138=1))),"Yes","No")</f>
        <v>No</v>
      </c>
      <c r="O138" s="0" t="str">
        <f aca="false">IF(OR(AND(M138=1,L138=0),AND(L138=1,K138=0),AND(K138=1,J138=0)),"Yes","No")</f>
        <v>No</v>
      </c>
      <c r="P138" s="0" t="n">
        <v>0</v>
      </c>
      <c r="Q138" s="0" t="str">
        <f aca="false">IF(OR(AND(M138=0,P138&gt;0),AND(M138=1,P138&lt;=0)),"Yes","No")</f>
        <v>No</v>
      </c>
      <c r="R138" s="0" t="str">
        <f aca="false">IF(AND(M138=1,P138&gt;calc_helpers!$B$5),"Yes","No")</f>
        <v>No</v>
      </c>
      <c r="S138" s="0" t="n">
        <v>3</v>
      </c>
      <c r="T138" s="0" t="str">
        <f aca="false">IF(S138&gt;0,"Yes","No")</f>
        <v>Yes</v>
      </c>
      <c r="U138" s="0" t="n">
        <v>0</v>
      </c>
      <c r="W138" s="0" t="str">
        <f aca="false">IF(OR(AND(M138=1,ISBLANK(V138)),AND(M138=0,NOT(ISBLANK(V138)))),"Yes","No")</f>
        <v>No</v>
      </c>
      <c r="X138" s="0" t="n">
        <v>32</v>
      </c>
      <c r="Y138" s="3" t="s">
        <v>30</v>
      </c>
      <c r="Z138" s="0" t="str">
        <f aca="false">IF(M138=1,P138,"")</f>
        <v/>
      </c>
    </row>
    <row r="139" customFormat="false" ht="15" hidden="false" customHeight="false" outlineLevel="0" collapsed="false">
      <c r="A139" s="0" t="s">
        <v>182</v>
      </c>
      <c r="B139" s="2" t="n">
        <v>45711</v>
      </c>
      <c r="C139" s="3" t="s">
        <v>27</v>
      </c>
      <c r="D139" s="3" t="s">
        <v>43</v>
      </c>
      <c r="E139" s="3" t="s">
        <v>29</v>
      </c>
      <c r="F139" s="3" t="s">
        <v>30</v>
      </c>
      <c r="G139" s="3" t="s">
        <v>40</v>
      </c>
      <c r="H139" s="3" t="s">
        <v>30</v>
      </c>
      <c r="I139" s="3" t="s">
        <v>37</v>
      </c>
      <c r="J139" s="0" t="n">
        <v>1</v>
      </c>
      <c r="K139" s="0" t="n">
        <v>0</v>
      </c>
      <c r="L139" s="0" t="n">
        <v>0</v>
      </c>
      <c r="M139" s="0" t="n">
        <v>0</v>
      </c>
      <c r="N139" s="0" t="str">
        <f aca="false">IF(OR(NOT(OR(J139=0,J139=1)),NOT(OR(K139=0,K139=1)),NOT(OR(L139=0,L139=1)),NOT(OR(M139=0,M139=1)),NOT(OR(U139=0,U139=1))),"Yes","No")</f>
        <v>No</v>
      </c>
      <c r="O139" s="0" t="str">
        <f aca="false">IF(OR(AND(M139=1,L139=0),AND(L139=1,K139=0),AND(K139=1,J139=0)),"Yes","No")</f>
        <v>No</v>
      </c>
      <c r="P139" s="0" t="n">
        <v>0</v>
      </c>
      <c r="Q139" s="0" t="str">
        <f aca="false">IF(OR(AND(M139=0,P139&gt;0),AND(M139=1,P139&lt;=0)),"Yes","No")</f>
        <v>No</v>
      </c>
      <c r="R139" s="0" t="str">
        <f aca="false">IF(AND(M139=1,P139&gt;calc_helpers!$B$5),"Yes","No")</f>
        <v>No</v>
      </c>
      <c r="S139" s="0" t="n">
        <v>0</v>
      </c>
      <c r="T139" s="0" t="str">
        <f aca="false">IF(S139&gt;0,"Yes","No")</f>
        <v>No</v>
      </c>
      <c r="U139" s="0" t="n">
        <v>0</v>
      </c>
      <c r="W139" s="0" t="str">
        <f aca="false">IF(OR(AND(M139=1,ISBLANK(V139)),AND(M139=0,NOT(ISBLANK(V139)))),"Yes","No")</f>
        <v>No</v>
      </c>
      <c r="X139" s="0" t="n">
        <v>70.9</v>
      </c>
      <c r="Y139" s="3" t="s">
        <v>30</v>
      </c>
      <c r="Z139" s="0" t="str">
        <f aca="false">IF(M139=1,P139,"")</f>
        <v/>
      </c>
    </row>
    <row r="140" customFormat="false" ht="15" hidden="false" customHeight="false" outlineLevel="0" collapsed="false">
      <c r="A140" s="0" t="s">
        <v>183</v>
      </c>
      <c r="B140" s="2" t="n">
        <v>45686</v>
      </c>
      <c r="C140" s="3" t="s">
        <v>27</v>
      </c>
      <c r="D140" s="3" t="s">
        <v>34</v>
      </c>
      <c r="E140" s="3" t="s">
        <v>35</v>
      </c>
      <c r="F140" s="3" t="s">
        <v>30</v>
      </c>
      <c r="G140" s="3" t="s">
        <v>52</v>
      </c>
      <c r="H140" s="3" t="s">
        <v>30</v>
      </c>
      <c r="I140" s="3" t="s">
        <v>32</v>
      </c>
      <c r="J140" s="0" t="n">
        <v>1</v>
      </c>
      <c r="K140" s="0" t="n">
        <v>1</v>
      </c>
      <c r="L140" s="0" t="n">
        <v>1</v>
      </c>
      <c r="M140" s="0" t="n">
        <v>0</v>
      </c>
      <c r="N140" s="0" t="str">
        <f aca="false">IF(OR(NOT(OR(J140=0,J140=1)),NOT(OR(K140=0,K140=1)),NOT(OR(L140=0,L140=1)),NOT(OR(M140=0,M140=1)),NOT(OR(U140=0,U140=1))),"Yes","No")</f>
        <v>No</v>
      </c>
      <c r="O140" s="0" t="str">
        <f aca="false">IF(OR(AND(M140=1,L140=0),AND(L140=1,K140=0),AND(K140=1,J140=0)),"Yes","No")</f>
        <v>No</v>
      </c>
      <c r="P140" s="0" t="n">
        <v>0</v>
      </c>
      <c r="Q140" s="0" t="str">
        <f aca="false">IF(OR(AND(M140=0,P140&gt;0),AND(M140=1,P140&lt;=0)),"Yes","No")</f>
        <v>No</v>
      </c>
      <c r="R140" s="0" t="str">
        <f aca="false">IF(AND(M140=1,P140&gt;calc_helpers!$B$5),"Yes","No")</f>
        <v>No</v>
      </c>
      <c r="S140" s="0" t="n">
        <v>0</v>
      </c>
      <c r="T140" s="0" t="str">
        <f aca="false">IF(S140&gt;0,"Yes","No")</f>
        <v>No</v>
      </c>
      <c r="U140" s="0" t="n">
        <v>0</v>
      </c>
      <c r="W140" s="0" t="str">
        <f aca="false">IF(OR(AND(M140=1,ISBLANK(V140)),AND(M140=0,NOT(ISBLANK(V140)))),"Yes","No")</f>
        <v>No</v>
      </c>
      <c r="X140" s="0" t="n">
        <v>59.1</v>
      </c>
      <c r="Y140" s="3" t="s">
        <v>30</v>
      </c>
      <c r="Z140" s="0" t="str">
        <f aca="false">IF(M140=1,P140,"")</f>
        <v/>
      </c>
    </row>
    <row r="141" customFormat="false" ht="15" hidden="false" customHeight="false" outlineLevel="0" collapsed="false">
      <c r="A141" s="0" t="s">
        <v>184</v>
      </c>
      <c r="B141" s="2" t="n">
        <v>45688</v>
      </c>
      <c r="C141" s="3" t="s">
        <v>27</v>
      </c>
      <c r="D141" s="3" t="s">
        <v>28</v>
      </c>
      <c r="E141" s="3" t="s">
        <v>35</v>
      </c>
      <c r="F141" s="3" t="s">
        <v>30</v>
      </c>
      <c r="G141" s="3" t="s">
        <v>36</v>
      </c>
      <c r="H141" s="3" t="s">
        <v>30</v>
      </c>
      <c r="I141" s="3" t="s">
        <v>32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str">
        <f aca="false">IF(OR(NOT(OR(J141=0,J141=1)),NOT(OR(K141=0,K141=1)),NOT(OR(L141=0,L141=1)),NOT(OR(M141=0,M141=1)),NOT(OR(U141=0,U141=1))),"Yes","No")</f>
        <v>No</v>
      </c>
      <c r="O141" s="0" t="str">
        <f aca="false">IF(OR(AND(M141=1,L141=0),AND(L141=1,K141=0),AND(K141=1,J141=0)),"Yes","No")</f>
        <v>No</v>
      </c>
      <c r="P141" s="0" t="n">
        <v>0</v>
      </c>
      <c r="Q141" s="0" t="str">
        <f aca="false">IF(OR(AND(M141=0,P141&gt;0),AND(M141=1,P141&lt;=0)),"Yes","No")</f>
        <v>No</v>
      </c>
      <c r="R141" s="0" t="str">
        <f aca="false">IF(AND(M141=1,P141&gt;calc_helpers!$B$5),"Yes","No")</f>
        <v>No</v>
      </c>
      <c r="S141" s="0" t="n">
        <v>0</v>
      </c>
      <c r="T141" s="0" t="str">
        <f aca="false">IF(S141&gt;0,"Yes","No")</f>
        <v>No</v>
      </c>
      <c r="U141" s="0" t="n">
        <v>0</v>
      </c>
      <c r="W141" s="0" t="str">
        <f aca="false">IF(OR(AND(M141=1,ISBLANK(V141)),AND(M141=0,NOT(ISBLANK(V141)))),"Yes","No")</f>
        <v>No</v>
      </c>
      <c r="X141" s="0" t="n">
        <v>62.4</v>
      </c>
      <c r="Y141" s="3" t="s">
        <v>30</v>
      </c>
      <c r="Z141" s="0" t="str">
        <f aca="false">IF(M141=1,P141,"")</f>
        <v/>
      </c>
    </row>
    <row r="142" customFormat="false" ht="15" hidden="false" customHeight="false" outlineLevel="0" collapsed="false">
      <c r="A142" s="0" t="s">
        <v>185</v>
      </c>
      <c r="B142" s="2" t="n">
        <v>45676</v>
      </c>
      <c r="C142" s="3" t="s">
        <v>27</v>
      </c>
      <c r="D142" s="3" t="s">
        <v>43</v>
      </c>
      <c r="E142" s="3" t="s">
        <v>35</v>
      </c>
      <c r="F142" s="3" t="s">
        <v>30</v>
      </c>
      <c r="G142" s="3" t="s">
        <v>36</v>
      </c>
      <c r="H142" s="3" t="s">
        <v>30</v>
      </c>
      <c r="I142" s="3" t="s">
        <v>37</v>
      </c>
      <c r="J142" s="0" t="n">
        <v>0</v>
      </c>
      <c r="K142" s="0" t="n">
        <v>0</v>
      </c>
      <c r="L142" s="0" t="n">
        <v>0</v>
      </c>
      <c r="M142" s="0" t="n">
        <v>0</v>
      </c>
      <c r="N142" s="0" t="str">
        <f aca="false">IF(OR(NOT(OR(J142=0,J142=1)),NOT(OR(K142=0,K142=1)),NOT(OR(L142=0,L142=1)),NOT(OR(M142=0,M142=1)),NOT(OR(U142=0,U142=1))),"Yes","No")</f>
        <v>No</v>
      </c>
      <c r="O142" s="0" t="str">
        <f aca="false">IF(OR(AND(M142=1,L142=0),AND(L142=1,K142=0),AND(K142=1,J142=0)),"Yes","No")</f>
        <v>No</v>
      </c>
      <c r="P142" s="0" t="n">
        <v>0</v>
      </c>
      <c r="Q142" s="0" t="str">
        <f aca="false">IF(OR(AND(M142=0,P142&gt;0),AND(M142=1,P142&lt;=0)),"Yes","No")</f>
        <v>No</v>
      </c>
      <c r="R142" s="0" t="str">
        <f aca="false">IF(AND(M142=1,P142&gt;calc_helpers!$B$5),"Yes","No")</f>
        <v>No</v>
      </c>
      <c r="S142" s="0" t="n">
        <v>0</v>
      </c>
      <c r="T142" s="0" t="str">
        <f aca="false">IF(S142&gt;0,"Yes","No")</f>
        <v>No</v>
      </c>
      <c r="U142" s="0" t="n">
        <v>0</v>
      </c>
      <c r="W142" s="0" t="str">
        <f aca="false">IF(OR(AND(M142=1,ISBLANK(V142)),AND(M142=0,NOT(ISBLANK(V142)))),"Yes","No")</f>
        <v>No</v>
      </c>
      <c r="X142" s="0" t="n">
        <v>49.6</v>
      </c>
      <c r="Y142" s="3" t="s">
        <v>30</v>
      </c>
      <c r="Z142" s="0" t="str">
        <f aca="false">IF(M142=1,P142,"")</f>
        <v/>
      </c>
    </row>
    <row r="143" customFormat="false" ht="15" hidden="false" customHeight="false" outlineLevel="0" collapsed="false">
      <c r="A143" s="0" t="s">
        <v>186</v>
      </c>
      <c r="B143" s="2" t="n">
        <v>45750</v>
      </c>
      <c r="C143" s="3" t="s">
        <v>27</v>
      </c>
      <c r="D143" s="3" t="s">
        <v>34</v>
      </c>
      <c r="E143" s="3" t="s">
        <v>29</v>
      </c>
      <c r="F143" s="3" t="s">
        <v>30</v>
      </c>
      <c r="G143" s="3" t="s">
        <v>52</v>
      </c>
      <c r="H143" s="3" t="s">
        <v>30</v>
      </c>
      <c r="I143" s="3" t="s">
        <v>37</v>
      </c>
      <c r="J143" s="0" t="n">
        <v>1</v>
      </c>
      <c r="K143" s="0" t="n">
        <v>1</v>
      </c>
      <c r="L143" s="0" t="n">
        <v>1</v>
      </c>
      <c r="M143" s="0" t="n">
        <v>1</v>
      </c>
      <c r="N143" s="0" t="str">
        <f aca="false">IF(OR(NOT(OR(J143=0,J143=1)),NOT(OR(K143=0,K143=1)),NOT(OR(L143=0,L143=1)),NOT(OR(M143=0,M143=1)),NOT(OR(U143=0,U143=1))),"Yes","No")</f>
        <v>No</v>
      </c>
      <c r="O143" s="0" t="str">
        <f aca="false">IF(OR(AND(M143=1,L143=0),AND(L143=1,K143=0),AND(K143=1,J143=0)),"Yes","No")</f>
        <v>No</v>
      </c>
      <c r="P143" s="0" t="n">
        <v>404.4</v>
      </c>
      <c r="Q143" s="0" t="str">
        <f aca="false">IF(OR(AND(M143=0,P143&gt;0),AND(M143=1,P143&lt;=0)),"Yes","No")</f>
        <v>No</v>
      </c>
      <c r="R143" s="0" t="str">
        <f aca="false">IF(AND(M143=1,P143&gt;calc_helpers!$B$5),"Yes","No")</f>
        <v>No</v>
      </c>
      <c r="S143" s="0" t="n">
        <v>0</v>
      </c>
      <c r="T143" s="0" t="str">
        <f aca="false">IF(S143&gt;0,"Yes","No")</f>
        <v>No</v>
      </c>
      <c r="U143" s="0" t="n">
        <v>0</v>
      </c>
      <c r="V143" s="0" t="n">
        <v>9</v>
      </c>
      <c r="W143" s="0" t="str">
        <f aca="false">IF(OR(AND(M143=1,ISBLANK(V143)),AND(M143=0,NOT(ISBLANK(V143)))),"Yes","No")</f>
        <v>No</v>
      </c>
      <c r="X143" s="0" t="n">
        <v>80.6</v>
      </c>
      <c r="Y143" s="3" t="s">
        <v>30</v>
      </c>
      <c r="Z143" s="3" t="n">
        <f aca="false">IF(M143=1,P143,"")</f>
        <v>404.4</v>
      </c>
    </row>
    <row r="144" customFormat="false" ht="15" hidden="false" customHeight="false" outlineLevel="0" collapsed="false">
      <c r="A144" s="0" t="s">
        <v>187</v>
      </c>
      <c r="B144" s="2" t="n">
        <v>45754</v>
      </c>
      <c r="C144" s="3" t="s">
        <v>27</v>
      </c>
      <c r="D144" s="3" t="s">
        <v>28</v>
      </c>
      <c r="E144" s="3" t="s">
        <v>35</v>
      </c>
      <c r="F144" s="3" t="s">
        <v>30</v>
      </c>
      <c r="G144" s="3" t="s">
        <v>40</v>
      </c>
      <c r="H144" s="3" t="s">
        <v>30</v>
      </c>
      <c r="I144" s="3" t="s">
        <v>37</v>
      </c>
      <c r="J144" s="0" t="n">
        <v>1</v>
      </c>
      <c r="K144" s="0" t="n">
        <v>0</v>
      </c>
      <c r="L144" s="0" t="n">
        <v>0</v>
      </c>
      <c r="M144" s="0" t="n">
        <v>0</v>
      </c>
      <c r="N144" s="0" t="str">
        <f aca="false">IF(OR(NOT(OR(J144=0,J144=1)),NOT(OR(K144=0,K144=1)),NOT(OR(L144=0,L144=1)),NOT(OR(M144=0,M144=1)),NOT(OR(U144=0,U144=1))),"Yes","No")</f>
        <v>No</v>
      </c>
      <c r="O144" s="0" t="str">
        <f aca="false">IF(OR(AND(M144=1,L144=0),AND(L144=1,K144=0),AND(K144=1,J144=0)),"Yes","No")</f>
        <v>No</v>
      </c>
      <c r="P144" s="0" t="n">
        <v>0</v>
      </c>
      <c r="Q144" s="0" t="str">
        <f aca="false">IF(OR(AND(M144=0,P144&gt;0),AND(M144=1,P144&lt;=0)),"Yes","No")</f>
        <v>No</v>
      </c>
      <c r="R144" s="0" t="str">
        <f aca="false">IF(AND(M144=1,P144&gt;calc_helpers!$B$5),"Yes","No")</f>
        <v>No</v>
      </c>
      <c r="S144" s="0" t="n">
        <v>0</v>
      </c>
      <c r="T144" s="0" t="str">
        <f aca="false">IF(S144&gt;0,"Yes","No")</f>
        <v>No</v>
      </c>
      <c r="U144" s="0" t="n">
        <v>0</v>
      </c>
      <c r="W144" s="0" t="str">
        <f aca="false">IF(OR(AND(M144=1,ISBLANK(V144)),AND(M144=0,NOT(ISBLANK(V144)))),"Yes","No")</f>
        <v>No</v>
      </c>
      <c r="X144" s="0" t="n">
        <v>47.9</v>
      </c>
      <c r="Y144" s="3" t="s">
        <v>30</v>
      </c>
      <c r="Z144" s="0" t="str">
        <f aca="false">IF(M144=1,P144,"")</f>
        <v/>
      </c>
    </row>
    <row r="145" customFormat="false" ht="15" hidden="false" customHeight="false" outlineLevel="0" collapsed="false">
      <c r="A145" s="0" t="s">
        <v>188</v>
      </c>
      <c r="B145" s="2" t="n">
        <v>45663</v>
      </c>
      <c r="C145" s="3" t="s">
        <v>27</v>
      </c>
      <c r="D145" s="3" t="s">
        <v>39</v>
      </c>
      <c r="E145" s="3" t="s">
        <v>35</v>
      </c>
      <c r="F145" s="3" t="s">
        <v>30</v>
      </c>
      <c r="G145" s="3" t="s">
        <v>40</v>
      </c>
      <c r="H145" s="3" t="s">
        <v>30</v>
      </c>
      <c r="I145" s="3" t="s">
        <v>32</v>
      </c>
      <c r="J145" s="0" t="n">
        <v>1</v>
      </c>
      <c r="K145" s="0" t="n">
        <v>1</v>
      </c>
      <c r="L145" s="0" t="n">
        <v>0</v>
      </c>
      <c r="M145" s="0" t="n">
        <v>0</v>
      </c>
      <c r="N145" s="0" t="str">
        <f aca="false">IF(OR(NOT(OR(J145=0,J145=1)),NOT(OR(K145=0,K145=1)),NOT(OR(L145=0,L145=1)),NOT(OR(M145=0,M145=1)),NOT(OR(U145=0,U145=1))),"Yes","No")</f>
        <v>No</v>
      </c>
      <c r="O145" s="0" t="str">
        <f aca="false">IF(OR(AND(M145=1,L145=0),AND(L145=1,K145=0),AND(K145=1,J145=0)),"Yes","No")</f>
        <v>No</v>
      </c>
      <c r="P145" s="0" t="n">
        <v>0</v>
      </c>
      <c r="Q145" s="0" t="str">
        <f aca="false">IF(OR(AND(M145=0,P145&gt;0),AND(M145=1,P145&lt;=0)),"Yes","No")</f>
        <v>No</v>
      </c>
      <c r="R145" s="0" t="str">
        <f aca="false">IF(AND(M145=1,P145&gt;calc_helpers!$B$5),"Yes","No")</f>
        <v>No</v>
      </c>
      <c r="S145" s="0" t="n">
        <v>0</v>
      </c>
      <c r="T145" s="0" t="str">
        <f aca="false">IF(S145&gt;0,"Yes","No")</f>
        <v>No</v>
      </c>
      <c r="U145" s="0" t="n">
        <v>0</v>
      </c>
      <c r="W145" s="0" t="str">
        <f aca="false">IF(OR(AND(M145=1,ISBLANK(V145)),AND(M145=0,NOT(ISBLANK(V145)))),"Yes","No")</f>
        <v>No</v>
      </c>
      <c r="X145" s="0" t="n">
        <v>54.8</v>
      </c>
      <c r="Y145" s="3" t="s">
        <v>30</v>
      </c>
      <c r="Z145" s="0" t="str">
        <f aca="false">IF(M145=1,P145,"")</f>
        <v/>
      </c>
    </row>
    <row r="146" customFormat="false" ht="15" hidden="false" customHeight="false" outlineLevel="0" collapsed="false">
      <c r="A146" s="0" t="s">
        <v>189</v>
      </c>
      <c r="B146" s="2" t="n">
        <v>45758</v>
      </c>
      <c r="C146" s="3" t="s">
        <v>27</v>
      </c>
      <c r="D146" s="3" t="s">
        <v>39</v>
      </c>
      <c r="E146" s="3" t="s">
        <v>35</v>
      </c>
      <c r="F146" s="3" t="s">
        <v>30</v>
      </c>
      <c r="G146" s="3" t="s">
        <v>36</v>
      </c>
      <c r="H146" s="3" t="s">
        <v>30</v>
      </c>
      <c r="I146" s="3" t="s">
        <v>37</v>
      </c>
      <c r="J146" s="0" t="n">
        <v>1</v>
      </c>
      <c r="K146" s="0" t="n">
        <v>0</v>
      </c>
      <c r="L146" s="0" t="n">
        <v>0</v>
      </c>
      <c r="M146" s="0" t="n">
        <v>0</v>
      </c>
      <c r="N146" s="0" t="str">
        <f aca="false">IF(OR(NOT(OR(J146=0,J146=1)),NOT(OR(K146=0,K146=1)),NOT(OR(L146=0,L146=1)),NOT(OR(M146=0,M146=1)),NOT(OR(U146=0,U146=1))),"Yes","No")</f>
        <v>No</v>
      </c>
      <c r="O146" s="0" t="str">
        <f aca="false">IF(OR(AND(M146=1,L146=0),AND(L146=1,K146=0),AND(K146=1,J146=0)),"Yes","No")</f>
        <v>No</v>
      </c>
      <c r="P146" s="0" t="n">
        <v>0</v>
      </c>
      <c r="Q146" s="0" t="str">
        <f aca="false">IF(OR(AND(M146=0,P146&gt;0),AND(M146=1,P146&lt;=0)),"Yes","No")</f>
        <v>No</v>
      </c>
      <c r="R146" s="0" t="str">
        <f aca="false">IF(AND(M146=1,P146&gt;calc_helpers!$B$5),"Yes","No")</f>
        <v>No</v>
      </c>
      <c r="S146" s="0" t="n">
        <v>1</v>
      </c>
      <c r="T146" s="0" t="str">
        <f aca="false">IF(S146&gt;0,"Yes","No")</f>
        <v>Yes</v>
      </c>
      <c r="U146" s="0" t="n">
        <v>0</v>
      </c>
      <c r="W146" s="0" t="str">
        <f aca="false">IF(OR(AND(M146=1,ISBLANK(V146)),AND(M146=0,NOT(ISBLANK(V146)))),"Yes","No")</f>
        <v>No</v>
      </c>
      <c r="X146" s="0" t="n">
        <v>53.9</v>
      </c>
      <c r="Y146" s="3" t="s">
        <v>30</v>
      </c>
      <c r="Z146" s="0" t="str">
        <f aca="false">IF(M146=1,P146,"")</f>
        <v/>
      </c>
    </row>
    <row r="147" customFormat="false" ht="15" hidden="false" customHeight="false" outlineLevel="0" collapsed="false">
      <c r="A147" s="0" t="s">
        <v>190</v>
      </c>
      <c r="B147" s="2" t="n">
        <v>45770</v>
      </c>
      <c r="C147" s="3" t="s">
        <v>27</v>
      </c>
      <c r="D147" s="3" t="s">
        <v>39</v>
      </c>
      <c r="E147" s="3" t="s">
        <v>35</v>
      </c>
      <c r="F147" s="3" t="s">
        <v>30</v>
      </c>
      <c r="G147" s="3" t="s">
        <v>40</v>
      </c>
      <c r="H147" s="3" t="s">
        <v>30</v>
      </c>
      <c r="I147" s="3" t="s">
        <v>37</v>
      </c>
      <c r="J147" s="0" t="n">
        <v>1</v>
      </c>
      <c r="K147" s="0" t="n">
        <v>0</v>
      </c>
      <c r="L147" s="0" t="n">
        <v>0</v>
      </c>
      <c r="M147" s="0" t="n">
        <v>0</v>
      </c>
      <c r="N147" s="0" t="str">
        <f aca="false">IF(OR(NOT(OR(J147=0,J147=1)),NOT(OR(K147=0,K147=1)),NOT(OR(L147=0,L147=1)),NOT(OR(M147=0,M147=1)),NOT(OR(U147=0,U147=1))),"Yes","No")</f>
        <v>No</v>
      </c>
      <c r="O147" s="0" t="str">
        <f aca="false">IF(OR(AND(M147=1,L147=0),AND(L147=1,K147=0),AND(K147=1,J147=0)),"Yes","No")</f>
        <v>No</v>
      </c>
      <c r="P147" s="0" t="n">
        <v>0</v>
      </c>
      <c r="Q147" s="0" t="str">
        <f aca="false">IF(OR(AND(M147=0,P147&gt;0),AND(M147=1,P147&lt;=0)),"Yes","No")</f>
        <v>No</v>
      </c>
      <c r="R147" s="0" t="str">
        <f aca="false">IF(AND(M147=1,P147&gt;calc_helpers!$B$5),"Yes","No")</f>
        <v>No</v>
      </c>
      <c r="S147" s="0" t="n">
        <v>0</v>
      </c>
      <c r="T147" s="0" t="str">
        <f aca="false">IF(S147&gt;0,"Yes","No")</f>
        <v>No</v>
      </c>
      <c r="U147" s="0" t="n">
        <v>0</v>
      </c>
      <c r="W147" s="0" t="str">
        <f aca="false">IF(OR(AND(M147=1,ISBLANK(V147)),AND(M147=0,NOT(ISBLANK(V147)))),"Yes","No")</f>
        <v>No</v>
      </c>
      <c r="X147" s="0" t="n">
        <v>41.3</v>
      </c>
      <c r="Y147" s="3" t="s">
        <v>30</v>
      </c>
      <c r="Z147" s="0" t="str">
        <f aca="false">IF(M147=1,P147,"")</f>
        <v/>
      </c>
    </row>
    <row r="148" customFormat="false" ht="15" hidden="false" customHeight="false" outlineLevel="0" collapsed="false">
      <c r="A148" s="0" t="s">
        <v>191</v>
      </c>
      <c r="B148" s="2" t="n">
        <v>45741</v>
      </c>
      <c r="C148" s="3" t="s">
        <v>27</v>
      </c>
      <c r="D148" s="3" t="s">
        <v>34</v>
      </c>
      <c r="E148" s="3" t="s">
        <v>35</v>
      </c>
      <c r="F148" s="3" t="s">
        <v>30</v>
      </c>
      <c r="G148" s="3" t="s">
        <v>36</v>
      </c>
      <c r="H148" s="3" t="s">
        <v>30</v>
      </c>
      <c r="I148" s="3" t="s">
        <v>32</v>
      </c>
      <c r="J148" s="0" t="n">
        <v>1</v>
      </c>
      <c r="K148" s="0" t="n">
        <v>1</v>
      </c>
      <c r="L148" s="0" t="n">
        <v>0</v>
      </c>
      <c r="M148" s="0" t="n">
        <v>0</v>
      </c>
      <c r="N148" s="0" t="str">
        <f aca="false">IF(OR(NOT(OR(J148=0,J148=1)),NOT(OR(K148=0,K148=1)),NOT(OR(L148=0,L148=1)),NOT(OR(M148=0,M148=1)),NOT(OR(U148=0,U148=1))),"Yes","No")</f>
        <v>No</v>
      </c>
      <c r="O148" s="0" t="str">
        <f aca="false">IF(OR(AND(M148=1,L148=0),AND(L148=1,K148=0),AND(K148=1,J148=0)),"Yes","No")</f>
        <v>No</v>
      </c>
      <c r="P148" s="0" t="n">
        <v>0</v>
      </c>
      <c r="Q148" s="0" t="str">
        <f aca="false">IF(OR(AND(M148=0,P148&gt;0),AND(M148=1,P148&lt;=0)),"Yes","No")</f>
        <v>No</v>
      </c>
      <c r="R148" s="0" t="str">
        <f aca="false">IF(AND(M148=1,P148&gt;calc_helpers!$B$5),"Yes","No")</f>
        <v>No</v>
      </c>
      <c r="S148" s="0" t="n">
        <v>0</v>
      </c>
      <c r="T148" s="0" t="str">
        <f aca="false">IF(S148&gt;0,"Yes","No")</f>
        <v>No</v>
      </c>
      <c r="U148" s="0" t="n">
        <v>0</v>
      </c>
      <c r="W148" s="0" t="str">
        <f aca="false">IF(OR(AND(M148=1,ISBLANK(V148)),AND(M148=0,NOT(ISBLANK(V148)))),"Yes","No")</f>
        <v>No</v>
      </c>
      <c r="X148" s="0" t="n">
        <v>38.9</v>
      </c>
      <c r="Y148" s="3" t="s">
        <v>30</v>
      </c>
      <c r="Z148" s="0" t="str">
        <f aca="false">IF(M148=1,P148,"")</f>
        <v/>
      </c>
    </row>
    <row r="149" customFormat="false" ht="15" hidden="false" customHeight="false" outlineLevel="0" collapsed="false">
      <c r="A149" s="0" t="s">
        <v>192</v>
      </c>
      <c r="B149" s="2" t="n">
        <v>45802</v>
      </c>
      <c r="C149" s="3" t="s">
        <v>27</v>
      </c>
      <c r="D149" s="3" t="s">
        <v>43</v>
      </c>
      <c r="E149" s="3" t="s">
        <v>29</v>
      </c>
      <c r="F149" s="3" t="s">
        <v>30</v>
      </c>
      <c r="G149" s="3" t="s">
        <v>36</v>
      </c>
      <c r="H149" s="3" t="s">
        <v>30</v>
      </c>
      <c r="I149" s="3" t="s">
        <v>32</v>
      </c>
      <c r="J149" s="0" t="n">
        <v>1</v>
      </c>
      <c r="K149" s="0" t="n">
        <v>0</v>
      </c>
      <c r="L149" s="0" t="n">
        <v>0</v>
      </c>
      <c r="M149" s="0" t="n">
        <v>0</v>
      </c>
      <c r="N149" s="0" t="str">
        <f aca="false">IF(OR(NOT(OR(J149=0,J149=1)),NOT(OR(K149=0,K149=1)),NOT(OR(L149=0,L149=1)),NOT(OR(M149=0,M149=1)),NOT(OR(U149=0,U149=1))),"Yes","No")</f>
        <v>No</v>
      </c>
      <c r="O149" s="0" t="str">
        <f aca="false">IF(OR(AND(M149=1,L149=0),AND(L149=1,K149=0),AND(K149=1,J149=0)),"Yes","No")</f>
        <v>No</v>
      </c>
      <c r="P149" s="0" t="n">
        <v>0</v>
      </c>
      <c r="Q149" s="0" t="str">
        <f aca="false">IF(OR(AND(M149=0,P149&gt;0),AND(M149=1,P149&lt;=0)),"Yes","No")</f>
        <v>No</v>
      </c>
      <c r="R149" s="0" t="str">
        <f aca="false">IF(AND(M149=1,P149&gt;calc_helpers!$B$5),"Yes","No")</f>
        <v>No</v>
      </c>
      <c r="S149" s="0" t="n">
        <v>0</v>
      </c>
      <c r="T149" s="0" t="str">
        <f aca="false">IF(S149&gt;0,"Yes","No")</f>
        <v>No</v>
      </c>
      <c r="U149" s="0" t="n">
        <v>0</v>
      </c>
      <c r="W149" s="0" t="str">
        <f aca="false">IF(OR(AND(M149=1,ISBLANK(V149)),AND(M149=0,NOT(ISBLANK(V149)))),"Yes","No")</f>
        <v>No</v>
      </c>
      <c r="X149" s="0" t="n">
        <v>63.6</v>
      </c>
      <c r="Y149" s="3" t="s">
        <v>30</v>
      </c>
      <c r="Z149" s="0" t="str">
        <f aca="false">IF(M149=1,P149,"")</f>
        <v/>
      </c>
    </row>
    <row r="150" customFormat="false" ht="15" hidden="false" customHeight="false" outlineLevel="0" collapsed="false">
      <c r="A150" s="0" t="s">
        <v>193</v>
      </c>
      <c r="B150" s="2" t="n">
        <v>45685</v>
      </c>
      <c r="C150" s="3" t="s">
        <v>27</v>
      </c>
      <c r="D150" s="3" t="s">
        <v>28</v>
      </c>
      <c r="E150" s="3" t="s">
        <v>35</v>
      </c>
      <c r="F150" s="3" t="s">
        <v>30</v>
      </c>
      <c r="G150" s="3" t="s">
        <v>36</v>
      </c>
      <c r="H150" s="3" t="s">
        <v>30</v>
      </c>
      <c r="I150" s="3" t="s">
        <v>37</v>
      </c>
      <c r="J150" s="0" t="n">
        <v>1</v>
      </c>
      <c r="K150" s="0" t="n">
        <v>1</v>
      </c>
      <c r="L150" s="0" t="n">
        <v>1</v>
      </c>
      <c r="M150" s="0" t="n">
        <v>1</v>
      </c>
      <c r="N150" s="0" t="str">
        <f aca="false">IF(OR(NOT(OR(J150=0,J150=1)),NOT(OR(K150=0,K150=1)),NOT(OR(L150=0,L150=1)),NOT(OR(M150=0,M150=1)),NOT(OR(U150=0,U150=1))),"Yes","No")</f>
        <v>No</v>
      </c>
      <c r="O150" s="0" t="str">
        <f aca="false">IF(OR(AND(M150=1,L150=0),AND(L150=1,K150=0),AND(K150=1,J150=0)),"Yes","No")</f>
        <v>No</v>
      </c>
      <c r="P150" s="0" t="n">
        <v>577.94</v>
      </c>
      <c r="Q150" s="0" t="str">
        <f aca="false">IF(OR(AND(M150=0,P150&gt;0),AND(M150=1,P150&lt;=0)),"Yes","No")</f>
        <v>No</v>
      </c>
      <c r="R150" s="0" t="str">
        <f aca="false">IF(AND(M150=1,P150&gt;calc_helpers!$B$5),"Yes","No")</f>
        <v>No</v>
      </c>
      <c r="S150" s="0" t="n">
        <v>0</v>
      </c>
      <c r="T150" s="0" t="str">
        <f aca="false">IF(S150&gt;0,"Yes","No")</f>
        <v>No</v>
      </c>
      <c r="U150" s="0" t="n">
        <v>0</v>
      </c>
      <c r="V150" s="0" t="n">
        <v>9</v>
      </c>
      <c r="W150" s="0" t="str">
        <f aca="false">IF(OR(AND(M150=1,ISBLANK(V150)),AND(M150=0,NOT(ISBLANK(V150)))),"Yes","No")</f>
        <v>No</v>
      </c>
      <c r="X150" s="0" t="n">
        <v>76.6</v>
      </c>
      <c r="Y150" s="3" t="s">
        <v>30</v>
      </c>
      <c r="Z150" s="3" t="n">
        <f aca="false">IF(M150=1,P150,"")</f>
        <v>577.94</v>
      </c>
    </row>
    <row r="151" customFormat="false" ht="15" hidden="false" customHeight="false" outlineLevel="0" collapsed="false">
      <c r="A151" s="0" t="s">
        <v>194</v>
      </c>
      <c r="B151" s="2" t="n">
        <v>45700</v>
      </c>
      <c r="C151" s="3" t="s">
        <v>27</v>
      </c>
      <c r="D151" s="3" t="s">
        <v>34</v>
      </c>
      <c r="E151" s="3" t="s">
        <v>35</v>
      </c>
      <c r="F151" s="3" t="s">
        <v>30</v>
      </c>
      <c r="G151" s="3" t="s">
        <v>40</v>
      </c>
      <c r="H151" s="3" t="s">
        <v>30</v>
      </c>
      <c r="I151" s="3" t="s">
        <v>41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str">
        <f aca="false">IF(OR(NOT(OR(J151=0,J151=1)),NOT(OR(K151=0,K151=1)),NOT(OR(L151=0,L151=1)),NOT(OR(M151=0,M151=1)),NOT(OR(U151=0,U151=1))),"Yes","No")</f>
        <v>No</v>
      </c>
      <c r="O151" s="0" t="str">
        <f aca="false">IF(OR(AND(M151=1,L151=0),AND(L151=1,K151=0),AND(K151=1,J151=0)),"Yes","No")</f>
        <v>No</v>
      </c>
      <c r="P151" s="0" t="n">
        <v>0</v>
      </c>
      <c r="Q151" s="0" t="str">
        <f aca="false">IF(OR(AND(M151=0,P151&gt;0),AND(M151=1,P151&lt;=0)),"Yes","No")</f>
        <v>No</v>
      </c>
      <c r="R151" s="0" t="str">
        <f aca="false">IF(AND(M151=1,P151&gt;calc_helpers!$B$5),"Yes","No")</f>
        <v>No</v>
      </c>
      <c r="S151" s="0" t="n">
        <v>1</v>
      </c>
      <c r="T151" s="0" t="str">
        <f aca="false">IF(S151&gt;0,"Yes","No")</f>
        <v>Yes</v>
      </c>
      <c r="U151" s="0" t="n">
        <v>0</v>
      </c>
      <c r="W151" s="0" t="str">
        <f aca="false">IF(OR(AND(M151=1,ISBLANK(V151)),AND(M151=0,NOT(ISBLANK(V151)))),"Yes","No")</f>
        <v>No</v>
      </c>
      <c r="X151" s="0" t="n">
        <v>67.6</v>
      </c>
      <c r="Y151" s="3" t="s">
        <v>30</v>
      </c>
      <c r="Z151" s="0" t="str">
        <f aca="false">IF(M151=1,P151,"")</f>
        <v/>
      </c>
    </row>
    <row r="152" customFormat="false" ht="15" hidden="false" customHeight="false" outlineLevel="0" collapsed="false">
      <c r="A152" s="0" t="s">
        <v>195</v>
      </c>
      <c r="B152" s="2" t="n">
        <v>45776</v>
      </c>
      <c r="C152" s="3" t="s">
        <v>27</v>
      </c>
      <c r="D152" s="3" t="s">
        <v>28</v>
      </c>
      <c r="E152" s="3" t="s">
        <v>35</v>
      </c>
      <c r="F152" s="3" t="s">
        <v>30</v>
      </c>
      <c r="G152" s="3" t="s">
        <v>52</v>
      </c>
      <c r="H152" s="3" t="s">
        <v>30</v>
      </c>
      <c r="I152" s="3" t="s">
        <v>41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str">
        <f aca="false">IF(OR(NOT(OR(J152=0,J152=1)),NOT(OR(K152=0,K152=1)),NOT(OR(L152=0,L152=1)),NOT(OR(M152=0,M152=1)),NOT(OR(U152=0,U152=1))),"Yes","No")</f>
        <v>No</v>
      </c>
      <c r="O152" s="0" t="str">
        <f aca="false">IF(OR(AND(M152=1,L152=0),AND(L152=1,K152=0),AND(K152=1,J152=0)),"Yes","No")</f>
        <v>No</v>
      </c>
      <c r="P152" s="0" t="n">
        <v>0</v>
      </c>
      <c r="Q152" s="0" t="str">
        <f aca="false">IF(OR(AND(M152=0,P152&gt;0),AND(M152=1,P152&lt;=0)),"Yes","No")</f>
        <v>No</v>
      </c>
      <c r="R152" s="0" t="str">
        <f aca="false">IF(AND(M152=1,P152&gt;calc_helpers!$B$5),"Yes","No")</f>
        <v>No</v>
      </c>
      <c r="S152" s="0" t="n">
        <v>0</v>
      </c>
      <c r="T152" s="0" t="str">
        <f aca="false">IF(S152&gt;0,"Yes","No")</f>
        <v>No</v>
      </c>
      <c r="U152" s="0" t="n">
        <v>0</v>
      </c>
      <c r="W152" s="0" t="str">
        <f aca="false">IF(OR(AND(M152=1,ISBLANK(V152)),AND(M152=0,NOT(ISBLANK(V152)))),"Yes","No")</f>
        <v>No</v>
      </c>
      <c r="X152" s="0" t="n">
        <v>43.1</v>
      </c>
      <c r="Y152" s="3" t="s">
        <v>30</v>
      </c>
      <c r="Z152" s="0" t="str">
        <f aca="false">IF(M152=1,P152,"")</f>
        <v/>
      </c>
    </row>
    <row r="153" customFormat="false" ht="15" hidden="false" customHeight="false" outlineLevel="0" collapsed="false">
      <c r="A153" s="0" t="s">
        <v>196</v>
      </c>
      <c r="B153" s="2" t="n">
        <v>45729</v>
      </c>
      <c r="C153" s="3" t="s">
        <v>27</v>
      </c>
      <c r="D153" s="3" t="s">
        <v>43</v>
      </c>
      <c r="E153" s="3" t="s">
        <v>35</v>
      </c>
      <c r="F153" s="3" t="s">
        <v>30</v>
      </c>
      <c r="G153" s="3" t="s">
        <v>31</v>
      </c>
      <c r="H153" s="3" t="s">
        <v>30</v>
      </c>
      <c r="I153" s="3" t="s">
        <v>37</v>
      </c>
      <c r="J153" s="0" t="n">
        <v>1</v>
      </c>
      <c r="K153" s="0" t="n">
        <v>0</v>
      </c>
      <c r="L153" s="0" t="n">
        <v>0</v>
      </c>
      <c r="M153" s="0" t="n">
        <v>0</v>
      </c>
      <c r="N153" s="0" t="str">
        <f aca="false">IF(OR(NOT(OR(J153=0,J153=1)),NOT(OR(K153=0,K153=1)),NOT(OR(L153=0,L153=1)),NOT(OR(M153=0,M153=1)),NOT(OR(U153=0,U153=1))),"Yes","No")</f>
        <v>No</v>
      </c>
      <c r="O153" s="0" t="str">
        <f aca="false">IF(OR(AND(M153=1,L153=0),AND(L153=1,K153=0),AND(K153=1,J153=0)),"Yes","No")</f>
        <v>No</v>
      </c>
      <c r="P153" s="0" t="n">
        <v>0</v>
      </c>
      <c r="Q153" s="0" t="str">
        <f aca="false">IF(OR(AND(M153=0,P153&gt;0),AND(M153=1,P153&lt;=0)),"Yes","No")</f>
        <v>No</v>
      </c>
      <c r="R153" s="0" t="str">
        <f aca="false">IF(AND(M153=1,P153&gt;calc_helpers!$B$5),"Yes","No")</f>
        <v>No</v>
      </c>
      <c r="S153" s="0" t="n">
        <v>0</v>
      </c>
      <c r="T153" s="0" t="str">
        <f aca="false">IF(S153&gt;0,"Yes","No")</f>
        <v>No</v>
      </c>
      <c r="U153" s="0" t="n">
        <v>0</v>
      </c>
      <c r="W153" s="0" t="str">
        <f aca="false">IF(OR(AND(M153=1,ISBLANK(V153)),AND(M153=0,NOT(ISBLANK(V153)))),"Yes","No")</f>
        <v>No</v>
      </c>
      <c r="X153" s="0" t="n">
        <v>58.3</v>
      </c>
      <c r="Y153" s="3" t="s">
        <v>30</v>
      </c>
      <c r="Z153" s="0" t="str">
        <f aca="false">IF(M153=1,P153,"")</f>
        <v/>
      </c>
    </row>
    <row r="154" customFormat="false" ht="15" hidden="false" customHeight="false" outlineLevel="0" collapsed="false">
      <c r="A154" s="0" t="s">
        <v>197</v>
      </c>
      <c r="B154" s="2" t="n">
        <v>45692</v>
      </c>
      <c r="C154" s="3" t="s">
        <v>27</v>
      </c>
      <c r="D154" s="3" t="s">
        <v>39</v>
      </c>
      <c r="E154" s="3" t="s">
        <v>29</v>
      </c>
      <c r="F154" s="3" t="s">
        <v>30</v>
      </c>
      <c r="G154" s="3" t="s">
        <v>40</v>
      </c>
      <c r="H154" s="3" t="s">
        <v>30</v>
      </c>
      <c r="I154" s="3" t="s">
        <v>37</v>
      </c>
      <c r="J154" s="0" t="n">
        <v>1</v>
      </c>
      <c r="K154" s="0" t="n">
        <v>0</v>
      </c>
      <c r="L154" s="0" t="n">
        <v>0</v>
      </c>
      <c r="M154" s="0" t="n">
        <v>0</v>
      </c>
      <c r="N154" s="0" t="str">
        <f aca="false">IF(OR(NOT(OR(J154=0,J154=1)),NOT(OR(K154=0,K154=1)),NOT(OR(L154=0,L154=1)),NOT(OR(M154=0,M154=1)),NOT(OR(U154=0,U154=1))),"Yes","No")</f>
        <v>No</v>
      </c>
      <c r="O154" s="0" t="str">
        <f aca="false">IF(OR(AND(M154=1,L154=0),AND(L154=1,K154=0),AND(K154=1,J154=0)),"Yes","No")</f>
        <v>No</v>
      </c>
      <c r="P154" s="0" t="n">
        <v>0</v>
      </c>
      <c r="Q154" s="0" t="str">
        <f aca="false">IF(OR(AND(M154=0,P154&gt;0),AND(M154=1,P154&lt;=0)),"Yes","No")</f>
        <v>No</v>
      </c>
      <c r="R154" s="0" t="str">
        <f aca="false">IF(AND(M154=1,P154&gt;calc_helpers!$B$5),"Yes","No")</f>
        <v>No</v>
      </c>
      <c r="S154" s="0" t="n">
        <v>0</v>
      </c>
      <c r="T154" s="0" t="str">
        <f aca="false">IF(S154&gt;0,"Yes","No")</f>
        <v>No</v>
      </c>
      <c r="U154" s="0" t="n">
        <v>0</v>
      </c>
      <c r="W154" s="0" t="str">
        <f aca="false">IF(OR(AND(M154=1,ISBLANK(V154)),AND(M154=0,NOT(ISBLANK(V154)))),"Yes","No")</f>
        <v>No</v>
      </c>
      <c r="X154" s="0" t="n">
        <v>69.8</v>
      </c>
      <c r="Y154" s="3" t="s">
        <v>30</v>
      </c>
      <c r="Z154" s="0" t="str">
        <f aca="false">IF(M154=1,P154,"")</f>
        <v/>
      </c>
    </row>
    <row r="155" customFormat="false" ht="15" hidden="false" customHeight="false" outlineLevel="0" collapsed="false">
      <c r="A155" s="0" t="s">
        <v>198</v>
      </c>
      <c r="B155" s="2" t="n">
        <v>45720</v>
      </c>
      <c r="C155" s="3" t="s">
        <v>27</v>
      </c>
      <c r="D155" s="3" t="s">
        <v>43</v>
      </c>
      <c r="E155" s="3" t="s">
        <v>35</v>
      </c>
      <c r="F155" s="3" t="s">
        <v>30</v>
      </c>
      <c r="G155" s="3" t="s">
        <v>50</v>
      </c>
      <c r="H155" s="3" t="s">
        <v>30</v>
      </c>
      <c r="I155" s="3" t="s">
        <v>37</v>
      </c>
      <c r="J155" s="0" t="n">
        <v>1</v>
      </c>
      <c r="K155" s="0" t="n">
        <v>1</v>
      </c>
      <c r="L155" s="0" t="n">
        <v>0</v>
      </c>
      <c r="M155" s="0" t="n">
        <v>0</v>
      </c>
      <c r="N155" s="0" t="str">
        <f aca="false">IF(OR(NOT(OR(J155=0,J155=1)),NOT(OR(K155=0,K155=1)),NOT(OR(L155=0,L155=1)),NOT(OR(M155=0,M155=1)),NOT(OR(U155=0,U155=1))),"Yes","No")</f>
        <v>No</v>
      </c>
      <c r="O155" s="0" t="str">
        <f aca="false">IF(OR(AND(M155=1,L155=0),AND(L155=1,K155=0),AND(K155=1,J155=0)),"Yes","No")</f>
        <v>No</v>
      </c>
      <c r="P155" s="0" t="n">
        <v>0</v>
      </c>
      <c r="Q155" s="0" t="str">
        <f aca="false">IF(OR(AND(M155=0,P155&gt;0),AND(M155=1,P155&lt;=0)),"Yes","No")</f>
        <v>No</v>
      </c>
      <c r="R155" s="0" t="str">
        <f aca="false">IF(AND(M155=1,P155&gt;calc_helpers!$B$5),"Yes","No")</f>
        <v>No</v>
      </c>
      <c r="S155" s="0" t="n">
        <v>0</v>
      </c>
      <c r="T155" s="0" t="str">
        <f aca="false">IF(S155&gt;0,"Yes","No")</f>
        <v>No</v>
      </c>
      <c r="U155" s="0" t="n">
        <v>0</v>
      </c>
      <c r="W155" s="0" t="str">
        <f aca="false">IF(OR(AND(M155=1,ISBLANK(V155)),AND(M155=0,NOT(ISBLANK(V155)))),"Yes","No")</f>
        <v>No</v>
      </c>
      <c r="Y155" s="3" t="s">
        <v>168</v>
      </c>
      <c r="Z155" s="0" t="str">
        <f aca="false">IF(M155=1,P155,"")</f>
        <v/>
      </c>
    </row>
    <row r="156" customFormat="false" ht="15" hidden="false" customHeight="false" outlineLevel="0" collapsed="false">
      <c r="A156" s="0" t="s">
        <v>199</v>
      </c>
      <c r="B156" s="2" t="n">
        <v>45692</v>
      </c>
      <c r="C156" s="3" t="s">
        <v>27</v>
      </c>
      <c r="D156" s="3" t="s">
        <v>34</v>
      </c>
      <c r="E156" s="3" t="s">
        <v>35</v>
      </c>
      <c r="F156" s="3" t="s">
        <v>30</v>
      </c>
      <c r="G156" s="3" t="s">
        <v>40</v>
      </c>
      <c r="H156" s="3" t="s">
        <v>30</v>
      </c>
      <c r="I156" s="3" t="s">
        <v>32</v>
      </c>
      <c r="J156" s="0" t="n">
        <v>1</v>
      </c>
      <c r="K156" s="0" t="n">
        <v>1</v>
      </c>
      <c r="L156" s="0" t="n">
        <v>0</v>
      </c>
      <c r="M156" s="0" t="n">
        <v>0</v>
      </c>
      <c r="N156" s="0" t="str">
        <f aca="false">IF(OR(NOT(OR(J156=0,J156=1)),NOT(OR(K156=0,K156=1)),NOT(OR(L156=0,L156=1)),NOT(OR(M156=0,M156=1)),NOT(OR(U156=0,U156=1))),"Yes","No")</f>
        <v>No</v>
      </c>
      <c r="O156" s="0" t="str">
        <f aca="false">IF(OR(AND(M156=1,L156=0),AND(L156=1,K156=0),AND(K156=1,J156=0)),"Yes","No")</f>
        <v>No</v>
      </c>
      <c r="P156" s="0" t="n">
        <v>0</v>
      </c>
      <c r="Q156" s="0" t="str">
        <f aca="false">IF(OR(AND(M156=0,P156&gt;0),AND(M156=1,P156&lt;=0)),"Yes","No")</f>
        <v>No</v>
      </c>
      <c r="R156" s="0" t="str">
        <f aca="false">IF(AND(M156=1,P156&gt;calc_helpers!$B$5),"Yes","No")</f>
        <v>No</v>
      </c>
      <c r="S156" s="0" t="n">
        <v>0</v>
      </c>
      <c r="T156" s="0" t="str">
        <f aca="false">IF(S156&gt;0,"Yes","No")</f>
        <v>No</v>
      </c>
      <c r="U156" s="0" t="n">
        <v>0</v>
      </c>
      <c r="W156" s="0" t="str">
        <f aca="false">IF(OR(AND(M156=1,ISBLANK(V156)),AND(M156=0,NOT(ISBLANK(V156)))),"Yes","No")</f>
        <v>No</v>
      </c>
      <c r="X156" s="0" t="n">
        <v>41.9</v>
      </c>
      <c r="Y156" s="3" t="s">
        <v>30</v>
      </c>
      <c r="Z156" s="0" t="str">
        <f aca="false">IF(M156=1,P156,"")</f>
        <v/>
      </c>
    </row>
    <row r="157" customFormat="false" ht="15" hidden="false" customHeight="false" outlineLevel="0" collapsed="false">
      <c r="A157" s="0" t="s">
        <v>200</v>
      </c>
      <c r="B157" s="2" t="n">
        <v>45727</v>
      </c>
      <c r="C157" s="3" t="s">
        <v>27</v>
      </c>
      <c r="D157" s="3" t="s">
        <v>28</v>
      </c>
      <c r="E157" s="3" t="s">
        <v>29</v>
      </c>
      <c r="F157" s="3" t="s">
        <v>30</v>
      </c>
      <c r="G157" s="3" t="s">
        <v>36</v>
      </c>
      <c r="H157" s="3" t="s">
        <v>30</v>
      </c>
      <c r="I157" s="3" t="s">
        <v>37</v>
      </c>
      <c r="J157" s="0" t="n">
        <v>0</v>
      </c>
      <c r="K157" s="0" t="n">
        <v>0</v>
      </c>
      <c r="L157" s="0" t="n">
        <v>0</v>
      </c>
      <c r="M157" s="0" t="n">
        <v>0</v>
      </c>
      <c r="N157" s="0" t="str">
        <f aca="false">IF(OR(NOT(OR(J157=0,J157=1)),NOT(OR(K157=0,K157=1)),NOT(OR(L157=0,L157=1)),NOT(OR(M157=0,M157=1)),NOT(OR(U157=0,U157=1))),"Yes","No")</f>
        <v>No</v>
      </c>
      <c r="O157" s="0" t="str">
        <f aca="false">IF(OR(AND(M157=1,L157=0),AND(L157=1,K157=0),AND(K157=1,J157=0)),"Yes","No")</f>
        <v>No</v>
      </c>
      <c r="P157" s="0" t="n">
        <v>0</v>
      </c>
      <c r="Q157" s="0" t="str">
        <f aca="false">IF(OR(AND(M157=0,P157&gt;0),AND(M157=1,P157&lt;=0)),"Yes","No")</f>
        <v>No</v>
      </c>
      <c r="R157" s="0" t="str">
        <f aca="false">IF(AND(M157=1,P157&gt;calc_helpers!$B$5),"Yes","No")</f>
        <v>No</v>
      </c>
      <c r="S157" s="0" t="n">
        <v>0</v>
      </c>
      <c r="T157" s="0" t="str">
        <f aca="false">IF(S157&gt;0,"Yes","No")</f>
        <v>No</v>
      </c>
      <c r="U157" s="0" t="n">
        <v>0</v>
      </c>
      <c r="W157" s="0" t="str">
        <f aca="false">IF(OR(AND(M157=1,ISBLANK(V157)),AND(M157=0,NOT(ISBLANK(V157)))),"Yes","No")</f>
        <v>No</v>
      </c>
      <c r="X157" s="0" t="n">
        <v>33.1</v>
      </c>
      <c r="Y157" s="3" t="s">
        <v>30</v>
      </c>
      <c r="Z157" s="0" t="str">
        <f aca="false">IF(M157=1,P157,"")</f>
        <v/>
      </c>
    </row>
    <row r="158" customFormat="false" ht="15" hidden="false" customHeight="false" outlineLevel="0" collapsed="false">
      <c r="A158" s="0" t="s">
        <v>201</v>
      </c>
      <c r="B158" s="2" t="n">
        <v>45769</v>
      </c>
      <c r="C158" s="3" t="s">
        <v>27</v>
      </c>
      <c r="D158" s="3" t="s">
        <v>34</v>
      </c>
      <c r="E158" s="3" t="s">
        <v>35</v>
      </c>
      <c r="F158" s="3" t="s">
        <v>30</v>
      </c>
      <c r="G158" s="3" t="s">
        <v>36</v>
      </c>
      <c r="H158" s="3" t="s">
        <v>30</v>
      </c>
      <c r="I158" s="3" t="s">
        <v>37</v>
      </c>
      <c r="J158" s="0" t="n">
        <v>0</v>
      </c>
      <c r="K158" s="0" t="n">
        <v>0</v>
      </c>
      <c r="L158" s="0" t="n">
        <v>0</v>
      </c>
      <c r="M158" s="0" t="n">
        <v>0</v>
      </c>
      <c r="N158" s="0" t="str">
        <f aca="false">IF(OR(NOT(OR(J158=0,J158=1)),NOT(OR(K158=0,K158=1)),NOT(OR(L158=0,L158=1)),NOT(OR(M158=0,M158=1)),NOT(OR(U158=0,U158=1))),"Yes","No")</f>
        <v>No</v>
      </c>
      <c r="O158" s="0" t="str">
        <f aca="false">IF(OR(AND(M158=1,L158=0),AND(L158=1,K158=0),AND(K158=1,J158=0)),"Yes","No")</f>
        <v>No</v>
      </c>
      <c r="P158" s="0" t="n">
        <v>0</v>
      </c>
      <c r="Q158" s="0" t="str">
        <f aca="false">IF(OR(AND(M158=0,P158&gt;0),AND(M158=1,P158&lt;=0)),"Yes","No")</f>
        <v>No</v>
      </c>
      <c r="R158" s="0" t="str">
        <f aca="false">IF(AND(M158=1,P158&gt;calc_helpers!$B$5),"Yes","No")</f>
        <v>No</v>
      </c>
      <c r="S158" s="0" t="n">
        <v>0</v>
      </c>
      <c r="T158" s="0" t="str">
        <f aca="false">IF(S158&gt;0,"Yes","No")</f>
        <v>No</v>
      </c>
      <c r="U158" s="0" t="n">
        <v>0</v>
      </c>
      <c r="W158" s="0" t="str">
        <f aca="false">IF(OR(AND(M158=1,ISBLANK(V158)),AND(M158=0,NOT(ISBLANK(V158)))),"Yes","No")</f>
        <v>No</v>
      </c>
      <c r="X158" s="0" t="n">
        <v>58.6</v>
      </c>
      <c r="Y158" s="3" t="s">
        <v>30</v>
      </c>
      <c r="Z158" s="0" t="str">
        <f aca="false">IF(M158=1,P158,"")</f>
        <v/>
      </c>
    </row>
    <row r="159" customFormat="false" ht="15" hidden="false" customHeight="false" outlineLevel="0" collapsed="false">
      <c r="A159" s="0" t="s">
        <v>202</v>
      </c>
      <c r="B159" s="2" t="n">
        <v>45724</v>
      </c>
      <c r="C159" s="3" t="s">
        <v>27</v>
      </c>
      <c r="D159" s="3" t="s">
        <v>28</v>
      </c>
      <c r="E159" s="3" t="s">
        <v>29</v>
      </c>
      <c r="F159" s="3" t="s">
        <v>30</v>
      </c>
      <c r="G159" s="3" t="s">
        <v>40</v>
      </c>
      <c r="H159" s="3" t="s">
        <v>30</v>
      </c>
      <c r="I159" s="3" t="s">
        <v>37</v>
      </c>
      <c r="J159" s="0" t="n">
        <v>0</v>
      </c>
      <c r="K159" s="0" t="n">
        <v>0</v>
      </c>
      <c r="L159" s="0" t="n">
        <v>0</v>
      </c>
      <c r="M159" s="0" t="n">
        <v>0</v>
      </c>
      <c r="N159" s="0" t="str">
        <f aca="false">IF(OR(NOT(OR(J159=0,J159=1)),NOT(OR(K159=0,K159=1)),NOT(OR(L159=0,L159=1)),NOT(OR(M159=0,M159=1)),NOT(OR(U159=0,U159=1))),"Yes","No")</f>
        <v>No</v>
      </c>
      <c r="O159" s="0" t="str">
        <f aca="false">IF(OR(AND(M159=1,L159=0),AND(L159=1,K159=0),AND(K159=1,J159=0)),"Yes","No")</f>
        <v>No</v>
      </c>
      <c r="P159" s="0" t="n">
        <v>0</v>
      </c>
      <c r="Q159" s="0" t="str">
        <f aca="false">IF(OR(AND(M159=0,P159&gt;0),AND(M159=1,P159&lt;=0)),"Yes","No")</f>
        <v>No</v>
      </c>
      <c r="R159" s="0" t="str">
        <f aca="false">IF(AND(M159=1,P159&gt;calc_helpers!$B$5),"Yes","No")</f>
        <v>No</v>
      </c>
      <c r="S159" s="0" t="n">
        <v>0</v>
      </c>
      <c r="T159" s="0" t="str">
        <f aca="false">IF(S159&gt;0,"Yes","No")</f>
        <v>No</v>
      </c>
      <c r="U159" s="0" t="n">
        <v>0</v>
      </c>
      <c r="W159" s="0" t="str">
        <f aca="false">IF(OR(AND(M159=1,ISBLANK(V159)),AND(M159=0,NOT(ISBLANK(V159)))),"Yes","No")</f>
        <v>No</v>
      </c>
      <c r="X159" s="0" t="n">
        <v>55.7</v>
      </c>
      <c r="Y159" s="3" t="s">
        <v>30</v>
      </c>
      <c r="Z159" s="0" t="str">
        <f aca="false">IF(M159=1,P159,"")</f>
        <v/>
      </c>
    </row>
    <row r="160" customFormat="false" ht="15" hidden="false" customHeight="false" outlineLevel="0" collapsed="false">
      <c r="A160" s="0" t="s">
        <v>203</v>
      </c>
      <c r="B160" s="2" t="n">
        <v>45726</v>
      </c>
      <c r="C160" s="3" t="s">
        <v>27</v>
      </c>
      <c r="D160" s="3" t="s">
        <v>39</v>
      </c>
      <c r="E160" s="3" t="s">
        <v>35</v>
      </c>
      <c r="F160" s="3" t="s">
        <v>30</v>
      </c>
      <c r="G160" s="3" t="s">
        <v>36</v>
      </c>
      <c r="H160" s="3" t="s">
        <v>30</v>
      </c>
      <c r="I160" s="3" t="s">
        <v>37</v>
      </c>
      <c r="J160" s="0" t="n">
        <v>0</v>
      </c>
      <c r="K160" s="0" t="n">
        <v>0</v>
      </c>
      <c r="L160" s="0" t="n">
        <v>0</v>
      </c>
      <c r="M160" s="0" t="n">
        <v>0</v>
      </c>
      <c r="N160" s="0" t="str">
        <f aca="false">IF(OR(NOT(OR(J160=0,J160=1)),NOT(OR(K160=0,K160=1)),NOT(OR(L160=0,L160=1)),NOT(OR(M160=0,M160=1)),NOT(OR(U160=0,U160=1))),"Yes","No")</f>
        <v>No</v>
      </c>
      <c r="O160" s="0" t="str">
        <f aca="false">IF(OR(AND(M160=1,L160=0),AND(L160=1,K160=0),AND(K160=1,J160=0)),"Yes","No")</f>
        <v>No</v>
      </c>
      <c r="P160" s="0" t="n">
        <v>0</v>
      </c>
      <c r="Q160" s="0" t="str">
        <f aca="false">IF(OR(AND(M160=0,P160&gt;0),AND(M160=1,P160&lt;=0)),"Yes","No")</f>
        <v>No</v>
      </c>
      <c r="R160" s="0" t="str">
        <f aca="false">IF(AND(M160=1,P160&gt;calc_helpers!$B$5),"Yes","No")</f>
        <v>No</v>
      </c>
      <c r="S160" s="0" t="n">
        <v>2</v>
      </c>
      <c r="T160" s="0" t="str">
        <f aca="false">IF(S160&gt;0,"Yes","No")</f>
        <v>Yes</v>
      </c>
      <c r="U160" s="0" t="n">
        <v>0</v>
      </c>
      <c r="W160" s="0" t="str">
        <f aca="false">IF(OR(AND(M160=1,ISBLANK(V160)),AND(M160=0,NOT(ISBLANK(V160)))),"Yes","No")</f>
        <v>No</v>
      </c>
      <c r="X160" s="0" t="n">
        <v>64.9</v>
      </c>
      <c r="Y160" s="3" t="s">
        <v>30</v>
      </c>
      <c r="Z160" s="0" t="str">
        <f aca="false">IF(M160=1,P160,"")</f>
        <v/>
      </c>
    </row>
    <row r="161" customFormat="false" ht="15" hidden="false" customHeight="false" outlineLevel="0" collapsed="false">
      <c r="A161" s="0" t="s">
        <v>204</v>
      </c>
      <c r="B161" s="2" t="n">
        <v>45795</v>
      </c>
      <c r="C161" s="3" t="s">
        <v>27</v>
      </c>
      <c r="D161" s="3" t="s">
        <v>28</v>
      </c>
      <c r="E161" s="3" t="s">
        <v>29</v>
      </c>
      <c r="F161" s="3" t="s">
        <v>30</v>
      </c>
      <c r="G161" s="3" t="s">
        <v>40</v>
      </c>
      <c r="H161" s="3" t="s">
        <v>30</v>
      </c>
      <c r="I161" s="3" t="s">
        <v>32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str">
        <f aca="false">IF(OR(NOT(OR(J161=0,J161=1)),NOT(OR(K161=0,K161=1)),NOT(OR(L161=0,L161=1)),NOT(OR(M161=0,M161=1)),NOT(OR(U161=0,U161=1))),"Yes","No")</f>
        <v>No</v>
      </c>
      <c r="O161" s="0" t="str">
        <f aca="false">IF(OR(AND(M161=1,L161=0),AND(L161=1,K161=0),AND(K161=1,J161=0)),"Yes","No")</f>
        <v>No</v>
      </c>
      <c r="P161" s="0" t="n">
        <v>0</v>
      </c>
      <c r="Q161" s="0" t="str">
        <f aca="false">IF(OR(AND(M161=0,P161&gt;0),AND(M161=1,P161&lt;=0)),"Yes","No")</f>
        <v>No</v>
      </c>
      <c r="R161" s="0" t="str">
        <f aca="false">IF(AND(M161=1,P161&gt;calc_helpers!$B$5),"Yes","No")</f>
        <v>No</v>
      </c>
      <c r="S161" s="0" t="n">
        <v>0</v>
      </c>
      <c r="T161" s="0" t="str">
        <f aca="false">IF(S161&gt;0,"Yes","No")</f>
        <v>No</v>
      </c>
      <c r="U161" s="0" t="n">
        <v>0</v>
      </c>
      <c r="W161" s="0" t="str">
        <f aca="false">IF(OR(AND(M161=1,ISBLANK(V161)),AND(M161=0,NOT(ISBLANK(V161)))),"Yes","No")</f>
        <v>No</v>
      </c>
      <c r="X161" s="0" t="n">
        <v>72.3</v>
      </c>
      <c r="Y161" s="3" t="s">
        <v>30</v>
      </c>
      <c r="Z161" s="0" t="str">
        <f aca="false">IF(M161=1,P161,"")</f>
        <v/>
      </c>
    </row>
    <row r="162" customFormat="false" ht="15" hidden="false" customHeight="false" outlineLevel="0" collapsed="false">
      <c r="A162" s="0" t="s">
        <v>205</v>
      </c>
      <c r="B162" s="2" t="n">
        <v>45791</v>
      </c>
      <c r="C162" s="3" t="s">
        <v>27</v>
      </c>
      <c r="D162" s="3" t="s">
        <v>28</v>
      </c>
      <c r="E162" s="3" t="s">
        <v>35</v>
      </c>
      <c r="F162" s="3" t="s">
        <v>30</v>
      </c>
      <c r="G162" s="3" t="s">
        <v>52</v>
      </c>
      <c r="H162" s="3" t="s">
        <v>30</v>
      </c>
      <c r="I162" s="3" t="s">
        <v>32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str">
        <f aca="false">IF(OR(NOT(OR(J162=0,J162=1)),NOT(OR(K162=0,K162=1)),NOT(OR(L162=0,L162=1)),NOT(OR(M162=0,M162=1)),NOT(OR(U162=0,U162=1))),"Yes","No")</f>
        <v>No</v>
      </c>
      <c r="O162" s="0" t="str">
        <f aca="false">IF(OR(AND(M162=1,L162=0),AND(L162=1,K162=0),AND(K162=1,J162=0)),"Yes","No")</f>
        <v>No</v>
      </c>
      <c r="P162" s="0" t="n">
        <v>0</v>
      </c>
      <c r="Q162" s="0" t="str">
        <f aca="false">IF(OR(AND(M162=0,P162&gt;0),AND(M162=1,P162&lt;=0)),"Yes","No")</f>
        <v>No</v>
      </c>
      <c r="R162" s="0" t="str">
        <f aca="false">IF(AND(M162=1,P162&gt;calc_helpers!$B$5),"Yes","No")</f>
        <v>No</v>
      </c>
      <c r="S162" s="0" t="n">
        <v>0</v>
      </c>
      <c r="T162" s="0" t="str">
        <f aca="false">IF(S162&gt;0,"Yes","No")</f>
        <v>No</v>
      </c>
      <c r="U162" s="0" t="n">
        <v>0</v>
      </c>
      <c r="W162" s="0" t="str">
        <f aca="false">IF(OR(AND(M162=1,ISBLANK(V162)),AND(M162=0,NOT(ISBLANK(V162)))),"Yes","No")</f>
        <v>No</v>
      </c>
      <c r="X162" s="0" t="n">
        <v>42.1</v>
      </c>
      <c r="Y162" s="3" t="s">
        <v>30</v>
      </c>
      <c r="Z162" s="0" t="str">
        <f aca="false">IF(M162=1,P162,"")</f>
        <v/>
      </c>
    </row>
    <row r="163" customFormat="false" ht="15" hidden="false" customHeight="false" outlineLevel="0" collapsed="false">
      <c r="A163" s="0" t="s">
        <v>206</v>
      </c>
      <c r="B163" s="2" t="n">
        <v>45689</v>
      </c>
      <c r="C163" s="3" t="s">
        <v>27</v>
      </c>
      <c r="D163" s="3" t="s">
        <v>28</v>
      </c>
      <c r="E163" s="3" t="s">
        <v>35</v>
      </c>
      <c r="F163" s="3" t="s">
        <v>30</v>
      </c>
      <c r="G163" s="3" t="s">
        <v>36</v>
      </c>
      <c r="H163" s="3" t="s">
        <v>30</v>
      </c>
      <c r="I163" s="3" t="s">
        <v>37</v>
      </c>
      <c r="J163" s="0" t="n">
        <v>0</v>
      </c>
      <c r="K163" s="0" t="n">
        <v>0</v>
      </c>
      <c r="L163" s="0" t="n">
        <v>0</v>
      </c>
      <c r="M163" s="0" t="n">
        <v>0</v>
      </c>
      <c r="N163" s="0" t="str">
        <f aca="false">IF(OR(NOT(OR(J163=0,J163=1)),NOT(OR(K163=0,K163=1)),NOT(OR(L163=0,L163=1)),NOT(OR(M163=0,M163=1)),NOT(OR(U163=0,U163=1))),"Yes","No")</f>
        <v>No</v>
      </c>
      <c r="O163" s="0" t="str">
        <f aca="false">IF(OR(AND(M163=1,L163=0),AND(L163=1,K163=0),AND(K163=1,J163=0)),"Yes","No")</f>
        <v>No</v>
      </c>
      <c r="P163" s="0" t="n">
        <v>0</v>
      </c>
      <c r="Q163" s="0" t="str">
        <f aca="false">IF(OR(AND(M163=0,P163&gt;0),AND(M163=1,P163&lt;=0)),"Yes","No")</f>
        <v>No</v>
      </c>
      <c r="R163" s="0" t="str">
        <f aca="false">IF(AND(M163=1,P163&gt;calc_helpers!$B$5),"Yes","No")</f>
        <v>No</v>
      </c>
      <c r="S163" s="0" t="n">
        <v>0</v>
      </c>
      <c r="T163" s="0" t="str">
        <f aca="false">IF(S163&gt;0,"Yes","No")</f>
        <v>No</v>
      </c>
      <c r="U163" s="0" t="n">
        <v>0</v>
      </c>
      <c r="W163" s="0" t="str">
        <f aca="false">IF(OR(AND(M163=1,ISBLANK(V163)),AND(M163=0,NOT(ISBLANK(V163)))),"Yes","No")</f>
        <v>No</v>
      </c>
      <c r="Y163" s="3" t="s">
        <v>168</v>
      </c>
      <c r="Z163" s="0" t="str">
        <f aca="false">IF(M163=1,P163,"")</f>
        <v/>
      </c>
    </row>
    <row r="164" customFormat="false" ht="15" hidden="false" customHeight="false" outlineLevel="0" collapsed="false">
      <c r="A164" s="0" t="s">
        <v>207</v>
      </c>
      <c r="B164" s="2" t="n">
        <v>45758</v>
      </c>
      <c r="C164" s="3" t="s">
        <v>27</v>
      </c>
      <c r="D164" s="3" t="s">
        <v>43</v>
      </c>
      <c r="E164" s="3" t="s">
        <v>35</v>
      </c>
      <c r="F164" s="3" t="s">
        <v>30</v>
      </c>
      <c r="G164" s="3" t="s">
        <v>36</v>
      </c>
      <c r="H164" s="3" t="s">
        <v>30</v>
      </c>
      <c r="I164" s="3" t="s">
        <v>32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str">
        <f aca="false">IF(OR(NOT(OR(J164=0,J164=1)),NOT(OR(K164=0,K164=1)),NOT(OR(L164=0,L164=1)),NOT(OR(M164=0,M164=1)),NOT(OR(U164=0,U164=1))),"Yes","No")</f>
        <v>No</v>
      </c>
      <c r="O164" s="0" t="str">
        <f aca="false">IF(OR(AND(M164=1,L164=0),AND(L164=1,K164=0),AND(K164=1,J164=0)),"Yes","No")</f>
        <v>No</v>
      </c>
      <c r="P164" s="0" t="n">
        <v>0</v>
      </c>
      <c r="Q164" s="0" t="str">
        <f aca="false">IF(OR(AND(M164=0,P164&gt;0),AND(M164=1,P164&lt;=0)),"Yes","No")</f>
        <v>No</v>
      </c>
      <c r="R164" s="0" t="str">
        <f aca="false">IF(AND(M164=1,P164&gt;calc_helpers!$B$5),"Yes","No")</f>
        <v>No</v>
      </c>
      <c r="S164" s="0" t="n">
        <v>1</v>
      </c>
      <c r="T164" s="0" t="str">
        <f aca="false">IF(S164&gt;0,"Yes","No")</f>
        <v>Yes</v>
      </c>
      <c r="U164" s="0" t="n">
        <v>0</v>
      </c>
      <c r="W164" s="0" t="str">
        <f aca="false">IF(OR(AND(M164=1,ISBLANK(V164)),AND(M164=0,NOT(ISBLANK(V164)))),"Yes","No")</f>
        <v>No</v>
      </c>
      <c r="X164" s="0" t="n">
        <v>64.8</v>
      </c>
      <c r="Y164" s="3" t="s">
        <v>30</v>
      </c>
      <c r="Z164" s="0" t="str">
        <f aca="false">IF(M164=1,P164,"")</f>
        <v/>
      </c>
    </row>
    <row r="165" customFormat="false" ht="15" hidden="false" customHeight="false" outlineLevel="0" collapsed="false">
      <c r="A165" s="0" t="s">
        <v>208</v>
      </c>
      <c r="B165" s="2" t="n">
        <v>45702</v>
      </c>
      <c r="C165" s="3" t="s">
        <v>27</v>
      </c>
      <c r="D165" s="3" t="s">
        <v>39</v>
      </c>
      <c r="E165" s="3" t="s">
        <v>35</v>
      </c>
      <c r="F165" s="3" t="s">
        <v>30</v>
      </c>
      <c r="G165" s="3" t="s">
        <v>36</v>
      </c>
      <c r="H165" s="3" t="s">
        <v>30</v>
      </c>
      <c r="I165" s="3" t="s">
        <v>37</v>
      </c>
      <c r="J165" s="0" t="n">
        <v>0</v>
      </c>
      <c r="K165" s="0" t="n">
        <v>0</v>
      </c>
      <c r="L165" s="0" t="n">
        <v>0</v>
      </c>
      <c r="M165" s="0" t="n">
        <v>0</v>
      </c>
      <c r="N165" s="0" t="str">
        <f aca="false">IF(OR(NOT(OR(J165=0,J165=1)),NOT(OR(K165=0,K165=1)),NOT(OR(L165=0,L165=1)),NOT(OR(M165=0,M165=1)),NOT(OR(U165=0,U165=1))),"Yes","No")</f>
        <v>No</v>
      </c>
      <c r="O165" s="0" t="str">
        <f aca="false">IF(OR(AND(M165=1,L165=0),AND(L165=1,K165=0),AND(K165=1,J165=0)),"Yes","No")</f>
        <v>No</v>
      </c>
      <c r="P165" s="0" t="n">
        <v>0</v>
      </c>
      <c r="Q165" s="0" t="str">
        <f aca="false">IF(OR(AND(M165=0,P165&gt;0),AND(M165=1,P165&lt;=0)),"Yes","No")</f>
        <v>No</v>
      </c>
      <c r="R165" s="0" t="str">
        <f aca="false">IF(AND(M165=1,P165&gt;calc_helpers!$B$5),"Yes","No")</f>
        <v>No</v>
      </c>
      <c r="S165" s="0" t="n">
        <v>0</v>
      </c>
      <c r="T165" s="0" t="str">
        <f aca="false">IF(S165&gt;0,"Yes","No")</f>
        <v>No</v>
      </c>
      <c r="U165" s="0" t="n">
        <v>0</v>
      </c>
      <c r="W165" s="0" t="str">
        <f aca="false">IF(OR(AND(M165=1,ISBLANK(V165)),AND(M165=0,NOT(ISBLANK(V165)))),"Yes","No")</f>
        <v>No</v>
      </c>
      <c r="X165" s="0" t="n">
        <v>72.1</v>
      </c>
      <c r="Y165" s="3" t="s">
        <v>30</v>
      </c>
      <c r="Z165" s="0" t="str">
        <f aca="false">IF(M165=1,P165,"")</f>
        <v/>
      </c>
    </row>
    <row r="166" customFormat="false" ht="15" hidden="false" customHeight="false" outlineLevel="0" collapsed="false">
      <c r="A166" s="0" t="s">
        <v>209</v>
      </c>
      <c r="B166" s="2" t="n">
        <v>45796</v>
      </c>
      <c r="C166" s="3" t="s">
        <v>27</v>
      </c>
      <c r="D166" s="3" t="s">
        <v>39</v>
      </c>
      <c r="E166" s="3" t="s">
        <v>35</v>
      </c>
      <c r="F166" s="3" t="s">
        <v>30</v>
      </c>
      <c r="G166" s="3" t="s">
        <v>52</v>
      </c>
      <c r="H166" s="3" t="s">
        <v>30</v>
      </c>
      <c r="I166" s="3" t="s">
        <v>37</v>
      </c>
      <c r="J166" s="0" t="n">
        <v>1</v>
      </c>
      <c r="K166" s="0" t="n">
        <v>0</v>
      </c>
      <c r="L166" s="0" t="n">
        <v>0</v>
      </c>
      <c r="M166" s="0" t="n">
        <v>0</v>
      </c>
      <c r="N166" s="0" t="str">
        <f aca="false">IF(OR(NOT(OR(J166=0,J166=1)),NOT(OR(K166=0,K166=1)),NOT(OR(L166=0,L166=1)),NOT(OR(M166=0,M166=1)),NOT(OR(U166=0,U166=1))),"Yes","No")</f>
        <v>No</v>
      </c>
      <c r="O166" s="0" t="str">
        <f aca="false">IF(OR(AND(M166=1,L166=0),AND(L166=1,K166=0),AND(K166=1,J166=0)),"Yes","No")</f>
        <v>No</v>
      </c>
      <c r="P166" s="0" t="n">
        <v>0</v>
      </c>
      <c r="Q166" s="0" t="str">
        <f aca="false">IF(OR(AND(M166=0,P166&gt;0),AND(M166=1,P166&lt;=0)),"Yes","No")</f>
        <v>No</v>
      </c>
      <c r="R166" s="0" t="str">
        <f aca="false">IF(AND(M166=1,P166&gt;calc_helpers!$B$5),"Yes","No")</f>
        <v>No</v>
      </c>
      <c r="S166" s="0" t="n">
        <v>0</v>
      </c>
      <c r="T166" s="0" t="str">
        <f aca="false">IF(S166&gt;0,"Yes","No")</f>
        <v>No</v>
      </c>
      <c r="U166" s="0" t="n">
        <v>0</v>
      </c>
      <c r="W166" s="0" t="str">
        <f aca="false">IF(OR(AND(M166=1,ISBLANK(V166)),AND(M166=0,NOT(ISBLANK(V166)))),"Yes","No")</f>
        <v>No</v>
      </c>
      <c r="X166" s="0" t="n">
        <v>50.6</v>
      </c>
      <c r="Y166" s="3" t="s">
        <v>30</v>
      </c>
      <c r="Z166" s="0" t="str">
        <f aca="false">IF(M166=1,P166,"")</f>
        <v/>
      </c>
    </row>
    <row r="167" customFormat="false" ht="15" hidden="false" customHeight="false" outlineLevel="0" collapsed="false">
      <c r="A167" s="0" t="s">
        <v>210</v>
      </c>
      <c r="B167" s="2" t="n">
        <v>45773</v>
      </c>
      <c r="C167" s="3" t="s">
        <v>27</v>
      </c>
      <c r="D167" s="3" t="s">
        <v>28</v>
      </c>
      <c r="E167" s="3" t="s">
        <v>29</v>
      </c>
      <c r="F167" s="3" t="s">
        <v>30</v>
      </c>
      <c r="G167" s="3" t="s">
        <v>40</v>
      </c>
      <c r="H167" s="3" t="s">
        <v>30</v>
      </c>
      <c r="I167" s="3" t="s">
        <v>32</v>
      </c>
      <c r="J167" s="0" t="n">
        <v>1</v>
      </c>
      <c r="K167" s="0" t="n">
        <v>1</v>
      </c>
      <c r="L167" s="0" t="n">
        <v>1</v>
      </c>
      <c r="M167" s="0" t="n">
        <v>1</v>
      </c>
      <c r="N167" s="0" t="str">
        <f aca="false">IF(OR(NOT(OR(J167=0,J167=1)),NOT(OR(K167=0,K167=1)),NOT(OR(L167=0,L167=1)),NOT(OR(M167=0,M167=1)),NOT(OR(U167=0,U167=1))),"Yes","No")</f>
        <v>No</v>
      </c>
      <c r="O167" s="0" t="str">
        <f aca="false">IF(OR(AND(M167=1,L167=0),AND(L167=1,K167=0),AND(K167=1,J167=0)),"Yes","No")</f>
        <v>No</v>
      </c>
      <c r="P167" s="0" t="n">
        <v>1281.25</v>
      </c>
      <c r="Q167" s="0" t="str">
        <f aca="false">IF(OR(AND(M167=0,P167&gt;0),AND(M167=1,P167&lt;=0)),"Yes","No")</f>
        <v>No</v>
      </c>
      <c r="R167" s="0" t="str">
        <f aca="false">IF(AND(M167=1,P167&gt;calc_helpers!$B$5),"Yes","No")</f>
        <v>No</v>
      </c>
      <c r="S167" s="0" t="n">
        <v>1</v>
      </c>
      <c r="T167" s="0" t="str">
        <f aca="false">IF(S167&gt;0,"Yes","No")</f>
        <v>Yes</v>
      </c>
      <c r="U167" s="0" t="n">
        <v>0</v>
      </c>
      <c r="V167" s="0" t="n">
        <v>9</v>
      </c>
      <c r="W167" s="0" t="str">
        <f aca="false">IF(OR(AND(M167=1,ISBLANK(V167)),AND(M167=0,NOT(ISBLANK(V167)))),"Yes","No")</f>
        <v>No</v>
      </c>
      <c r="X167" s="0" t="n">
        <v>43.4</v>
      </c>
      <c r="Y167" s="3" t="s">
        <v>30</v>
      </c>
      <c r="Z167" s="3" t="n">
        <f aca="false">IF(M167=1,P167,"")</f>
        <v>1281.25</v>
      </c>
    </row>
    <row r="168" customFormat="false" ht="15" hidden="false" customHeight="false" outlineLevel="0" collapsed="false">
      <c r="A168" s="0" t="s">
        <v>211</v>
      </c>
      <c r="B168" s="2" t="n">
        <v>45753</v>
      </c>
      <c r="C168" s="3" t="s">
        <v>27</v>
      </c>
      <c r="D168" s="3" t="s">
        <v>43</v>
      </c>
      <c r="E168" s="3" t="s">
        <v>35</v>
      </c>
      <c r="F168" s="3" t="s">
        <v>30</v>
      </c>
      <c r="G168" s="3" t="s">
        <v>52</v>
      </c>
      <c r="H168" s="3" t="s">
        <v>30</v>
      </c>
      <c r="I168" s="3" t="s">
        <v>37</v>
      </c>
      <c r="J168" s="0" t="n">
        <v>1</v>
      </c>
      <c r="K168" s="0" t="n">
        <v>0</v>
      </c>
      <c r="L168" s="0" t="n">
        <v>0</v>
      </c>
      <c r="M168" s="0" t="n">
        <v>0</v>
      </c>
      <c r="N168" s="0" t="str">
        <f aca="false">IF(OR(NOT(OR(J168=0,J168=1)),NOT(OR(K168=0,K168=1)),NOT(OR(L168=0,L168=1)),NOT(OR(M168=0,M168=1)),NOT(OR(U168=0,U168=1))),"Yes","No")</f>
        <v>No</v>
      </c>
      <c r="O168" s="0" t="str">
        <f aca="false">IF(OR(AND(M168=1,L168=0),AND(L168=1,K168=0),AND(K168=1,J168=0)),"Yes","No")</f>
        <v>No</v>
      </c>
      <c r="P168" s="0" t="n">
        <v>0</v>
      </c>
      <c r="Q168" s="0" t="str">
        <f aca="false">IF(OR(AND(M168=0,P168&gt;0),AND(M168=1,P168&lt;=0)),"Yes","No")</f>
        <v>No</v>
      </c>
      <c r="R168" s="0" t="str">
        <f aca="false">IF(AND(M168=1,P168&gt;calc_helpers!$B$5),"Yes","No")</f>
        <v>No</v>
      </c>
      <c r="S168" s="0" t="n">
        <v>0</v>
      </c>
      <c r="T168" s="0" t="str">
        <f aca="false">IF(S168&gt;0,"Yes","No")</f>
        <v>No</v>
      </c>
      <c r="U168" s="0" t="n">
        <v>0</v>
      </c>
      <c r="W168" s="0" t="str">
        <f aca="false">IF(OR(AND(M168=1,ISBLANK(V168)),AND(M168=0,NOT(ISBLANK(V168)))),"Yes","No")</f>
        <v>No</v>
      </c>
      <c r="X168" s="0" t="n">
        <v>59.7</v>
      </c>
      <c r="Y168" s="3" t="s">
        <v>30</v>
      </c>
      <c r="Z168" s="0" t="str">
        <f aca="false">IF(M168=1,P168,"")</f>
        <v/>
      </c>
    </row>
    <row r="169" customFormat="false" ht="15" hidden="false" customHeight="false" outlineLevel="0" collapsed="false">
      <c r="A169" s="0" t="s">
        <v>212</v>
      </c>
      <c r="B169" s="2" t="n">
        <v>45722</v>
      </c>
      <c r="C169" s="3" t="s">
        <v>27</v>
      </c>
      <c r="D169" s="3" t="s">
        <v>43</v>
      </c>
      <c r="E169" s="3" t="s">
        <v>35</v>
      </c>
      <c r="F169" s="3" t="s">
        <v>30</v>
      </c>
      <c r="G169" s="3" t="s">
        <v>40</v>
      </c>
      <c r="H169" s="3" t="s">
        <v>30</v>
      </c>
      <c r="I169" s="3" t="s">
        <v>37</v>
      </c>
      <c r="J169" s="0" t="n">
        <v>1</v>
      </c>
      <c r="K169" s="0" t="n">
        <v>0</v>
      </c>
      <c r="L169" s="0" t="n">
        <v>0</v>
      </c>
      <c r="M169" s="0" t="n">
        <v>0</v>
      </c>
      <c r="N169" s="0" t="str">
        <f aca="false">IF(OR(NOT(OR(J169=0,J169=1)),NOT(OR(K169=0,K169=1)),NOT(OR(L169=0,L169=1)),NOT(OR(M169=0,M169=1)),NOT(OR(U169=0,U169=1))),"Yes","No")</f>
        <v>No</v>
      </c>
      <c r="O169" s="0" t="str">
        <f aca="false">IF(OR(AND(M169=1,L169=0),AND(L169=1,K169=0),AND(K169=1,J169=0)),"Yes","No")</f>
        <v>No</v>
      </c>
      <c r="P169" s="0" t="n">
        <v>0</v>
      </c>
      <c r="Q169" s="0" t="str">
        <f aca="false">IF(OR(AND(M169=0,P169&gt;0),AND(M169=1,P169&lt;=0)),"Yes","No")</f>
        <v>No</v>
      </c>
      <c r="R169" s="0" t="str">
        <f aca="false">IF(AND(M169=1,P169&gt;calc_helpers!$B$5),"Yes","No")</f>
        <v>No</v>
      </c>
      <c r="S169" s="0" t="n">
        <v>1</v>
      </c>
      <c r="T169" s="0" t="str">
        <f aca="false">IF(S169&gt;0,"Yes","No")</f>
        <v>Yes</v>
      </c>
      <c r="U169" s="0" t="n">
        <v>0</v>
      </c>
      <c r="W169" s="0" t="str">
        <f aca="false">IF(OR(AND(M169=1,ISBLANK(V169)),AND(M169=0,NOT(ISBLANK(V169)))),"Yes","No")</f>
        <v>No</v>
      </c>
      <c r="Y169" s="3" t="s">
        <v>168</v>
      </c>
      <c r="Z169" s="0" t="str">
        <f aca="false">IF(M169=1,P169,"")</f>
        <v/>
      </c>
    </row>
    <row r="170" customFormat="false" ht="15" hidden="false" customHeight="false" outlineLevel="0" collapsed="false">
      <c r="A170" s="0" t="s">
        <v>213</v>
      </c>
      <c r="B170" s="2" t="n">
        <v>45726</v>
      </c>
      <c r="C170" s="3" t="s">
        <v>27</v>
      </c>
      <c r="D170" s="3" t="s">
        <v>34</v>
      </c>
      <c r="E170" s="3" t="s">
        <v>35</v>
      </c>
      <c r="F170" s="3" t="s">
        <v>30</v>
      </c>
      <c r="G170" s="3" t="s">
        <v>52</v>
      </c>
      <c r="H170" s="3" t="s">
        <v>30</v>
      </c>
      <c r="I170" s="3" t="s">
        <v>32</v>
      </c>
      <c r="J170" s="0" t="n">
        <v>0</v>
      </c>
      <c r="K170" s="0" t="n">
        <v>0</v>
      </c>
      <c r="L170" s="0" t="n">
        <v>0</v>
      </c>
      <c r="M170" s="0" t="n">
        <v>0</v>
      </c>
      <c r="N170" s="0" t="str">
        <f aca="false">IF(OR(NOT(OR(J170=0,J170=1)),NOT(OR(K170=0,K170=1)),NOT(OR(L170=0,L170=1)),NOT(OR(M170=0,M170=1)),NOT(OR(U170=0,U170=1))),"Yes","No")</f>
        <v>No</v>
      </c>
      <c r="O170" s="0" t="str">
        <f aca="false">IF(OR(AND(M170=1,L170=0),AND(L170=1,K170=0),AND(K170=1,J170=0)),"Yes","No")</f>
        <v>No</v>
      </c>
      <c r="P170" s="0" t="n">
        <v>0</v>
      </c>
      <c r="Q170" s="0" t="str">
        <f aca="false">IF(OR(AND(M170=0,P170&gt;0),AND(M170=1,P170&lt;=0)),"Yes","No")</f>
        <v>No</v>
      </c>
      <c r="R170" s="0" t="str">
        <f aca="false">IF(AND(M170=1,P170&gt;calc_helpers!$B$5),"Yes","No")</f>
        <v>No</v>
      </c>
      <c r="S170" s="0" t="n">
        <v>0</v>
      </c>
      <c r="T170" s="0" t="str">
        <f aca="false">IF(S170&gt;0,"Yes","No")</f>
        <v>No</v>
      </c>
      <c r="U170" s="0" t="n">
        <v>0</v>
      </c>
      <c r="W170" s="0" t="str">
        <f aca="false">IF(OR(AND(M170=1,ISBLANK(V170)),AND(M170=0,NOT(ISBLANK(V170)))),"Yes","No")</f>
        <v>No</v>
      </c>
      <c r="X170" s="0" t="n">
        <v>54.5</v>
      </c>
      <c r="Y170" s="3" t="s">
        <v>30</v>
      </c>
      <c r="Z170" s="0" t="str">
        <f aca="false">IF(M170=1,P170,"")</f>
        <v/>
      </c>
    </row>
    <row r="171" customFormat="false" ht="15" hidden="false" customHeight="false" outlineLevel="0" collapsed="false">
      <c r="A171" s="0" t="s">
        <v>214</v>
      </c>
      <c r="B171" s="2" t="n">
        <v>45746</v>
      </c>
      <c r="C171" s="3" t="s">
        <v>27</v>
      </c>
      <c r="D171" s="3" t="s">
        <v>28</v>
      </c>
      <c r="E171" s="3" t="s">
        <v>35</v>
      </c>
      <c r="F171" s="3" t="s">
        <v>30</v>
      </c>
      <c r="G171" s="3" t="s">
        <v>36</v>
      </c>
      <c r="H171" s="3" t="s">
        <v>30</v>
      </c>
      <c r="I171" s="3" t="s">
        <v>37</v>
      </c>
      <c r="J171" s="0" t="n">
        <v>1</v>
      </c>
      <c r="K171" s="0" t="n">
        <v>0</v>
      </c>
      <c r="L171" s="0" t="n">
        <v>0</v>
      </c>
      <c r="M171" s="0" t="n">
        <v>0</v>
      </c>
      <c r="N171" s="0" t="str">
        <f aca="false">IF(OR(NOT(OR(J171=0,J171=1)),NOT(OR(K171=0,K171=1)),NOT(OR(L171=0,L171=1)),NOT(OR(M171=0,M171=1)),NOT(OR(U171=0,U171=1))),"Yes","No")</f>
        <v>No</v>
      </c>
      <c r="O171" s="0" t="str">
        <f aca="false">IF(OR(AND(M171=1,L171=0),AND(L171=1,K171=0),AND(K171=1,J171=0)),"Yes","No")</f>
        <v>No</v>
      </c>
      <c r="P171" s="0" t="n">
        <v>0</v>
      </c>
      <c r="Q171" s="0" t="str">
        <f aca="false">IF(OR(AND(M171=0,P171&gt;0),AND(M171=1,P171&lt;=0)),"Yes","No")</f>
        <v>No</v>
      </c>
      <c r="R171" s="0" t="str">
        <f aca="false">IF(AND(M171=1,P171&gt;calc_helpers!$B$5),"Yes","No")</f>
        <v>No</v>
      </c>
      <c r="S171" s="0" t="n">
        <v>0</v>
      </c>
      <c r="T171" s="0" t="str">
        <f aca="false">IF(S171&gt;0,"Yes","No")</f>
        <v>No</v>
      </c>
      <c r="U171" s="0" t="n">
        <v>0</v>
      </c>
      <c r="W171" s="0" t="str">
        <f aca="false">IF(OR(AND(M171=1,ISBLANK(V171)),AND(M171=0,NOT(ISBLANK(V171)))),"Yes","No")</f>
        <v>No</v>
      </c>
      <c r="X171" s="0" t="n">
        <v>71.1</v>
      </c>
      <c r="Y171" s="3" t="s">
        <v>30</v>
      </c>
      <c r="Z171" s="0" t="str">
        <f aca="false">IF(M171=1,P171,"")</f>
        <v/>
      </c>
    </row>
    <row r="172" customFormat="false" ht="15" hidden="false" customHeight="false" outlineLevel="0" collapsed="false">
      <c r="A172" s="0" t="s">
        <v>215</v>
      </c>
      <c r="B172" s="2" t="n">
        <v>45806</v>
      </c>
      <c r="C172" s="3" t="s">
        <v>27</v>
      </c>
      <c r="D172" s="3" t="s">
        <v>39</v>
      </c>
      <c r="E172" s="3" t="s">
        <v>167</v>
      </c>
      <c r="F172" s="3" t="s">
        <v>168</v>
      </c>
      <c r="G172" s="3" t="s">
        <v>40</v>
      </c>
      <c r="H172" s="3" t="s">
        <v>30</v>
      </c>
      <c r="I172" s="3" t="s">
        <v>37</v>
      </c>
      <c r="J172" s="0" t="n">
        <v>1</v>
      </c>
      <c r="K172" s="0" t="n">
        <v>1</v>
      </c>
      <c r="L172" s="0" t="n">
        <v>1</v>
      </c>
      <c r="M172" s="0" t="n">
        <v>0</v>
      </c>
      <c r="N172" s="0" t="str">
        <f aca="false">IF(OR(NOT(OR(J172=0,J172=1)),NOT(OR(K172=0,K172=1)),NOT(OR(L172=0,L172=1)),NOT(OR(M172=0,M172=1)),NOT(OR(U172=0,U172=1))),"Yes","No")</f>
        <v>No</v>
      </c>
      <c r="O172" s="0" t="str">
        <f aca="false">IF(OR(AND(M172=1,L172=0),AND(L172=1,K172=0),AND(K172=1,J172=0)),"Yes","No")</f>
        <v>No</v>
      </c>
      <c r="P172" s="0" t="n">
        <v>0</v>
      </c>
      <c r="Q172" s="0" t="str">
        <f aca="false">IF(OR(AND(M172=0,P172&gt;0),AND(M172=1,P172&lt;=0)),"Yes","No")</f>
        <v>No</v>
      </c>
      <c r="R172" s="0" t="str">
        <f aca="false">IF(AND(M172=1,P172&gt;calc_helpers!$B$5),"Yes","No")</f>
        <v>No</v>
      </c>
      <c r="S172" s="0" t="n">
        <v>0</v>
      </c>
      <c r="T172" s="0" t="str">
        <f aca="false">IF(S172&gt;0,"Yes","No")</f>
        <v>No</v>
      </c>
      <c r="U172" s="0" t="n">
        <v>0</v>
      </c>
      <c r="W172" s="0" t="str">
        <f aca="false">IF(OR(AND(M172=1,ISBLANK(V172)),AND(M172=0,NOT(ISBLANK(V172)))),"Yes","No")</f>
        <v>No</v>
      </c>
      <c r="X172" s="0" t="n">
        <v>44.4</v>
      </c>
      <c r="Y172" s="3" t="s">
        <v>30</v>
      </c>
      <c r="Z172" s="0" t="str">
        <f aca="false">IF(M172=1,P172,"")</f>
        <v/>
      </c>
    </row>
    <row r="173" customFormat="false" ht="15" hidden="false" customHeight="false" outlineLevel="0" collapsed="false">
      <c r="A173" s="0" t="s">
        <v>216</v>
      </c>
      <c r="B173" s="2" t="n">
        <v>45739</v>
      </c>
      <c r="C173" s="3" t="s">
        <v>27</v>
      </c>
      <c r="D173" s="3" t="s">
        <v>28</v>
      </c>
      <c r="E173" s="3" t="s">
        <v>35</v>
      </c>
      <c r="F173" s="3" t="s">
        <v>30</v>
      </c>
      <c r="G173" s="3" t="s">
        <v>36</v>
      </c>
      <c r="H173" s="3" t="s">
        <v>30</v>
      </c>
      <c r="I173" s="3" t="s">
        <v>37</v>
      </c>
      <c r="J173" s="0" t="n">
        <v>1</v>
      </c>
      <c r="K173" s="0" t="n">
        <v>0</v>
      </c>
      <c r="L173" s="0" t="n">
        <v>0</v>
      </c>
      <c r="M173" s="0" t="n">
        <v>0</v>
      </c>
      <c r="N173" s="0" t="str">
        <f aca="false">IF(OR(NOT(OR(J173=0,J173=1)),NOT(OR(K173=0,K173=1)),NOT(OR(L173=0,L173=1)),NOT(OR(M173=0,M173=1)),NOT(OR(U173=0,U173=1))),"Yes","No")</f>
        <v>No</v>
      </c>
      <c r="O173" s="0" t="str">
        <f aca="false">IF(OR(AND(M173=1,L173=0),AND(L173=1,K173=0),AND(K173=1,J173=0)),"Yes","No")</f>
        <v>No</v>
      </c>
      <c r="P173" s="0" t="n">
        <v>0</v>
      </c>
      <c r="Q173" s="0" t="str">
        <f aca="false">IF(OR(AND(M173=0,P173&gt;0),AND(M173=1,P173&lt;=0)),"Yes","No")</f>
        <v>No</v>
      </c>
      <c r="R173" s="0" t="str">
        <f aca="false">IF(AND(M173=1,P173&gt;calc_helpers!$B$5),"Yes","No")</f>
        <v>No</v>
      </c>
      <c r="S173" s="0" t="n">
        <v>0</v>
      </c>
      <c r="T173" s="0" t="str">
        <f aca="false">IF(S173&gt;0,"Yes","No")</f>
        <v>No</v>
      </c>
      <c r="U173" s="0" t="n">
        <v>0</v>
      </c>
      <c r="W173" s="0" t="str">
        <f aca="false">IF(OR(AND(M173=1,ISBLANK(V173)),AND(M173=0,NOT(ISBLANK(V173)))),"Yes","No")</f>
        <v>No</v>
      </c>
      <c r="X173" s="0" t="n">
        <v>61.7</v>
      </c>
      <c r="Y173" s="3" t="s">
        <v>30</v>
      </c>
      <c r="Z173" s="0" t="str">
        <f aca="false">IF(M173=1,P173,"")</f>
        <v/>
      </c>
    </row>
    <row r="174" customFormat="false" ht="15" hidden="false" customHeight="false" outlineLevel="0" collapsed="false">
      <c r="A174" s="0" t="s">
        <v>217</v>
      </c>
      <c r="B174" s="2" t="n">
        <v>45706</v>
      </c>
      <c r="C174" s="3" t="s">
        <v>27</v>
      </c>
      <c r="D174" s="3" t="s">
        <v>28</v>
      </c>
      <c r="E174" s="3" t="s">
        <v>45</v>
      </c>
      <c r="F174" s="3" t="s">
        <v>30</v>
      </c>
      <c r="G174" s="3" t="s">
        <v>36</v>
      </c>
      <c r="H174" s="3" t="s">
        <v>30</v>
      </c>
      <c r="I174" s="3" t="s">
        <v>32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str">
        <f aca="false">IF(OR(NOT(OR(J174=0,J174=1)),NOT(OR(K174=0,K174=1)),NOT(OR(L174=0,L174=1)),NOT(OR(M174=0,M174=1)),NOT(OR(U174=0,U174=1))),"Yes","No")</f>
        <v>No</v>
      </c>
      <c r="O174" s="0" t="str">
        <f aca="false">IF(OR(AND(M174=1,L174=0),AND(L174=1,K174=0),AND(K174=1,J174=0)),"Yes","No")</f>
        <v>No</v>
      </c>
      <c r="P174" s="0" t="n">
        <v>0</v>
      </c>
      <c r="Q174" s="0" t="str">
        <f aca="false">IF(OR(AND(M174=0,P174&gt;0),AND(M174=1,P174&lt;=0)),"Yes","No")</f>
        <v>No</v>
      </c>
      <c r="R174" s="0" t="str">
        <f aca="false">IF(AND(M174=1,P174&gt;calc_helpers!$B$5),"Yes","No")</f>
        <v>No</v>
      </c>
      <c r="S174" s="0" t="n">
        <v>1</v>
      </c>
      <c r="T174" s="0" t="str">
        <f aca="false">IF(S174&gt;0,"Yes","No")</f>
        <v>Yes</v>
      </c>
      <c r="U174" s="0" t="n">
        <v>0</v>
      </c>
      <c r="W174" s="0" t="str">
        <f aca="false">IF(OR(AND(M174=1,ISBLANK(V174)),AND(M174=0,NOT(ISBLANK(V174)))),"Yes","No")</f>
        <v>No</v>
      </c>
      <c r="X174" s="0" t="n">
        <v>81.3</v>
      </c>
      <c r="Y174" s="3" t="s">
        <v>30</v>
      </c>
      <c r="Z174" s="0" t="str">
        <f aca="false">IF(M174=1,P174,"")</f>
        <v/>
      </c>
    </row>
    <row r="175" customFormat="false" ht="15" hidden="false" customHeight="false" outlineLevel="0" collapsed="false">
      <c r="A175" s="0" t="s">
        <v>218</v>
      </c>
      <c r="B175" s="2" t="n">
        <v>45683</v>
      </c>
      <c r="C175" s="3" t="s">
        <v>27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30</v>
      </c>
      <c r="I175" s="3" t="s">
        <v>37</v>
      </c>
      <c r="J175" s="0" t="n">
        <v>1</v>
      </c>
      <c r="K175" s="0" t="n">
        <v>0</v>
      </c>
      <c r="L175" s="0" t="n">
        <v>0</v>
      </c>
      <c r="M175" s="0" t="n">
        <v>0</v>
      </c>
      <c r="N175" s="0" t="str">
        <f aca="false">IF(OR(NOT(OR(J175=0,J175=1)),NOT(OR(K175=0,K175=1)),NOT(OR(L175=0,L175=1)),NOT(OR(M175=0,M175=1)),NOT(OR(U175=0,U175=1))),"Yes","No")</f>
        <v>No</v>
      </c>
      <c r="O175" s="0" t="str">
        <f aca="false">IF(OR(AND(M175=1,L175=0),AND(L175=1,K175=0),AND(K175=1,J175=0)),"Yes","No")</f>
        <v>No</v>
      </c>
      <c r="P175" s="0" t="n">
        <v>0</v>
      </c>
      <c r="Q175" s="0" t="str">
        <f aca="false">IF(OR(AND(M175=0,P175&gt;0),AND(M175=1,P175&lt;=0)),"Yes","No")</f>
        <v>No</v>
      </c>
      <c r="R175" s="0" t="str">
        <f aca="false">IF(AND(M175=1,P175&gt;calc_helpers!$B$5),"Yes","No")</f>
        <v>No</v>
      </c>
      <c r="S175" s="0" t="n">
        <v>2</v>
      </c>
      <c r="T175" s="0" t="str">
        <f aca="false">IF(S175&gt;0,"Yes","No")</f>
        <v>Yes</v>
      </c>
      <c r="U175" s="0" t="n">
        <v>0</v>
      </c>
      <c r="W175" s="0" t="str">
        <f aca="false">IF(OR(AND(M175=1,ISBLANK(V175)),AND(M175=0,NOT(ISBLANK(V175)))),"Yes","No")</f>
        <v>No</v>
      </c>
      <c r="X175" s="0" t="n">
        <v>28.7</v>
      </c>
      <c r="Y175" s="3" t="s">
        <v>30</v>
      </c>
      <c r="Z175" s="0" t="str">
        <f aca="false">IF(M175=1,P175,"")</f>
        <v/>
      </c>
    </row>
    <row r="176" customFormat="false" ht="15" hidden="false" customHeight="false" outlineLevel="0" collapsed="false">
      <c r="A176" s="0" t="s">
        <v>219</v>
      </c>
      <c r="B176" s="2" t="n">
        <v>45770</v>
      </c>
      <c r="C176" s="3" t="s">
        <v>27</v>
      </c>
      <c r="D176" s="3" t="s">
        <v>39</v>
      </c>
      <c r="E176" s="3" t="s">
        <v>35</v>
      </c>
      <c r="F176" s="3" t="s">
        <v>30</v>
      </c>
      <c r="G176" s="3" t="s">
        <v>52</v>
      </c>
      <c r="H176" s="3" t="s">
        <v>30</v>
      </c>
      <c r="I176" s="3" t="s">
        <v>32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str">
        <f aca="false">IF(OR(NOT(OR(J176=0,J176=1)),NOT(OR(K176=0,K176=1)),NOT(OR(L176=0,L176=1)),NOT(OR(M176=0,M176=1)),NOT(OR(U176=0,U176=1))),"Yes","No")</f>
        <v>No</v>
      </c>
      <c r="O176" s="0" t="str">
        <f aca="false">IF(OR(AND(M176=1,L176=0),AND(L176=1,K176=0),AND(K176=1,J176=0)),"Yes","No")</f>
        <v>No</v>
      </c>
      <c r="P176" s="0" t="n">
        <v>0</v>
      </c>
      <c r="Q176" s="0" t="str">
        <f aca="false">IF(OR(AND(M176=0,P176&gt;0),AND(M176=1,P176&lt;=0)),"Yes","No")</f>
        <v>No</v>
      </c>
      <c r="R176" s="0" t="str">
        <f aca="false">IF(AND(M176=1,P176&gt;calc_helpers!$B$5),"Yes","No")</f>
        <v>No</v>
      </c>
      <c r="S176" s="0" t="n">
        <v>0</v>
      </c>
      <c r="T176" s="0" t="str">
        <f aca="false">IF(S176&gt;0,"Yes","No")</f>
        <v>No</v>
      </c>
      <c r="U176" s="0" t="n">
        <v>0</v>
      </c>
      <c r="W176" s="0" t="str">
        <f aca="false">IF(OR(AND(M176=1,ISBLANK(V176)),AND(M176=0,NOT(ISBLANK(V176)))),"Yes","No")</f>
        <v>No</v>
      </c>
      <c r="X176" s="0" t="n">
        <v>53</v>
      </c>
      <c r="Y176" s="3" t="s">
        <v>30</v>
      </c>
      <c r="Z176" s="0" t="str">
        <f aca="false">IF(M176=1,P176,"")</f>
        <v/>
      </c>
    </row>
    <row r="177" customFormat="false" ht="15" hidden="false" customHeight="false" outlineLevel="0" collapsed="false">
      <c r="A177" s="0" t="s">
        <v>220</v>
      </c>
      <c r="B177" s="2" t="n">
        <v>45732</v>
      </c>
      <c r="C177" s="3" t="s">
        <v>27</v>
      </c>
      <c r="D177" s="3" t="s">
        <v>43</v>
      </c>
      <c r="E177" s="3" t="s">
        <v>45</v>
      </c>
      <c r="F177" s="3" t="s">
        <v>30</v>
      </c>
      <c r="G177" s="3" t="s">
        <v>50</v>
      </c>
      <c r="H177" s="3" t="s">
        <v>30</v>
      </c>
      <c r="I177" s="3" t="s">
        <v>32</v>
      </c>
      <c r="J177" s="0" t="n">
        <v>1</v>
      </c>
      <c r="K177" s="0" t="n">
        <v>0</v>
      </c>
      <c r="L177" s="0" t="n">
        <v>0</v>
      </c>
      <c r="M177" s="0" t="n">
        <v>0</v>
      </c>
      <c r="N177" s="0" t="str">
        <f aca="false">IF(OR(NOT(OR(J177=0,J177=1)),NOT(OR(K177=0,K177=1)),NOT(OR(L177=0,L177=1)),NOT(OR(M177=0,M177=1)),NOT(OR(U177=0,U177=1))),"Yes","No")</f>
        <v>No</v>
      </c>
      <c r="O177" s="0" t="str">
        <f aca="false">IF(OR(AND(M177=1,L177=0),AND(L177=1,K177=0),AND(K177=1,J177=0)),"Yes","No")</f>
        <v>No</v>
      </c>
      <c r="P177" s="0" t="n">
        <v>0</v>
      </c>
      <c r="Q177" s="0" t="str">
        <f aca="false">IF(OR(AND(M177=0,P177&gt;0),AND(M177=1,P177&lt;=0)),"Yes","No")</f>
        <v>No</v>
      </c>
      <c r="R177" s="0" t="str">
        <f aca="false">IF(AND(M177=1,P177&gt;calc_helpers!$B$5),"Yes","No")</f>
        <v>No</v>
      </c>
      <c r="S177" s="0" t="n">
        <v>0</v>
      </c>
      <c r="T177" s="0" t="str">
        <f aca="false">IF(S177&gt;0,"Yes","No")</f>
        <v>No</v>
      </c>
      <c r="U177" s="0" t="n">
        <v>0</v>
      </c>
      <c r="W177" s="0" t="str">
        <f aca="false">IF(OR(AND(M177=1,ISBLANK(V177)),AND(M177=0,NOT(ISBLANK(V177)))),"Yes","No")</f>
        <v>No</v>
      </c>
      <c r="X177" s="0" t="n">
        <v>54.9</v>
      </c>
      <c r="Y177" s="3" t="s">
        <v>30</v>
      </c>
      <c r="Z177" s="0" t="str">
        <f aca="false">IF(M177=1,P177,"")</f>
        <v/>
      </c>
    </row>
    <row r="178" customFormat="false" ht="15" hidden="false" customHeight="false" outlineLevel="0" collapsed="false">
      <c r="A178" s="0" t="s">
        <v>221</v>
      </c>
      <c r="B178" s="2" t="n">
        <v>45776</v>
      </c>
      <c r="C178" s="3" t="s">
        <v>27</v>
      </c>
      <c r="D178" s="3" t="s">
        <v>34</v>
      </c>
      <c r="E178" s="3" t="s">
        <v>35</v>
      </c>
      <c r="F178" s="3" t="s">
        <v>30</v>
      </c>
      <c r="G178" s="3" t="s">
        <v>36</v>
      </c>
      <c r="H178" s="3" t="s">
        <v>30</v>
      </c>
      <c r="I178" s="3" t="s">
        <v>32</v>
      </c>
      <c r="J178" s="0" t="n">
        <v>1</v>
      </c>
      <c r="K178" s="0" t="n">
        <v>0</v>
      </c>
      <c r="L178" s="0" t="n">
        <v>0</v>
      </c>
      <c r="M178" s="0" t="n">
        <v>0</v>
      </c>
      <c r="N178" s="0" t="str">
        <f aca="false">IF(OR(NOT(OR(J178=0,J178=1)),NOT(OR(K178=0,K178=1)),NOT(OR(L178=0,L178=1)),NOT(OR(M178=0,M178=1)),NOT(OR(U178=0,U178=1))),"Yes","No")</f>
        <v>No</v>
      </c>
      <c r="O178" s="0" t="str">
        <f aca="false">IF(OR(AND(M178=1,L178=0),AND(L178=1,K178=0),AND(K178=1,J178=0)),"Yes","No")</f>
        <v>No</v>
      </c>
      <c r="P178" s="0" t="n">
        <v>0</v>
      </c>
      <c r="Q178" s="0" t="str">
        <f aca="false">IF(OR(AND(M178=0,P178&gt;0),AND(M178=1,P178&lt;=0)),"Yes","No")</f>
        <v>No</v>
      </c>
      <c r="R178" s="0" t="str">
        <f aca="false">IF(AND(M178=1,P178&gt;calc_helpers!$B$5),"Yes","No")</f>
        <v>No</v>
      </c>
      <c r="S178" s="0" t="n">
        <v>0</v>
      </c>
      <c r="T178" s="0" t="str">
        <f aca="false">IF(S178&gt;0,"Yes","No")</f>
        <v>No</v>
      </c>
      <c r="U178" s="0" t="n">
        <v>0</v>
      </c>
      <c r="W178" s="0" t="str">
        <f aca="false">IF(OR(AND(M178=1,ISBLANK(V178)),AND(M178=0,NOT(ISBLANK(V178)))),"Yes","No")</f>
        <v>No</v>
      </c>
      <c r="X178" s="0" t="n">
        <v>58.2</v>
      </c>
      <c r="Y178" s="3" t="s">
        <v>30</v>
      </c>
      <c r="Z178" s="0" t="str">
        <f aca="false">IF(M178=1,P178,"")</f>
        <v/>
      </c>
    </row>
    <row r="179" customFormat="false" ht="15" hidden="false" customHeight="false" outlineLevel="0" collapsed="false">
      <c r="A179" s="0" t="s">
        <v>222</v>
      </c>
      <c r="B179" s="2" t="n">
        <v>45753</v>
      </c>
      <c r="C179" s="3" t="s">
        <v>27</v>
      </c>
      <c r="D179" s="3" t="s">
        <v>28</v>
      </c>
      <c r="E179" s="3" t="s">
        <v>35</v>
      </c>
      <c r="F179" s="3" t="s">
        <v>30</v>
      </c>
      <c r="G179" s="3" t="s">
        <v>36</v>
      </c>
      <c r="H179" s="3" t="s">
        <v>30</v>
      </c>
      <c r="I179" s="3" t="s">
        <v>37</v>
      </c>
      <c r="J179" s="0" t="n">
        <v>0</v>
      </c>
      <c r="K179" s="0" t="n">
        <v>0</v>
      </c>
      <c r="L179" s="0" t="n">
        <v>0</v>
      </c>
      <c r="M179" s="0" t="n">
        <v>0</v>
      </c>
      <c r="N179" s="0" t="str">
        <f aca="false">IF(OR(NOT(OR(J179=0,J179=1)),NOT(OR(K179=0,K179=1)),NOT(OR(L179=0,L179=1)),NOT(OR(M179=0,M179=1)),NOT(OR(U179=0,U179=1))),"Yes","No")</f>
        <v>No</v>
      </c>
      <c r="O179" s="0" t="str">
        <f aca="false">IF(OR(AND(M179=1,L179=0),AND(L179=1,K179=0),AND(K179=1,J179=0)),"Yes","No")</f>
        <v>No</v>
      </c>
      <c r="P179" s="0" t="n">
        <v>0</v>
      </c>
      <c r="Q179" s="0" t="str">
        <f aca="false">IF(OR(AND(M179=0,P179&gt;0),AND(M179=1,P179&lt;=0)),"Yes","No")</f>
        <v>No</v>
      </c>
      <c r="R179" s="0" t="str">
        <f aca="false">IF(AND(M179=1,P179&gt;calc_helpers!$B$5),"Yes","No")</f>
        <v>No</v>
      </c>
      <c r="S179" s="0" t="n">
        <v>0</v>
      </c>
      <c r="T179" s="0" t="str">
        <f aca="false">IF(S179&gt;0,"Yes","No")</f>
        <v>No</v>
      </c>
      <c r="U179" s="0" t="n">
        <v>0</v>
      </c>
      <c r="W179" s="0" t="str">
        <f aca="false">IF(OR(AND(M179=1,ISBLANK(V179)),AND(M179=0,NOT(ISBLANK(V179)))),"Yes","No")</f>
        <v>No</v>
      </c>
      <c r="X179" s="0" t="n">
        <v>80.6</v>
      </c>
      <c r="Y179" s="3" t="s">
        <v>30</v>
      </c>
      <c r="Z179" s="0" t="str">
        <f aca="false">IF(M179=1,P179,"")</f>
        <v/>
      </c>
    </row>
    <row r="180" customFormat="false" ht="15" hidden="false" customHeight="false" outlineLevel="0" collapsed="false">
      <c r="A180" s="0" t="s">
        <v>223</v>
      </c>
      <c r="B180" s="2" t="n">
        <v>45764</v>
      </c>
      <c r="C180" s="3" t="s">
        <v>27</v>
      </c>
      <c r="D180" s="3" t="s">
        <v>28</v>
      </c>
      <c r="E180" s="3" t="s">
        <v>29</v>
      </c>
      <c r="F180" s="3" t="s">
        <v>30</v>
      </c>
      <c r="G180" s="3" t="s">
        <v>50</v>
      </c>
      <c r="H180" s="3" t="s">
        <v>30</v>
      </c>
      <c r="I180" s="3" t="s">
        <v>41</v>
      </c>
      <c r="J180" s="0" t="n">
        <v>1</v>
      </c>
      <c r="K180" s="0" t="n">
        <v>1</v>
      </c>
      <c r="L180" s="0" t="n">
        <v>1</v>
      </c>
      <c r="M180" s="0" t="n">
        <v>0</v>
      </c>
      <c r="N180" s="0" t="str">
        <f aca="false">IF(OR(NOT(OR(J180=0,J180=1)),NOT(OR(K180=0,K180=1)),NOT(OR(L180=0,L180=1)),NOT(OR(M180=0,M180=1)),NOT(OR(U180=0,U180=1))),"Yes","No")</f>
        <v>No</v>
      </c>
      <c r="O180" s="0" t="str">
        <f aca="false">IF(OR(AND(M180=1,L180=0),AND(L180=1,K180=0),AND(K180=1,J180=0)),"Yes","No")</f>
        <v>No</v>
      </c>
      <c r="P180" s="0" t="n">
        <v>0</v>
      </c>
      <c r="Q180" s="0" t="str">
        <f aca="false">IF(OR(AND(M180=0,P180&gt;0),AND(M180=1,P180&lt;=0)),"Yes","No")</f>
        <v>No</v>
      </c>
      <c r="R180" s="0" t="str">
        <f aca="false">IF(AND(M180=1,P180&gt;calc_helpers!$B$5),"Yes","No")</f>
        <v>No</v>
      </c>
      <c r="S180" s="0" t="n">
        <v>0</v>
      </c>
      <c r="T180" s="0" t="str">
        <f aca="false">IF(S180&gt;0,"Yes","No")</f>
        <v>No</v>
      </c>
      <c r="U180" s="0" t="n">
        <v>0</v>
      </c>
      <c r="W180" s="0" t="str">
        <f aca="false">IF(OR(AND(M180=1,ISBLANK(V180)),AND(M180=0,NOT(ISBLANK(V180)))),"Yes","No")</f>
        <v>No</v>
      </c>
      <c r="X180" s="0" t="n">
        <v>38.4</v>
      </c>
      <c r="Y180" s="3" t="s">
        <v>30</v>
      </c>
      <c r="Z180" s="0" t="str">
        <f aca="false">IF(M180=1,P180,"")</f>
        <v/>
      </c>
    </row>
    <row r="181" customFormat="false" ht="15" hidden="false" customHeight="false" outlineLevel="0" collapsed="false">
      <c r="A181" s="0" t="s">
        <v>224</v>
      </c>
      <c r="B181" s="2" t="n">
        <v>45750</v>
      </c>
      <c r="C181" s="3" t="s">
        <v>27</v>
      </c>
      <c r="D181" s="3" t="s">
        <v>43</v>
      </c>
      <c r="E181" s="3" t="s">
        <v>35</v>
      </c>
      <c r="F181" s="3" t="s">
        <v>30</v>
      </c>
      <c r="G181" s="3" t="s">
        <v>40</v>
      </c>
      <c r="H181" s="3" t="s">
        <v>30</v>
      </c>
      <c r="I181" s="3" t="s">
        <v>37</v>
      </c>
      <c r="J181" s="0" t="n">
        <v>1</v>
      </c>
      <c r="K181" s="0" t="n">
        <v>0</v>
      </c>
      <c r="L181" s="0" t="n">
        <v>0</v>
      </c>
      <c r="M181" s="0" t="n">
        <v>0</v>
      </c>
      <c r="N181" s="0" t="str">
        <f aca="false">IF(OR(NOT(OR(J181=0,J181=1)),NOT(OR(K181=0,K181=1)),NOT(OR(L181=0,L181=1)),NOT(OR(M181=0,M181=1)),NOT(OR(U181=0,U181=1))),"Yes","No")</f>
        <v>No</v>
      </c>
      <c r="O181" s="0" t="str">
        <f aca="false">IF(OR(AND(M181=1,L181=0),AND(L181=1,K181=0),AND(K181=1,J181=0)),"Yes","No")</f>
        <v>No</v>
      </c>
      <c r="P181" s="0" t="n">
        <v>0</v>
      </c>
      <c r="Q181" s="0" t="str">
        <f aca="false">IF(OR(AND(M181=0,P181&gt;0),AND(M181=1,P181&lt;=0)),"Yes","No")</f>
        <v>No</v>
      </c>
      <c r="R181" s="0" t="str">
        <f aca="false">IF(AND(M181=1,P181&gt;calc_helpers!$B$5),"Yes","No")</f>
        <v>No</v>
      </c>
      <c r="S181" s="0" t="n">
        <v>0</v>
      </c>
      <c r="T181" s="0" t="str">
        <f aca="false">IF(S181&gt;0,"Yes","No")</f>
        <v>No</v>
      </c>
      <c r="U181" s="0" t="n">
        <v>0</v>
      </c>
      <c r="W181" s="0" t="str">
        <f aca="false">IF(OR(AND(M181=1,ISBLANK(V181)),AND(M181=0,NOT(ISBLANK(V181)))),"Yes","No")</f>
        <v>No</v>
      </c>
      <c r="X181" s="0" t="n">
        <v>56.1</v>
      </c>
      <c r="Y181" s="3" t="s">
        <v>30</v>
      </c>
      <c r="Z181" s="0" t="str">
        <f aca="false">IF(M181=1,P181,"")</f>
        <v/>
      </c>
    </row>
    <row r="182" customFormat="false" ht="15" hidden="false" customHeight="false" outlineLevel="0" collapsed="false">
      <c r="A182" s="0" t="s">
        <v>225</v>
      </c>
      <c r="B182" s="2" t="n">
        <v>45772</v>
      </c>
      <c r="C182" s="3" t="s">
        <v>27</v>
      </c>
      <c r="D182" s="3" t="s">
        <v>34</v>
      </c>
      <c r="E182" s="3" t="s">
        <v>35</v>
      </c>
      <c r="F182" s="3" t="s">
        <v>30</v>
      </c>
      <c r="G182" s="3" t="s">
        <v>40</v>
      </c>
      <c r="H182" s="3" t="s">
        <v>30</v>
      </c>
      <c r="I182" s="3" t="s">
        <v>37</v>
      </c>
      <c r="J182" s="0" t="n">
        <v>0</v>
      </c>
      <c r="K182" s="0" t="n">
        <v>0</v>
      </c>
      <c r="L182" s="0" t="n">
        <v>0</v>
      </c>
      <c r="M182" s="0" t="n">
        <v>0</v>
      </c>
      <c r="N182" s="0" t="str">
        <f aca="false">IF(OR(NOT(OR(J182=0,J182=1)),NOT(OR(K182=0,K182=1)),NOT(OR(L182=0,L182=1)),NOT(OR(M182=0,M182=1)),NOT(OR(U182=0,U182=1))),"Yes","No")</f>
        <v>No</v>
      </c>
      <c r="O182" s="0" t="str">
        <f aca="false">IF(OR(AND(M182=1,L182=0),AND(L182=1,K182=0),AND(K182=1,J182=0)),"Yes","No")</f>
        <v>No</v>
      </c>
      <c r="P182" s="0" t="n">
        <v>0</v>
      </c>
      <c r="Q182" s="0" t="str">
        <f aca="false">IF(OR(AND(M182=0,P182&gt;0),AND(M182=1,P182&lt;=0)),"Yes","No")</f>
        <v>No</v>
      </c>
      <c r="R182" s="0" t="str">
        <f aca="false">IF(AND(M182=1,P182&gt;calc_helpers!$B$5),"Yes","No")</f>
        <v>No</v>
      </c>
      <c r="S182" s="0" t="n">
        <v>0</v>
      </c>
      <c r="T182" s="0" t="str">
        <f aca="false">IF(S182&gt;0,"Yes","No")</f>
        <v>No</v>
      </c>
      <c r="U182" s="0" t="n">
        <v>0</v>
      </c>
      <c r="W182" s="0" t="str">
        <f aca="false">IF(OR(AND(M182=1,ISBLANK(V182)),AND(M182=0,NOT(ISBLANK(V182)))),"Yes","No")</f>
        <v>No</v>
      </c>
      <c r="X182" s="0" t="n">
        <v>62.6</v>
      </c>
      <c r="Y182" s="3" t="s">
        <v>30</v>
      </c>
      <c r="Z182" s="0" t="str">
        <f aca="false">IF(M182=1,P182,"")</f>
        <v/>
      </c>
    </row>
    <row r="183" customFormat="false" ht="15" hidden="false" customHeight="false" outlineLevel="0" collapsed="false">
      <c r="A183" s="0" t="s">
        <v>226</v>
      </c>
      <c r="B183" s="2" t="n">
        <v>45777</v>
      </c>
      <c r="C183" s="3" t="s">
        <v>27</v>
      </c>
      <c r="D183" s="3" t="s">
        <v>43</v>
      </c>
      <c r="E183" s="3" t="s">
        <v>35</v>
      </c>
      <c r="F183" s="3" t="s">
        <v>30</v>
      </c>
      <c r="G183" s="3" t="s">
        <v>36</v>
      </c>
      <c r="H183" s="3" t="s">
        <v>30</v>
      </c>
      <c r="I183" s="3" t="s">
        <v>41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str">
        <f aca="false">IF(OR(NOT(OR(J183=0,J183=1)),NOT(OR(K183=0,K183=1)),NOT(OR(L183=0,L183=1)),NOT(OR(M183=0,M183=1)),NOT(OR(U183=0,U183=1))),"Yes","No")</f>
        <v>No</v>
      </c>
      <c r="O183" s="0" t="str">
        <f aca="false">IF(OR(AND(M183=1,L183=0),AND(L183=1,K183=0),AND(K183=1,J183=0)),"Yes","No")</f>
        <v>No</v>
      </c>
      <c r="P183" s="0" t="n">
        <v>0</v>
      </c>
      <c r="Q183" s="0" t="str">
        <f aca="false">IF(OR(AND(M183=0,P183&gt;0),AND(M183=1,P183&lt;=0)),"Yes","No")</f>
        <v>No</v>
      </c>
      <c r="R183" s="0" t="str">
        <f aca="false">IF(AND(M183=1,P183&gt;calc_helpers!$B$5),"Yes","No")</f>
        <v>No</v>
      </c>
      <c r="S183" s="0" t="n">
        <v>0</v>
      </c>
      <c r="T183" s="0" t="str">
        <f aca="false">IF(S183&gt;0,"Yes","No")</f>
        <v>No</v>
      </c>
      <c r="U183" s="0" t="n">
        <v>0</v>
      </c>
      <c r="W183" s="0" t="str">
        <f aca="false">IF(OR(AND(M183=1,ISBLANK(V183)),AND(M183=0,NOT(ISBLANK(V183)))),"Yes","No")</f>
        <v>No</v>
      </c>
      <c r="X183" s="0" t="n">
        <v>36.3</v>
      </c>
      <c r="Y183" s="3" t="s">
        <v>30</v>
      </c>
      <c r="Z183" s="0" t="str">
        <f aca="false">IF(M183=1,P183,"")</f>
        <v/>
      </c>
    </row>
    <row r="184" customFormat="false" ht="15" hidden="false" customHeight="false" outlineLevel="0" collapsed="false">
      <c r="A184" s="0" t="s">
        <v>227</v>
      </c>
      <c r="B184" s="2" t="n">
        <v>45728</v>
      </c>
      <c r="C184" s="3" t="s">
        <v>27</v>
      </c>
      <c r="D184" s="3" t="s">
        <v>43</v>
      </c>
      <c r="E184" s="3" t="s">
        <v>35</v>
      </c>
      <c r="F184" s="3" t="s">
        <v>30</v>
      </c>
      <c r="G184" s="3" t="s">
        <v>40</v>
      </c>
      <c r="H184" s="3" t="s">
        <v>30</v>
      </c>
      <c r="I184" s="3" t="s">
        <v>37</v>
      </c>
      <c r="J184" s="0" t="n">
        <v>1</v>
      </c>
      <c r="K184" s="0" t="n">
        <v>0</v>
      </c>
      <c r="L184" s="0" t="n">
        <v>0</v>
      </c>
      <c r="M184" s="0" t="n">
        <v>0</v>
      </c>
      <c r="N184" s="0" t="str">
        <f aca="false">IF(OR(NOT(OR(J184=0,J184=1)),NOT(OR(K184=0,K184=1)),NOT(OR(L184=0,L184=1)),NOT(OR(M184=0,M184=1)),NOT(OR(U184=0,U184=1))),"Yes","No")</f>
        <v>No</v>
      </c>
      <c r="O184" s="0" t="str">
        <f aca="false">IF(OR(AND(M184=1,L184=0),AND(L184=1,K184=0),AND(K184=1,J184=0)),"Yes","No")</f>
        <v>No</v>
      </c>
      <c r="P184" s="0" t="n">
        <v>0</v>
      </c>
      <c r="Q184" s="0" t="str">
        <f aca="false">IF(OR(AND(M184=0,P184&gt;0),AND(M184=1,P184&lt;=0)),"Yes","No")</f>
        <v>No</v>
      </c>
      <c r="R184" s="0" t="str">
        <f aca="false">IF(AND(M184=1,P184&gt;calc_helpers!$B$5),"Yes","No")</f>
        <v>No</v>
      </c>
      <c r="S184" s="0" t="n">
        <v>0</v>
      </c>
      <c r="T184" s="0" t="str">
        <f aca="false">IF(S184&gt;0,"Yes","No")</f>
        <v>No</v>
      </c>
      <c r="U184" s="0" t="n">
        <v>0</v>
      </c>
      <c r="W184" s="0" t="str">
        <f aca="false">IF(OR(AND(M184=1,ISBLANK(V184)),AND(M184=0,NOT(ISBLANK(V184)))),"Yes","No")</f>
        <v>No</v>
      </c>
      <c r="X184" s="0" t="n">
        <v>52.1</v>
      </c>
      <c r="Y184" s="3" t="s">
        <v>30</v>
      </c>
      <c r="Z184" s="0" t="str">
        <f aca="false">IF(M184=1,P184,"")</f>
        <v/>
      </c>
    </row>
    <row r="185" customFormat="false" ht="15" hidden="false" customHeight="false" outlineLevel="0" collapsed="false">
      <c r="A185" s="0" t="s">
        <v>228</v>
      </c>
      <c r="B185" s="2" t="n">
        <v>45781</v>
      </c>
      <c r="C185" s="3" t="s">
        <v>27</v>
      </c>
      <c r="D185" s="3" t="s">
        <v>43</v>
      </c>
      <c r="E185" s="3" t="s">
        <v>35</v>
      </c>
      <c r="F185" s="3" t="s">
        <v>30</v>
      </c>
      <c r="G185" s="3" t="s">
        <v>36</v>
      </c>
      <c r="H185" s="3" t="s">
        <v>30</v>
      </c>
      <c r="I185" s="3" t="s">
        <v>37</v>
      </c>
      <c r="J185" s="0" t="n">
        <v>1</v>
      </c>
      <c r="K185" s="0" t="n">
        <v>0</v>
      </c>
      <c r="L185" s="0" t="n">
        <v>0</v>
      </c>
      <c r="M185" s="0" t="n">
        <v>0</v>
      </c>
      <c r="N185" s="0" t="str">
        <f aca="false">IF(OR(NOT(OR(J185=0,J185=1)),NOT(OR(K185=0,K185=1)),NOT(OR(L185=0,L185=1)),NOT(OR(M185=0,M185=1)),NOT(OR(U185=0,U185=1))),"Yes","No")</f>
        <v>No</v>
      </c>
      <c r="O185" s="0" t="str">
        <f aca="false">IF(OR(AND(M185=1,L185=0),AND(L185=1,K185=0),AND(K185=1,J185=0)),"Yes","No")</f>
        <v>No</v>
      </c>
      <c r="P185" s="0" t="n">
        <v>0</v>
      </c>
      <c r="Q185" s="0" t="str">
        <f aca="false">IF(OR(AND(M185=0,P185&gt;0),AND(M185=1,P185&lt;=0)),"Yes","No")</f>
        <v>No</v>
      </c>
      <c r="R185" s="0" t="str">
        <f aca="false">IF(AND(M185=1,P185&gt;calc_helpers!$B$5),"Yes","No")</f>
        <v>No</v>
      </c>
      <c r="S185" s="0" t="n">
        <v>0</v>
      </c>
      <c r="T185" s="0" t="str">
        <f aca="false">IF(S185&gt;0,"Yes","No")</f>
        <v>No</v>
      </c>
      <c r="U185" s="0" t="n">
        <v>0</v>
      </c>
      <c r="W185" s="0" t="str">
        <f aca="false">IF(OR(AND(M185=1,ISBLANK(V185)),AND(M185=0,NOT(ISBLANK(V185)))),"Yes","No")</f>
        <v>No</v>
      </c>
      <c r="X185" s="0" t="n">
        <v>45.1</v>
      </c>
      <c r="Y185" s="3" t="s">
        <v>30</v>
      </c>
      <c r="Z185" s="0" t="str">
        <f aca="false">IF(M185=1,P185,"")</f>
        <v/>
      </c>
    </row>
    <row r="186" customFormat="false" ht="15" hidden="false" customHeight="false" outlineLevel="0" collapsed="false">
      <c r="A186" s="0" t="s">
        <v>229</v>
      </c>
      <c r="B186" s="2" t="n">
        <v>45695</v>
      </c>
      <c r="C186" s="3" t="s">
        <v>27</v>
      </c>
      <c r="D186" s="3" t="s">
        <v>43</v>
      </c>
      <c r="E186" s="3" t="s">
        <v>45</v>
      </c>
      <c r="F186" s="3" t="s">
        <v>30</v>
      </c>
      <c r="G186" s="3" t="s">
        <v>40</v>
      </c>
      <c r="H186" s="3" t="s">
        <v>30</v>
      </c>
      <c r="I186" s="3" t="s">
        <v>41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str">
        <f aca="false">IF(OR(NOT(OR(J186=0,J186=1)),NOT(OR(K186=0,K186=1)),NOT(OR(L186=0,L186=1)),NOT(OR(M186=0,M186=1)),NOT(OR(U186=0,U186=1))),"Yes","No")</f>
        <v>No</v>
      </c>
      <c r="O186" s="0" t="str">
        <f aca="false">IF(OR(AND(M186=1,L186=0),AND(L186=1,K186=0),AND(K186=1,J186=0)),"Yes","No")</f>
        <v>No</v>
      </c>
      <c r="P186" s="0" t="n">
        <v>0</v>
      </c>
      <c r="Q186" s="0" t="str">
        <f aca="false">IF(OR(AND(M186=0,P186&gt;0),AND(M186=1,P186&lt;=0)),"Yes","No")</f>
        <v>No</v>
      </c>
      <c r="R186" s="0" t="str">
        <f aca="false">IF(AND(M186=1,P186&gt;calc_helpers!$B$5),"Yes","No")</f>
        <v>No</v>
      </c>
      <c r="S186" s="0" t="n">
        <v>0</v>
      </c>
      <c r="T186" s="0" t="str">
        <f aca="false">IF(S186&gt;0,"Yes","No")</f>
        <v>No</v>
      </c>
      <c r="U186" s="0" t="n">
        <v>0</v>
      </c>
      <c r="W186" s="0" t="str">
        <f aca="false">IF(OR(AND(M186=1,ISBLANK(V186)),AND(M186=0,NOT(ISBLANK(V186)))),"Yes","No")</f>
        <v>No</v>
      </c>
      <c r="X186" s="0" t="n">
        <v>67.5</v>
      </c>
      <c r="Y186" s="3" t="s">
        <v>30</v>
      </c>
      <c r="Z186" s="0" t="str">
        <f aca="false">IF(M186=1,P186,"")</f>
        <v/>
      </c>
    </row>
    <row r="187" customFormat="false" ht="15" hidden="false" customHeight="false" outlineLevel="0" collapsed="false">
      <c r="A187" s="0" t="s">
        <v>230</v>
      </c>
      <c r="B187" s="2" t="n">
        <v>45775</v>
      </c>
      <c r="C187" s="3" t="s">
        <v>27</v>
      </c>
      <c r="D187" s="3" t="s">
        <v>39</v>
      </c>
      <c r="E187" s="3" t="s">
        <v>45</v>
      </c>
      <c r="F187" s="3" t="s">
        <v>30</v>
      </c>
      <c r="G187" s="3" t="s">
        <v>31</v>
      </c>
      <c r="H187" s="3" t="s">
        <v>30</v>
      </c>
      <c r="I187" s="3" t="s">
        <v>32</v>
      </c>
      <c r="J187" s="0" t="n">
        <v>1</v>
      </c>
      <c r="K187" s="0" t="n">
        <v>1</v>
      </c>
      <c r="L187" s="0" t="n">
        <v>1</v>
      </c>
      <c r="M187" s="0" t="n">
        <v>0</v>
      </c>
      <c r="N187" s="0" t="str">
        <f aca="false">IF(OR(NOT(OR(J187=0,J187=1)),NOT(OR(K187=0,K187=1)),NOT(OR(L187=0,L187=1)),NOT(OR(M187=0,M187=1)),NOT(OR(U187=0,U187=1))),"Yes","No")</f>
        <v>No</v>
      </c>
      <c r="O187" s="0" t="str">
        <f aca="false">IF(OR(AND(M187=1,L187=0),AND(L187=1,K187=0),AND(K187=1,J187=0)),"Yes","No")</f>
        <v>No</v>
      </c>
      <c r="P187" s="0" t="n">
        <v>0</v>
      </c>
      <c r="Q187" s="0" t="str">
        <f aca="false">IF(OR(AND(M187=0,P187&gt;0),AND(M187=1,P187&lt;=0)),"Yes","No")</f>
        <v>No</v>
      </c>
      <c r="R187" s="0" t="str">
        <f aca="false">IF(AND(M187=1,P187&gt;calc_helpers!$B$5),"Yes","No")</f>
        <v>No</v>
      </c>
      <c r="S187" s="0" t="n">
        <v>0</v>
      </c>
      <c r="T187" s="0" t="str">
        <f aca="false">IF(S187&gt;0,"Yes","No")</f>
        <v>No</v>
      </c>
      <c r="U187" s="0" t="n">
        <v>0</v>
      </c>
      <c r="W187" s="0" t="str">
        <f aca="false">IF(OR(AND(M187=1,ISBLANK(V187)),AND(M187=0,NOT(ISBLANK(V187)))),"Yes","No")</f>
        <v>No</v>
      </c>
      <c r="X187" s="0" t="n">
        <v>80</v>
      </c>
      <c r="Y187" s="3" t="s">
        <v>30</v>
      </c>
      <c r="Z187" s="0" t="str">
        <f aca="false">IF(M187=1,P187,"")</f>
        <v/>
      </c>
    </row>
    <row r="188" customFormat="false" ht="15" hidden="false" customHeight="false" outlineLevel="0" collapsed="false">
      <c r="A188" s="0" t="s">
        <v>231</v>
      </c>
      <c r="B188" s="2" t="n">
        <v>45792</v>
      </c>
      <c r="C188" s="3" t="s">
        <v>27</v>
      </c>
      <c r="D188" s="3" t="s">
        <v>39</v>
      </c>
      <c r="E188" s="3" t="s">
        <v>29</v>
      </c>
      <c r="F188" s="3" t="s">
        <v>30</v>
      </c>
      <c r="G188" s="3" t="s">
        <v>50</v>
      </c>
      <c r="H188" s="3" t="s">
        <v>30</v>
      </c>
      <c r="I188" s="3" t="s">
        <v>37</v>
      </c>
      <c r="J188" s="0" t="n">
        <v>0</v>
      </c>
      <c r="K188" s="0" t="n">
        <v>0</v>
      </c>
      <c r="L188" s="0" t="n">
        <v>0</v>
      </c>
      <c r="M188" s="0" t="n">
        <v>0</v>
      </c>
      <c r="N188" s="0" t="str">
        <f aca="false">IF(OR(NOT(OR(J188=0,J188=1)),NOT(OR(K188=0,K188=1)),NOT(OR(L188=0,L188=1)),NOT(OR(M188=0,M188=1)),NOT(OR(U188=0,U188=1))),"Yes","No")</f>
        <v>No</v>
      </c>
      <c r="O188" s="0" t="str">
        <f aca="false">IF(OR(AND(M188=1,L188=0),AND(L188=1,K188=0),AND(K188=1,J188=0)),"Yes","No")</f>
        <v>No</v>
      </c>
      <c r="P188" s="0" t="n">
        <v>0</v>
      </c>
      <c r="Q188" s="0" t="str">
        <f aca="false">IF(OR(AND(M188=0,P188&gt;0),AND(M188=1,P188&lt;=0)),"Yes","No")</f>
        <v>No</v>
      </c>
      <c r="R188" s="0" t="str">
        <f aca="false">IF(AND(M188=1,P188&gt;calc_helpers!$B$5),"Yes","No")</f>
        <v>No</v>
      </c>
      <c r="S188" s="0" t="n">
        <v>0</v>
      </c>
      <c r="T188" s="0" t="str">
        <f aca="false">IF(S188&gt;0,"Yes","No")</f>
        <v>No</v>
      </c>
      <c r="U188" s="0" t="n">
        <v>0</v>
      </c>
      <c r="W188" s="0" t="str">
        <f aca="false">IF(OR(AND(M188=1,ISBLANK(V188)),AND(M188=0,NOT(ISBLANK(V188)))),"Yes","No")</f>
        <v>No</v>
      </c>
      <c r="X188" s="0" t="n">
        <v>56.4</v>
      </c>
      <c r="Y188" s="3" t="s">
        <v>30</v>
      </c>
      <c r="Z188" s="0" t="str">
        <f aca="false">IF(M188=1,P188,"")</f>
        <v/>
      </c>
    </row>
    <row r="189" customFormat="false" ht="15" hidden="false" customHeight="false" outlineLevel="0" collapsed="false">
      <c r="A189" s="0" t="s">
        <v>232</v>
      </c>
      <c r="B189" s="2" t="n">
        <v>45675</v>
      </c>
      <c r="C189" s="3" t="s">
        <v>27</v>
      </c>
      <c r="D189" s="3" t="s">
        <v>34</v>
      </c>
      <c r="E189" s="3" t="s">
        <v>35</v>
      </c>
      <c r="F189" s="3" t="s">
        <v>30</v>
      </c>
      <c r="G189" s="3" t="s">
        <v>40</v>
      </c>
      <c r="H189" s="3" t="s">
        <v>30</v>
      </c>
      <c r="I189" s="3" t="s">
        <v>32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str">
        <f aca="false">IF(OR(NOT(OR(J189=0,J189=1)),NOT(OR(K189=0,K189=1)),NOT(OR(L189=0,L189=1)),NOT(OR(M189=0,M189=1)),NOT(OR(U189=0,U189=1))),"Yes","No")</f>
        <v>No</v>
      </c>
      <c r="O189" s="0" t="str">
        <f aca="false">IF(OR(AND(M189=1,L189=0),AND(L189=1,K189=0),AND(K189=1,J189=0)),"Yes","No")</f>
        <v>No</v>
      </c>
      <c r="P189" s="0" t="n">
        <v>0</v>
      </c>
      <c r="Q189" s="0" t="str">
        <f aca="false">IF(OR(AND(M189=0,P189&gt;0),AND(M189=1,P189&lt;=0)),"Yes","No")</f>
        <v>No</v>
      </c>
      <c r="R189" s="0" t="str">
        <f aca="false">IF(AND(M189=1,P189&gt;calc_helpers!$B$5),"Yes","No")</f>
        <v>No</v>
      </c>
      <c r="S189" s="0" t="n">
        <v>0</v>
      </c>
      <c r="T189" s="0" t="str">
        <f aca="false">IF(S189&gt;0,"Yes","No")</f>
        <v>No</v>
      </c>
      <c r="U189" s="0" t="n">
        <v>0</v>
      </c>
      <c r="W189" s="0" t="str">
        <f aca="false">IF(OR(AND(M189=1,ISBLANK(V189)),AND(M189=0,NOT(ISBLANK(V189)))),"Yes","No")</f>
        <v>No</v>
      </c>
      <c r="X189" s="0" t="n">
        <v>55.4</v>
      </c>
      <c r="Y189" s="3" t="s">
        <v>30</v>
      </c>
      <c r="Z189" s="0" t="str">
        <f aca="false">IF(M189=1,P189,"")</f>
        <v/>
      </c>
    </row>
    <row r="190" customFormat="false" ht="15" hidden="false" customHeight="false" outlineLevel="0" collapsed="false">
      <c r="A190" s="0" t="s">
        <v>233</v>
      </c>
      <c r="B190" s="2" t="n">
        <v>45703</v>
      </c>
      <c r="C190" s="3" t="s">
        <v>27</v>
      </c>
      <c r="D190" s="3" t="s">
        <v>43</v>
      </c>
      <c r="E190" s="3" t="s">
        <v>35</v>
      </c>
      <c r="F190" s="3" t="s">
        <v>30</v>
      </c>
      <c r="G190" s="3" t="s">
        <v>52</v>
      </c>
      <c r="H190" s="3" t="s">
        <v>30</v>
      </c>
      <c r="I190" s="3" t="s">
        <v>32</v>
      </c>
      <c r="J190" s="0" t="n">
        <v>1</v>
      </c>
      <c r="K190" s="0" t="n">
        <v>0</v>
      </c>
      <c r="L190" s="0" t="n">
        <v>0</v>
      </c>
      <c r="M190" s="0" t="n">
        <v>0</v>
      </c>
      <c r="N190" s="0" t="str">
        <f aca="false">IF(OR(NOT(OR(J190=0,J190=1)),NOT(OR(K190=0,K190=1)),NOT(OR(L190=0,L190=1)),NOT(OR(M190=0,M190=1)),NOT(OR(U190=0,U190=1))),"Yes","No")</f>
        <v>No</v>
      </c>
      <c r="O190" s="0" t="str">
        <f aca="false">IF(OR(AND(M190=1,L190=0),AND(L190=1,K190=0),AND(K190=1,J190=0)),"Yes","No")</f>
        <v>No</v>
      </c>
      <c r="P190" s="0" t="n">
        <v>0</v>
      </c>
      <c r="Q190" s="0" t="str">
        <f aca="false">IF(OR(AND(M190=0,P190&gt;0),AND(M190=1,P190&lt;=0)),"Yes","No")</f>
        <v>No</v>
      </c>
      <c r="R190" s="0" t="str">
        <f aca="false">IF(AND(M190=1,P190&gt;calc_helpers!$B$5),"Yes","No")</f>
        <v>No</v>
      </c>
      <c r="S190" s="0" t="n">
        <v>0</v>
      </c>
      <c r="T190" s="0" t="str">
        <f aca="false">IF(S190&gt;0,"Yes","No")</f>
        <v>No</v>
      </c>
      <c r="U190" s="0" t="n">
        <v>0</v>
      </c>
      <c r="W190" s="0" t="str">
        <f aca="false">IF(OR(AND(M190=1,ISBLANK(V190)),AND(M190=0,NOT(ISBLANK(V190)))),"Yes","No")</f>
        <v>No</v>
      </c>
      <c r="X190" s="0" t="n">
        <v>67.9</v>
      </c>
      <c r="Y190" s="3" t="s">
        <v>30</v>
      </c>
      <c r="Z190" s="0" t="str">
        <f aca="false">IF(M190=1,P190,"")</f>
        <v/>
      </c>
    </row>
    <row r="191" customFormat="false" ht="15" hidden="false" customHeight="false" outlineLevel="0" collapsed="false">
      <c r="A191" s="0" t="s">
        <v>234</v>
      </c>
      <c r="B191" s="2" t="n">
        <v>45706</v>
      </c>
      <c r="C191" s="3" t="s">
        <v>27</v>
      </c>
      <c r="D191" s="3" t="s">
        <v>28</v>
      </c>
      <c r="E191" s="3" t="s">
        <v>45</v>
      </c>
      <c r="F191" s="3" t="s">
        <v>30</v>
      </c>
      <c r="G191" s="3" t="s">
        <v>31</v>
      </c>
      <c r="H191" s="3" t="s">
        <v>30</v>
      </c>
      <c r="I191" s="3" t="s">
        <v>37</v>
      </c>
      <c r="J191" s="0" t="n">
        <v>1</v>
      </c>
      <c r="K191" s="0" t="n">
        <v>0</v>
      </c>
      <c r="L191" s="0" t="n">
        <v>0</v>
      </c>
      <c r="M191" s="0" t="n">
        <v>0</v>
      </c>
      <c r="N191" s="0" t="str">
        <f aca="false">IF(OR(NOT(OR(J191=0,J191=1)),NOT(OR(K191=0,K191=1)),NOT(OR(L191=0,L191=1)),NOT(OR(M191=0,M191=1)),NOT(OR(U191=0,U191=1))),"Yes","No")</f>
        <v>No</v>
      </c>
      <c r="O191" s="0" t="str">
        <f aca="false">IF(OR(AND(M191=1,L191=0),AND(L191=1,K191=0),AND(K191=1,J191=0)),"Yes","No")</f>
        <v>No</v>
      </c>
      <c r="P191" s="0" t="n">
        <v>0</v>
      </c>
      <c r="Q191" s="0" t="str">
        <f aca="false">IF(OR(AND(M191=0,P191&gt;0),AND(M191=1,P191&lt;=0)),"Yes","No")</f>
        <v>No</v>
      </c>
      <c r="R191" s="0" t="str">
        <f aca="false">IF(AND(M191=1,P191&gt;calc_helpers!$B$5),"Yes","No")</f>
        <v>No</v>
      </c>
      <c r="S191" s="0" t="n">
        <v>0</v>
      </c>
      <c r="T191" s="0" t="str">
        <f aca="false">IF(S191&gt;0,"Yes","No")</f>
        <v>No</v>
      </c>
      <c r="U191" s="0" t="n">
        <v>0</v>
      </c>
      <c r="W191" s="0" t="str">
        <f aca="false">IF(OR(AND(M191=1,ISBLANK(V191)),AND(M191=0,NOT(ISBLANK(V191)))),"Yes","No")</f>
        <v>No</v>
      </c>
      <c r="X191" s="0" t="n">
        <v>62.5</v>
      </c>
      <c r="Y191" s="3" t="s">
        <v>30</v>
      </c>
      <c r="Z191" s="0" t="str">
        <f aca="false">IF(M191=1,P191,"")</f>
        <v/>
      </c>
    </row>
    <row r="192" customFormat="false" ht="15" hidden="false" customHeight="false" outlineLevel="0" collapsed="false">
      <c r="A192" s="0" t="s">
        <v>235</v>
      </c>
      <c r="B192" s="2" t="n">
        <v>45687</v>
      </c>
      <c r="C192" s="3" t="s">
        <v>27</v>
      </c>
      <c r="D192" s="3" t="s">
        <v>43</v>
      </c>
      <c r="E192" s="3" t="s">
        <v>29</v>
      </c>
      <c r="F192" s="3" t="s">
        <v>30</v>
      </c>
      <c r="G192" s="3" t="s">
        <v>31</v>
      </c>
      <c r="H192" s="3" t="s">
        <v>30</v>
      </c>
      <c r="I192" s="3" t="s">
        <v>32</v>
      </c>
      <c r="J192" s="0" t="n">
        <v>1</v>
      </c>
      <c r="K192" s="0" t="n">
        <v>1</v>
      </c>
      <c r="L192" s="0" t="n">
        <v>1</v>
      </c>
      <c r="M192" s="0" t="n">
        <v>0</v>
      </c>
      <c r="N192" s="0" t="str">
        <f aca="false">IF(OR(NOT(OR(J192=0,J192=1)),NOT(OR(K192=0,K192=1)),NOT(OR(L192=0,L192=1)),NOT(OR(M192=0,M192=1)),NOT(OR(U192=0,U192=1))),"Yes","No")</f>
        <v>No</v>
      </c>
      <c r="O192" s="0" t="str">
        <f aca="false">IF(OR(AND(M192=1,L192=0),AND(L192=1,K192=0),AND(K192=1,J192=0)),"Yes","No")</f>
        <v>No</v>
      </c>
      <c r="P192" s="0" t="n">
        <v>0</v>
      </c>
      <c r="Q192" s="0" t="str">
        <f aca="false">IF(OR(AND(M192=0,P192&gt;0),AND(M192=1,P192&lt;=0)),"Yes","No")</f>
        <v>No</v>
      </c>
      <c r="R192" s="0" t="str">
        <f aca="false">IF(AND(M192=1,P192&gt;calc_helpers!$B$5),"Yes","No")</f>
        <v>No</v>
      </c>
      <c r="S192" s="0" t="n">
        <v>0</v>
      </c>
      <c r="T192" s="0" t="str">
        <f aca="false">IF(S192&gt;0,"Yes","No")</f>
        <v>No</v>
      </c>
      <c r="U192" s="0" t="n">
        <v>0</v>
      </c>
      <c r="W192" s="0" t="str">
        <f aca="false">IF(OR(AND(M192=1,ISBLANK(V192)),AND(M192=0,NOT(ISBLANK(V192)))),"Yes","No")</f>
        <v>No</v>
      </c>
      <c r="X192" s="0" t="n">
        <v>54.3</v>
      </c>
      <c r="Y192" s="3" t="s">
        <v>30</v>
      </c>
      <c r="Z192" s="0" t="str">
        <f aca="false">IF(M192=1,P192,"")</f>
        <v/>
      </c>
    </row>
    <row r="193" customFormat="false" ht="15" hidden="false" customHeight="false" outlineLevel="0" collapsed="false">
      <c r="A193" s="0" t="s">
        <v>236</v>
      </c>
      <c r="B193" s="2" t="n">
        <v>45697</v>
      </c>
      <c r="C193" s="3" t="s">
        <v>27</v>
      </c>
      <c r="D193" s="3" t="s">
        <v>43</v>
      </c>
      <c r="E193" s="3" t="s">
        <v>29</v>
      </c>
      <c r="F193" s="3" t="s">
        <v>30</v>
      </c>
      <c r="G193" s="3" t="s">
        <v>36</v>
      </c>
      <c r="H193" s="3" t="s">
        <v>30</v>
      </c>
      <c r="I193" s="3" t="s">
        <v>32</v>
      </c>
      <c r="J193" s="0" t="n">
        <v>1</v>
      </c>
      <c r="K193" s="0" t="n">
        <v>0</v>
      </c>
      <c r="L193" s="0" t="n">
        <v>0</v>
      </c>
      <c r="M193" s="0" t="n">
        <v>0</v>
      </c>
      <c r="N193" s="0" t="str">
        <f aca="false">IF(OR(NOT(OR(J193=0,J193=1)),NOT(OR(K193=0,K193=1)),NOT(OR(L193=0,L193=1)),NOT(OR(M193=0,M193=1)),NOT(OR(U193=0,U193=1))),"Yes","No")</f>
        <v>No</v>
      </c>
      <c r="O193" s="0" t="str">
        <f aca="false">IF(OR(AND(M193=1,L193=0),AND(L193=1,K193=0),AND(K193=1,J193=0)),"Yes","No")</f>
        <v>No</v>
      </c>
      <c r="P193" s="0" t="n">
        <v>0</v>
      </c>
      <c r="Q193" s="0" t="str">
        <f aca="false">IF(OR(AND(M193=0,P193&gt;0),AND(M193=1,P193&lt;=0)),"Yes","No")</f>
        <v>No</v>
      </c>
      <c r="R193" s="0" t="str">
        <f aca="false">IF(AND(M193=1,P193&gt;calc_helpers!$B$5),"Yes","No")</f>
        <v>No</v>
      </c>
      <c r="S193" s="0" t="n">
        <v>0</v>
      </c>
      <c r="T193" s="0" t="str">
        <f aca="false">IF(S193&gt;0,"Yes","No")</f>
        <v>No</v>
      </c>
      <c r="U193" s="0" t="n">
        <v>0</v>
      </c>
      <c r="W193" s="0" t="str">
        <f aca="false">IF(OR(AND(M193=1,ISBLANK(V193)),AND(M193=0,NOT(ISBLANK(V193)))),"Yes","No")</f>
        <v>No</v>
      </c>
      <c r="X193" s="0" t="n">
        <v>37.5</v>
      </c>
      <c r="Y193" s="3" t="s">
        <v>30</v>
      </c>
      <c r="Z193" s="0" t="str">
        <f aca="false">IF(M193=1,P193,"")</f>
        <v/>
      </c>
    </row>
    <row r="194" customFormat="false" ht="15" hidden="false" customHeight="false" outlineLevel="0" collapsed="false">
      <c r="A194" s="0" t="s">
        <v>237</v>
      </c>
      <c r="B194" s="2" t="n">
        <v>45732</v>
      </c>
      <c r="C194" s="3" t="s">
        <v>27</v>
      </c>
      <c r="D194" s="3" t="s">
        <v>34</v>
      </c>
      <c r="E194" s="3" t="s">
        <v>35</v>
      </c>
      <c r="F194" s="3" t="s">
        <v>30</v>
      </c>
      <c r="G194" s="3" t="s">
        <v>40</v>
      </c>
      <c r="H194" s="3" t="s">
        <v>30</v>
      </c>
      <c r="I194" s="3" t="s">
        <v>32</v>
      </c>
      <c r="J194" s="0" t="n">
        <v>1</v>
      </c>
      <c r="K194" s="0" t="n">
        <v>0</v>
      </c>
      <c r="L194" s="0" t="n">
        <v>0</v>
      </c>
      <c r="M194" s="0" t="n">
        <v>0</v>
      </c>
      <c r="N194" s="0" t="str">
        <f aca="false">IF(OR(NOT(OR(J194=0,J194=1)),NOT(OR(K194=0,K194=1)),NOT(OR(L194=0,L194=1)),NOT(OR(M194=0,M194=1)),NOT(OR(U194=0,U194=1))),"Yes","No")</f>
        <v>No</v>
      </c>
      <c r="O194" s="0" t="str">
        <f aca="false">IF(OR(AND(M194=1,L194=0),AND(L194=1,K194=0),AND(K194=1,J194=0)),"Yes","No")</f>
        <v>No</v>
      </c>
      <c r="P194" s="0" t="n">
        <v>0</v>
      </c>
      <c r="Q194" s="0" t="str">
        <f aca="false">IF(OR(AND(M194=0,P194&gt;0),AND(M194=1,P194&lt;=0)),"Yes","No")</f>
        <v>No</v>
      </c>
      <c r="R194" s="0" t="str">
        <f aca="false">IF(AND(M194=1,P194&gt;calc_helpers!$B$5),"Yes","No")</f>
        <v>No</v>
      </c>
      <c r="S194" s="0" t="n">
        <v>0</v>
      </c>
      <c r="T194" s="0" t="str">
        <f aca="false">IF(S194&gt;0,"Yes","No")</f>
        <v>No</v>
      </c>
      <c r="U194" s="0" t="n">
        <v>0</v>
      </c>
      <c r="W194" s="0" t="str">
        <f aca="false">IF(OR(AND(M194=1,ISBLANK(V194)),AND(M194=0,NOT(ISBLANK(V194)))),"Yes","No")</f>
        <v>No</v>
      </c>
      <c r="X194" s="0" t="n">
        <v>52.6</v>
      </c>
      <c r="Y194" s="3" t="s">
        <v>30</v>
      </c>
      <c r="Z194" s="0" t="str">
        <f aca="false">IF(M194=1,P194,"")</f>
        <v/>
      </c>
    </row>
    <row r="195" customFormat="false" ht="15" hidden="false" customHeight="false" outlineLevel="0" collapsed="false">
      <c r="A195" s="0" t="s">
        <v>238</v>
      </c>
      <c r="B195" s="2" t="n">
        <v>45796</v>
      </c>
      <c r="C195" s="3" t="s">
        <v>27</v>
      </c>
      <c r="D195" s="3" t="s">
        <v>28</v>
      </c>
      <c r="E195" s="3" t="s">
        <v>35</v>
      </c>
      <c r="F195" s="3" t="s">
        <v>30</v>
      </c>
      <c r="G195" s="3" t="s">
        <v>40</v>
      </c>
      <c r="H195" s="3" t="s">
        <v>30</v>
      </c>
      <c r="I195" s="3" t="s">
        <v>37</v>
      </c>
      <c r="J195" s="0" t="n">
        <v>1</v>
      </c>
      <c r="K195" s="0" t="n">
        <v>0</v>
      </c>
      <c r="L195" s="0" t="n">
        <v>0</v>
      </c>
      <c r="M195" s="0" t="n">
        <v>0</v>
      </c>
      <c r="N195" s="0" t="str">
        <f aca="false">IF(OR(NOT(OR(J195=0,J195=1)),NOT(OR(K195=0,K195=1)),NOT(OR(L195=0,L195=1)),NOT(OR(M195=0,M195=1)),NOT(OR(U195=0,U195=1))),"Yes","No")</f>
        <v>No</v>
      </c>
      <c r="O195" s="0" t="str">
        <f aca="false">IF(OR(AND(M195=1,L195=0),AND(L195=1,K195=0),AND(K195=1,J195=0)),"Yes","No")</f>
        <v>No</v>
      </c>
      <c r="P195" s="0" t="n">
        <v>0</v>
      </c>
      <c r="Q195" s="0" t="str">
        <f aca="false">IF(OR(AND(M195=0,P195&gt;0),AND(M195=1,P195&lt;=0)),"Yes","No")</f>
        <v>No</v>
      </c>
      <c r="R195" s="0" t="str">
        <f aca="false">IF(AND(M195=1,P195&gt;calc_helpers!$B$5),"Yes","No")</f>
        <v>No</v>
      </c>
      <c r="S195" s="0" t="n">
        <v>0</v>
      </c>
      <c r="T195" s="0" t="str">
        <f aca="false">IF(S195&gt;0,"Yes","No")</f>
        <v>No</v>
      </c>
      <c r="U195" s="0" t="n">
        <v>0</v>
      </c>
      <c r="W195" s="0" t="str">
        <f aca="false">IF(OR(AND(M195=1,ISBLANK(V195)),AND(M195=0,NOT(ISBLANK(V195)))),"Yes","No")</f>
        <v>No</v>
      </c>
      <c r="X195" s="0" t="n">
        <v>46.1</v>
      </c>
      <c r="Y195" s="3" t="s">
        <v>30</v>
      </c>
      <c r="Z195" s="0" t="str">
        <f aca="false">IF(M195=1,P195,"")</f>
        <v/>
      </c>
    </row>
    <row r="196" customFormat="false" ht="15" hidden="false" customHeight="false" outlineLevel="0" collapsed="false">
      <c r="A196" s="0" t="s">
        <v>239</v>
      </c>
      <c r="B196" s="2" t="n">
        <v>45793</v>
      </c>
      <c r="C196" s="3" t="s">
        <v>27</v>
      </c>
      <c r="D196" s="3" t="s">
        <v>43</v>
      </c>
      <c r="E196" s="3" t="s">
        <v>29</v>
      </c>
      <c r="F196" s="3" t="s">
        <v>30</v>
      </c>
      <c r="G196" s="3" t="s">
        <v>36</v>
      </c>
      <c r="H196" s="3" t="s">
        <v>30</v>
      </c>
      <c r="I196" s="3" t="s">
        <v>32</v>
      </c>
      <c r="J196" s="0" t="n">
        <v>1</v>
      </c>
      <c r="K196" s="0" t="n">
        <v>0</v>
      </c>
      <c r="L196" s="0" t="n">
        <v>0</v>
      </c>
      <c r="M196" s="0" t="n">
        <v>0</v>
      </c>
      <c r="N196" s="0" t="str">
        <f aca="false">IF(OR(NOT(OR(J196=0,J196=1)),NOT(OR(K196=0,K196=1)),NOT(OR(L196=0,L196=1)),NOT(OR(M196=0,M196=1)),NOT(OR(U196=0,U196=1))),"Yes","No")</f>
        <v>No</v>
      </c>
      <c r="O196" s="0" t="str">
        <f aca="false">IF(OR(AND(M196=1,L196=0),AND(L196=1,K196=0),AND(K196=1,J196=0)),"Yes","No")</f>
        <v>No</v>
      </c>
      <c r="P196" s="0" t="n">
        <v>0</v>
      </c>
      <c r="Q196" s="0" t="str">
        <f aca="false">IF(OR(AND(M196=0,P196&gt;0),AND(M196=1,P196&lt;=0)),"Yes","No")</f>
        <v>No</v>
      </c>
      <c r="R196" s="0" t="str">
        <f aca="false">IF(AND(M196=1,P196&gt;calc_helpers!$B$5),"Yes","No")</f>
        <v>No</v>
      </c>
      <c r="S196" s="0" t="n">
        <v>0</v>
      </c>
      <c r="T196" s="0" t="str">
        <f aca="false">IF(S196&gt;0,"Yes","No")</f>
        <v>No</v>
      </c>
      <c r="U196" s="0" t="n">
        <v>0</v>
      </c>
      <c r="W196" s="0" t="str">
        <f aca="false">IF(OR(AND(M196=1,ISBLANK(V196)),AND(M196=0,NOT(ISBLANK(V196)))),"Yes","No")</f>
        <v>No</v>
      </c>
      <c r="X196" s="0" t="n">
        <v>54.7</v>
      </c>
      <c r="Y196" s="3" t="s">
        <v>30</v>
      </c>
      <c r="Z196" s="0" t="str">
        <f aca="false">IF(M196=1,P196,"")</f>
        <v/>
      </c>
    </row>
    <row r="197" customFormat="false" ht="15" hidden="false" customHeight="false" outlineLevel="0" collapsed="false">
      <c r="A197" s="0" t="s">
        <v>240</v>
      </c>
      <c r="B197" s="2" t="n">
        <v>45772</v>
      </c>
      <c r="C197" s="3" t="s">
        <v>27</v>
      </c>
      <c r="D197" s="3" t="s">
        <v>34</v>
      </c>
      <c r="E197" s="3" t="s">
        <v>29</v>
      </c>
      <c r="F197" s="3" t="s">
        <v>30</v>
      </c>
      <c r="G197" s="3" t="s">
        <v>50</v>
      </c>
      <c r="H197" s="3" t="s">
        <v>30</v>
      </c>
      <c r="I197" s="3" t="s">
        <v>32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str">
        <f aca="false">IF(OR(NOT(OR(J197=0,J197=1)),NOT(OR(K197=0,K197=1)),NOT(OR(L197=0,L197=1)),NOT(OR(M197=0,M197=1)),NOT(OR(U197=0,U197=1))),"Yes","No")</f>
        <v>No</v>
      </c>
      <c r="O197" s="0" t="str">
        <f aca="false">IF(OR(AND(M197=1,L197=0),AND(L197=1,K197=0),AND(K197=1,J197=0)),"Yes","No")</f>
        <v>No</v>
      </c>
      <c r="P197" s="0" t="n">
        <v>0</v>
      </c>
      <c r="Q197" s="0" t="str">
        <f aca="false">IF(OR(AND(M197=0,P197&gt;0),AND(M197=1,P197&lt;=0)),"Yes","No")</f>
        <v>No</v>
      </c>
      <c r="R197" s="0" t="str">
        <f aca="false">IF(AND(M197=1,P197&gt;calc_helpers!$B$5),"Yes","No")</f>
        <v>No</v>
      </c>
      <c r="S197" s="0" t="n">
        <v>0</v>
      </c>
      <c r="T197" s="0" t="str">
        <f aca="false">IF(S197&gt;0,"Yes","No")</f>
        <v>No</v>
      </c>
      <c r="U197" s="0" t="n">
        <v>0</v>
      </c>
      <c r="W197" s="0" t="str">
        <f aca="false">IF(OR(AND(M197=1,ISBLANK(V197)),AND(M197=0,NOT(ISBLANK(V197)))),"Yes","No")</f>
        <v>No</v>
      </c>
      <c r="X197" s="0" t="n">
        <v>74.2</v>
      </c>
      <c r="Y197" s="3" t="s">
        <v>30</v>
      </c>
      <c r="Z197" s="0" t="str">
        <f aca="false">IF(M197=1,P197,"")</f>
        <v/>
      </c>
    </row>
    <row r="198" customFormat="false" ht="15" hidden="false" customHeight="false" outlineLevel="0" collapsed="false">
      <c r="A198" s="0" t="s">
        <v>241</v>
      </c>
      <c r="B198" s="2" t="n">
        <v>45715</v>
      </c>
      <c r="C198" s="3" t="s">
        <v>27</v>
      </c>
      <c r="D198" s="3" t="s">
        <v>28</v>
      </c>
      <c r="E198" s="3" t="s">
        <v>35</v>
      </c>
      <c r="F198" s="3" t="s">
        <v>30</v>
      </c>
      <c r="G198" s="3" t="s">
        <v>52</v>
      </c>
      <c r="H198" s="3" t="s">
        <v>30</v>
      </c>
      <c r="I198" s="3" t="s">
        <v>32</v>
      </c>
      <c r="J198" s="0" t="n">
        <v>1</v>
      </c>
      <c r="K198" s="0" t="n">
        <v>1</v>
      </c>
      <c r="L198" s="0" t="n">
        <v>1</v>
      </c>
      <c r="M198" s="0" t="n">
        <v>1</v>
      </c>
      <c r="N198" s="0" t="str">
        <f aca="false">IF(OR(NOT(OR(J198=0,J198=1)),NOT(OR(K198=0,K198=1)),NOT(OR(L198=0,L198=1)),NOT(OR(M198=0,M198=1)),NOT(OR(U198=0,U198=1))),"Yes","No")</f>
        <v>No</v>
      </c>
      <c r="O198" s="0" t="str">
        <f aca="false">IF(OR(AND(M198=1,L198=0),AND(L198=1,K198=0),AND(K198=1,J198=0)),"Yes","No")</f>
        <v>No</v>
      </c>
      <c r="P198" s="0" t="n">
        <v>1052.8</v>
      </c>
      <c r="Q198" s="0" t="str">
        <f aca="false">IF(OR(AND(M198=0,P198&gt;0),AND(M198=1,P198&lt;=0)),"Yes","No")</f>
        <v>No</v>
      </c>
      <c r="R198" s="0" t="str">
        <f aca="false">IF(AND(M198=1,P198&gt;calc_helpers!$B$5),"Yes","No")</f>
        <v>No</v>
      </c>
      <c r="S198" s="0" t="n">
        <v>2</v>
      </c>
      <c r="T198" s="0" t="str">
        <f aca="false">IF(S198&gt;0,"Yes","No")</f>
        <v>Yes</v>
      </c>
      <c r="U198" s="0" t="n">
        <v>0</v>
      </c>
      <c r="V198" s="0" t="n">
        <v>6</v>
      </c>
      <c r="W198" s="0" t="str">
        <f aca="false">IF(OR(AND(M198=1,ISBLANK(V198)),AND(M198=0,NOT(ISBLANK(V198)))),"Yes","No")</f>
        <v>No</v>
      </c>
      <c r="X198" s="0" t="n">
        <v>64.7</v>
      </c>
      <c r="Y198" s="3" t="s">
        <v>30</v>
      </c>
      <c r="Z198" s="3" t="n">
        <f aca="false">IF(M198=1,P198,"")</f>
        <v>1052.8</v>
      </c>
    </row>
    <row r="199" customFormat="false" ht="15" hidden="false" customHeight="false" outlineLevel="0" collapsed="false">
      <c r="A199" s="0" t="s">
        <v>242</v>
      </c>
      <c r="B199" s="2" t="n">
        <v>45773</v>
      </c>
      <c r="C199" s="3" t="s">
        <v>27</v>
      </c>
      <c r="D199" s="3" t="s">
        <v>43</v>
      </c>
      <c r="E199" s="3" t="s">
        <v>35</v>
      </c>
      <c r="F199" s="3" t="s">
        <v>30</v>
      </c>
      <c r="G199" s="3" t="s">
        <v>40</v>
      </c>
      <c r="H199" s="3" t="s">
        <v>30</v>
      </c>
      <c r="I199" s="3" t="s">
        <v>32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str">
        <f aca="false">IF(OR(NOT(OR(J199=0,J199=1)),NOT(OR(K199=0,K199=1)),NOT(OR(L199=0,L199=1)),NOT(OR(M199=0,M199=1)),NOT(OR(U199=0,U199=1))),"Yes","No")</f>
        <v>No</v>
      </c>
      <c r="O199" s="0" t="str">
        <f aca="false">IF(OR(AND(M199=1,L199=0),AND(L199=1,K199=0),AND(K199=1,J199=0)),"Yes","No")</f>
        <v>No</v>
      </c>
      <c r="P199" s="0" t="n">
        <v>0</v>
      </c>
      <c r="Q199" s="0" t="str">
        <f aca="false">IF(OR(AND(M199=0,P199&gt;0),AND(M199=1,P199&lt;=0)),"Yes","No")</f>
        <v>No</v>
      </c>
      <c r="R199" s="0" t="str">
        <f aca="false">IF(AND(M199=1,P199&gt;calc_helpers!$B$5),"Yes","No")</f>
        <v>No</v>
      </c>
      <c r="S199" s="0" t="n">
        <v>0</v>
      </c>
      <c r="T199" s="0" t="str">
        <f aca="false">IF(S199&gt;0,"Yes","No")</f>
        <v>No</v>
      </c>
      <c r="U199" s="0" t="n">
        <v>0</v>
      </c>
      <c r="W199" s="0" t="str">
        <f aca="false">IF(OR(AND(M199=1,ISBLANK(V199)),AND(M199=0,NOT(ISBLANK(V199)))),"Yes","No")</f>
        <v>No</v>
      </c>
      <c r="X199" s="0" t="n">
        <v>65.9</v>
      </c>
      <c r="Y199" s="3" t="s">
        <v>30</v>
      </c>
      <c r="Z199" s="0" t="str">
        <f aca="false">IF(M199=1,P199,"")</f>
        <v/>
      </c>
    </row>
    <row r="200" customFormat="false" ht="15" hidden="false" customHeight="false" outlineLevel="0" collapsed="false">
      <c r="A200" s="0" t="s">
        <v>243</v>
      </c>
      <c r="B200" s="2" t="n">
        <v>45791</v>
      </c>
      <c r="C200" s="3" t="s">
        <v>27</v>
      </c>
      <c r="D200" s="3" t="s">
        <v>28</v>
      </c>
      <c r="E200" s="3" t="s">
        <v>35</v>
      </c>
      <c r="F200" s="3" t="s">
        <v>30</v>
      </c>
      <c r="G200" s="3" t="s">
        <v>36</v>
      </c>
      <c r="H200" s="3" t="s">
        <v>30</v>
      </c>
      <c r="I200" s="3" t="s">
        <v>32</v>
      </c>
      <c r="J200" s="0" t="n">
        <v>1</v>
      </c>
      <c r="K200" s="0" t="n">
        <v>0</v>
      </c>
      <c r="L200" s="0" t="n">
        <v>0</v>
      </c>
      <c r="M200" s="0" t="n">
        <v>0</v>
      </c>
      <c r="N200" s="0" t="str">
        <f aca="false">IF(OR(NOT(OR(J200=0,J200=1)),NOT(OR(K200=0,K200=1)),NOT(OR(L200=0,L200=1)),NOT(OR(M200=0,M200=1)),NOT(OR(U200=0,U200=1))),"Yes","No")</f>
        <v>No</v>
      </c>
      <c r="O200" s="0" t="str">
        <f aca="false">IF(OR(AND(M200=1,L200=0),AND(L200=1,K200=0),AND(K200=1,J200=0)),"Yes","No")</f>
        <v>No</v>
      </c>
      <c r="P200" s="0" t="n">
        <v>0</v>
      </c>
      <c r="Q200" s="0" t="str">
        <f aca="false">IF(OR(AND(M200=0,P200&gt;0),AND(M200=1,P200&lt;=0)),"Yes","No")</f>
        <v>No</v>
      </c>
      <c r="R200" s="0" t="str">
        <f aca="false">IF(AND(M200=1,P200&gt;calc_helpers!$B$5),"Yes","No")</f>
        <v>No</v>
      </c>
      <c r="S200" s="0" t="n">
        <v>0</v>
      </c>
      <c r="T200" s="0" t="str">
        <f aca="false">IF(S200&gt;0,"Yes","No")</f>
        <v>No</v>
      </c>
      <c r="U200" s="0" t="n">
        <v>0</v>
      </c>
      <c r="W200" s="0" t="str">
        <f aca="false">IF(OR(AND(M200=1,ISBLANK(V200)),AND(M200=0,NOT(ISBLANK(V200)))),"Yes","No")</f>
        <v>No</v>
      </c>
      <c r="X200" s="0" t="n">
        <v>64</v>
      </c>
      <c r="Y200" s="3" t="s">
        <v>30</v>
      </c>
      <c r="Z200" s="0" t="str">
        <f aca="false">IF(M200=1,P200,"")</f>
        <v/>
      </c>
    </row>
    <row r="201" customFormat="false" ht="15" hidden="false" customHeight="false" outlineLevel="0" collapsed="false">
      <c r="A201" s="0" t="s">
        <v>244</v>
      </c>
      <c r="B201" s="2" t="n">
        <v>45721</v>
      </c>
      <c r="C201" s="3" t="s">
        <v>27</v>
      </c>
      <c r="D201" s="3" t="s">
        <v>28</v>
      </c>
      <c r="E201" s="3" t="s">
        <v>35</v>
      </c>
      <c r="F201" s="3" t="s">
        <v>30</v>
      </c>
      <c r="G201" s="3" t="s">
        <v>36</v>
      </c>
      <c r="H201" s="3" t="s">
        <v>30</v>
      </c>
      <c r="I201" s="3" t="s">
        <v>41</v>
      </c>
      <c r="J201" s="0" t="n">
        <v>1</v>
      </c>
      <c r="K201" s="0" t="n">
        <v>0</v>
      </c>
      <c r="L201" s="0" t="n">
        <v>0</v>
      </c>
      <c r="M201" s="0" t="n">
        <v>0</v>
      </c>
      <c r="N201" s="0" t="str">
        <f aca="false">IF(OR(NOT(OR(J201=0,J201=1)),NOT(OR(K201=0,K201=1)),NOT(OR(L201=0,L201=1)),NOT(OR(M201=0,M201=1)),NOT(OR(U201=0,U201=1))),"Yes","No")</f>
        <v>No</v>
      </c>
      <c r="O201" s="0" t="str">
        <f aca="false">IF(OR(AND(M201=1,L201=0),AND(L201=1,K201=0),AND(K201=1,J201=0)),"Yes","No")</f>
        <v>No</v>
      </c>
      <c r="P201" s="0" t="n">
        <v>0</v>
      </c>
      <c r="Q201" s="0" t="str">
        <f aca="false">IF(OR(AND(M201=0,P201&gt;0),AND(M201=1,P201&lt;=0)),"Yes","No")</f>
        <v>No</v>
      </c>
      <c r="R201" s="0" t="str">
        <f aca="false">IF(AND(M201=1,P201&gt;calc_helpers!$B$5),"Yes","No")</f>
        <v>No</v>
      </c>
      <c r="S201" s="0" t="n">
        <v>0</v>
      </c>
      <c r="T201" s="0" t="str">
        <f aca="false">IF(S201&gt;0,"Yes","No")</f>
        <v>No</v>
      </c>
      <c r="U201" s="0" t="n">
        <v>0</v>
      </c>
      <c r="W201" s="0" t="str">
        <f aca="false">IF(OR(AND(M201=1,ISBLANK(V201)),AND(M201=0,NOT(ISBLANK(V201)))),"Yes","No")</f>
        <v>No</v>
      </c>
      <c r="X201" s="0" t="n">
        <v>57.2</v>
      </c>
      <c r="Y201" s="3" t="s">
        <v>30</v>
      </c>
      <c r="Z201" s="0" t="str">
        <f aca="false">IF(M201=1,P201,"")</f>
        <v/>
      </c>
    </row>
    <row r="202" customFormat="false" ht="15" hidden="false" customHeight="false" outlineLevel="0" collapsed="false">
      <c r="A202" s="0" t="s">
        <v>245</v>
      </c>
      <c r="B202" s="2" t="n">
        <v>45749</v>
      </c>
      <c r="C202" s="3" t="s">
        <v>27</v>
      </c>
      <c r="D202" s="3" t="s">
        <v>34</v>
      </c>
      <c r="E202" s="3" t="s">
        <v>29</v>
      </c>
      <c r="F202" s="3" t="s">
        <v>30</v>
      </c>
      <c r="G202" s="3" t="s">
        <v>36</v>
      </c>
      <c r="H202" s="3" t="s">
        <v>30</v>
      </c>
      <c r="I202" s="3" t="s">
        <v>37</v>
      </c>
      <c r="J202" s="0" t="n">
        <v>1</v>
      </c>
      <c r="K202" s="0" t="n">
        <v>0</v>
      </c>
      <c r="L202" s="0" t="n">
        <v>0</v>
      </c>
      <c r="M202" s="0" t="n">
        <v>0</v>
      </c>
      <c r="N202" s="0" t="str">
        <f aca="false">IF(OR(NOT(OR(J202=0,J202=1)),NOT(OR(K202=0,K202=1)),NOT(OR(L202=0,L202=1)),NOT(OR(M202=0,M202=1)),NOT(OR(U202=0,U202=1))),"Yes","No")</f>
        <v>No</v>
      </c>
      <c r="O202" s="0" t="str">
        <f aca="false">IF(OR(AND(M202=1,L202=0),AND(L202=1,K202=0),AND(K202=1,J202=0)),"Yes","No")</f>
        <v>No</v>
      </c>
      <c r="P202" s="0" t="n">
        <v>0</v>
      </c>
      <c r="Q202" s="0" t="str">
        <f aca="false">IF(OR(AND(M202=0,P202&gt;0),AND(M202=1,P202&lt;=0)),"Yes","No")</f>
        <v>No</v>
      </c>
      <c r="R202" s="0" t="str">
        <f aca="false">IF(AND(M202=1,P202&gt;calc_helpers!$B$5),"Yes","No")</f>
        <v>No</v>
      </c>
      <c r="S202" s="0" t="n">
        <v>0</v>
      </c>
      <c r="T202" s="0" t="str">
        <f aca="false">IF(S202&gt;0,"Yes","No")</f>
        <v>No</v>
      </c>
      <c r="U202" s="0" t="n">
        <v>0</v>
      </c>
      <c r="W202" s="0" t="str">
        <f aca="false">IF(OR(AND(M202=1,ISBLANK(V202)),AND(M202=0,NOT(ISBLANK(V202)))),"Yes","No")</f>
        <v>No</v>
      </c>
      <c r="X202" s="0" t="n">
        <v>80.5</v>
      </c>
      <c r="Y202" s="3" t="s">
        <v>30</v>
      </c>
      <c r="Z202" s="0" t="str">
        <f aca="false">IF(M202=1,P202,"")</f>
        <v/>
      </c>
    </row>
    <row r="203" customFormat="false" ht="15" hidden="false" customHeight="false" outlineLevel="0" collapsed="false">
      <c r="A203" s="0" t="s">
        <v>246</v>
      </c>
      <c r="B203" s="2" t="n">
        <v>45791</v>
      </c>
      <c r="C203" s="3" t="s">
        <v>27</v>
      </c>
      <c r="D203" s="3" t="s">
        <v>43</v>
      </c>
      <c r="E203" s="3" t="s">
        <v>45</v>
      </c>
      <c r="F203" s="3" t="s">
        <v>30</v>
      </c>
      <c r="G203" s="3" t="s">
        <v>36</v>
      </c>
      <c r="H203" s="3" t="s">
        <v>30</v>
      </c>
      <c r="I203" s="3" t="s">
        <v>37</v>
      </c>
      <c r="J203" s="0" t="n">
        <v>0</v>
      </c>
      <c r="K203" s="0" t="n">
        <v>0</v>
      </c>
      <c r="L203" s="0" t="n">
        <v>0</v>
      </c>
      <c r="M203" s="0" t="n">
        <v>0</v>
      </c>
      <c r="N203" s="0" t="str">
        <f aca="false">IF(OR(NOT(OR(J203=0,J203=1)),NOT(OR(K203=0,K203=1)),NOT(OR(L203=0,L203=1)),NOT(OR(M203=0,M203=1)),NOT(OR(U203=0,U203=1))),"Yes","No")</f>
        <v>No</v>
      </c>
      <c r="O203" s="0" t="str">
        <f aca="false">IF(OR(AND(M203=1,L203=0),AND(L203=1,K203=0),AND(K203=1,J203=0)),"Yes","No")</f>
        <v>No</v>
      </c>
      <c r="P203" s="0" t="n">
        <v>0</v>
      </c>
      <c r="Q203" s="0" t="str">
        <f aca="false">IF(OR(AND(M203=0,P203&gt;0),AND(M203=1,P203&lt;=0)),"Yes","No")</f>
        <v>No</v>
      </c>
      <c r="R203" s="0" t="str">
        <f aca="false">IF(AND(M203=1,P203&gt;calc_helpers!$B$5),"Yes","No")</f>
        <v>No</v>
      </c>
      <c r="S203" s="0" t="n">
        <v>0</v>
      </c>
      <c r="T203" s="0" t="str">
        <f aca="false">IF(S203&gt;0,"Yes","No")</f>
        <v>No</v>
      </c>
      <c r="U203" s="0" t="n">
        <v>0</v>
      </c>
      <c r="W203" s="0" t="str">
        <f aca="false">IF(OR(AND(M203=1,ISBLANK(V203)),AND(M203=0,NOT(ISBLANK(V203)))),"Yes","No")</f>
        <v>No</v>
      </c>
      <c r="X203" s="0" t="n">
        <v>53.9</v>
      </c>
      <c r="Y203" s="3" t="s">
        <v>30</v>
      </c>
      <c r="Z203" s="0" t="str">
        <f aca="false">IF(M203=1,P203,"")</f>
        <v/>
      </c>
    </row>
    <row r="204" customFormat="false" ht="15" hidden="false" customHeight="false" outlineLevel="0" collapsed="false">
      <c r="A204" s="0" t="s">
        <v>247</v>
      </c>
      <c r="B204" s="2" t="n">
        <v>45798</v>
      </c>
      <c r="C204" s="3" t="s">
        <v>27</v>
      </c>
      <c r="D204" s="3" t="s">
        <v>28</v>
      </c>
      <c r="E204" s="3" t="s">
        <v>35</v>
      </c>
      <c r="F204" s="3" t="s">
        <v>30</v>
      </c>
      <c r="G204" s="3" t="s">
        <v>40</v>
      </c>
      <c r="H204" s="3" t="s">
        <v>30</v>
      </c>
      <c r="I204" s="3" t="s">
        <v>37</v>
      </c>
      <c r="J204" s="0" t="n">
        <v>1</v>
      </c>
      <c r="K204" s="0" t="n">
        <v>1</v>
      </c>
      <c r="L204" s="0" t="n">
        <v>0</v>
      </c>
      <c r="M204" s="0" t="n">
        <v>0</v>
      </c>
      <c r="N204" s="0" t="str">
        <f aca="false">IF(OR(NOT(OR(J204=0,J204=1)),NOT(OR(K204=0,K204=1)),NOT(OR(L204=0,L204=1)),NOT(OR(M204=0,M204=1)),NOT(OR(U204=0,U204=1))),"Yes","No")</f>
        <v>No</v>
      </c>
      <c r="O204" s="0" t="str">
        <f aca="false">IF(OR(AND(M204=1,L204=0),AND(L204=1,K204=0),AND(K204=1,J204=0)),"Yes","No")</f>
        <v>No</v>
      </c>
      <c r="P204" s="0" t="n">
        <v>0</v>
      </c>
      <c r="Q204" s="0" t="str">
        <f aca="false">IF(OR(AND(M204=0,P204&gt;0),AND(M204=1,P204&lt;=0)),"Yes","No")</f>
        <v>No</v>
      </c>
      <c r="R204" s="0" t="str">
        <f aca="false">IF(AND(M204=1,P204&gt;calc_helpers!$B$5),"Yes","No")</f>
        <v>No</v>
      </c>
      <c r="S204" s="0" t="n">
        <v>0</v>
      </c>
      <c r="T204" s="0" t="str">
        <f aca="false">IF(S204&gt;0,"Yes","No")</f>
        <v>No</v>
      </c>
      <c r="U204" s="0" t="n">
        <v>0</v>
      </c>
      <c r="W204" s="0" t="str">
        <f aca="false">IF(OR(AND(M204=1,ISBLANK(V204)),AND(M204=0,NOT(ISBLANK(V204)))),"Yes","No")</f>
        <v>No</v>
      </c>
      <c r="X204" s="0" t="n">
        <v>77.5</v>
      </c>
      <c r="Y204" s="3" t="s">
        <v>30</v>
      </c>
      <c r="Z204" s="0" t="str">
        <f aca="false">IF(M204=1,P204,"")</f>
        <v/>
      </c>
    </row>
    <row r="205" customFormat="false" ht="15" hidden="false" customHeight="false" outlineLevel="0" collapsed="false">
      <c r="A205" s="0" t="s">
        <v>248</v>
      </c>
      <c r="B205" s="2" t="n">
        <v>45684</v>
      </c>
      <c r="C205" s="3" t="s">
        <v>27</v>
      </c>
      <c r="D205" s="3" t="s">
        <v>39</v>
      </c>
      <c r="E205" s="3" t="s">
        <v>35</v>
      </c>
      <c r="F205" s="3" t="s">
        <v>30</v>
      </c>
      <c r="G205" s="3" t="s">
        <v>52</v>
      </c>
      <c r="H205" s="3" t="s">
        <v>30</v>
      </c>
      <c r="I205" s="3" t="s">
        <v>32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str">
        <f aca="false">IF(OR(NOT(OR(J205=0,J205=1)),NOT(OR(K205=0,K205=1)),NOT(OR(L205=0,L205=1)),NOT(OR(M205=0,M205=1)),NOT(OR(U205=0,U205=1))),"Yes","No")</f>
        <v>No</v>
      </c>
      <c r="O205" s="0" t="str">
        <f aca="false">IF(OR(AND(M205=1,L205=0),AND(L205=1,K205=0),AND(K205=1,J205=0)),"Yes","No")</f>
        <v>No</v>
      </c>
      <c r="P205" s="0" t="n">
        <v>0</v>
      </c>
      <c r="Q205" s="0" t="str">
        <f aca="false">IF(OR(AND(M205=0,P205&gt;0),AND(M205=1,P205&lt;=0)),"Yes","No")</f>
        <v>No</v>
      </c>
      <c r="R205" s="0" t="str">
        <f aca="false">IF(AND(M205=1,P205&gt;calc_helpers!$B$5),"Yes","No")</f>
        <v>No</v>
      </c>
      <c r="S205" s="0" t="n">
        <v>0</v>
      </c>
      <c r="T205" s="0" t="str">
        <f aca="false">IF(S205&gt;0,"Yes","No")</f>
        <v>No</v>
      </c>
      <c r="U205" s="0" t="n">
        <v>0</v>
      </c>
      <c r="W205" s="0" t="str">
        <f aca="false">IF(OR(AND(M205=1,ISBLANK(V205)),AND(M205=0,NOT(ISBLANK(V205)))),"Yes","No")</f>
        <v>No</v>
      </c>
      <c r="X205" s="0" t="n">
        <v>84.2</v>
      </c>
      <c r="Y205" s="3" t="s">
        <v>30</v>
      </c>
      <c r="Z205" s="0" t="str">
        <f aca="false">IF(M205=1,P205,"")</f>
        <v/>
      </c>
    </row>
    <row r="206" customFormat="false" ht="15" hidden="false" customHeight="false" outlineLevel="0" collapsed="false">
      <c r="A206" s="0" t="s">
        <v>249</v>
      </c>
      <c r="B206" s="2" t="n">
        <v>45799</v>
      </c>
      <c r="C206" s="3" t="s">
        <v>27</v>
      </c>
      <c r="D206" s="3" t="s">
        <v>34</v>
      </c>
      <c r="E206" s="3" t="s">
        <v>29</v>
      </c>
      <c r="F206" s="3" t="s">
        <v>30</v>
      </c>
      <c r="G206" s="3" t="s">
        <v>36</v>
      </c>
      <c r="H206" s="3" t="s">
        <v>30</v>
      </c>
      <c r="I206" s="3" t="s">
        <v>37</v>
      </c>
      <c r="J206" s="0" t="n">
        <v>1</v>
      </c>
      <c r="K206" s="0" t="n">
        <v>1</v>
      </c>
      <c r="L206" s="0" t="n">
        <v>0</v>
      </c>
      <c r="M206" s="0" t="n">
        <v>0</v>
      </c>
      <c r="N206" s="0" t="str">
        <f aca="false">IF(OR(NOT(OR(J206=0,J206=1)),NOT(OR(K206=0,K206=1)),NOT(OR(L206=0,L206=1)),NOT(OR(M206=0,M206=1)),NOT(OR(U206=0,U206=1))),"Yes","No")</f>
        <v>No</v>
      </c>
      <c r="O206" s="0" t="str">
        <f aca="false">IF(OR(AND(M206=1,L206=0),AND(L206=1,K206=0),AND(K206=1,J206=0)),"Yes","No")</f>
        <v>No</v>
      </c>
      <c r="P206" s="0" t="n">
        <v>0</v>
      </c>
      <c r="Q206" s="0" t="str">
        <f aca="false">IF(OR(AND(M206=0,P206&gt;0),AND(M206=1,P206&lt;=0)),"Yes","No")</f>
        <v>No</v>
      </c>
      <c r="R206" s="0" t="str">
        <f aca="false">IF(AND(M206=1,P206&gt;calc_helpers!$B$5),"Yes","No")</f>
        <v>No</v>
      </c>
      <c r="S206" s="0" t="n">
        <v>0</v>
      </c>
      <c r="T206" s="0" t="str">
        <f aca="false">IF(S206&gt;0,"Yes","No")</f>
        <v>No</v>
      </c>
      <c r="U206" s="0" t="n">
        <v>0</v>
      </c>
      <c r="W206" s="0" t="str">
        <f aca="false">IF(OR(AND(M206=1,ISBLANK(V206)),AND(M206=0,NOT(ISBLANK(V206)))),"Yes","No")</f>
        <v>No</v>
      </c>
      <c r="X206" s="0" t="n">
        <v>54.9</v>
      </c>
      <c r="Y206" s="3" t="s">
        <v>30</v>
      </c>
      <c r="Z206" s="0" t="str">
        <f aca="false">IF(M206=1,P206,"")</f>
        <v/>
      </c>
    </row>
    <row r="207" customFormat="false" ht="15" hidden="false" customHeight="false" outlineLevel="0" collapsed="false">
      <c r="A207" s="0" t="s">
        <v>250</v>
      </c>
      <c r="B207" s="2" t="n">
        <v>45796</v>
      </c>
      <c r="C207" s="3" t="s">
        <v>27</v>
      </c>
      <c r="D207" s="3" t="s">
        <v>43</v>
      </c>
      <c r="E207" s="3" t="s">
        <v>35</v>
      </c>
      <c r="F207" s="3" t="s">
        <v>30</v>
      </c>
      <c r="G207" s="3" t="s">
        <v>40</v>
      </c>
      <c r="H207" s="3" t="s">
        <v>30</v>
      </c>
      <c r="I207" s="3" t="s">
        <v>37</v>
      </c>
      <c r="J207" s="0" t="n">
        <v>0</v>
      </c>
      <c r="K207" s="0" t="n">
        <v>0</v>
      </c>
      <c r="L207" s="0" t="n">
        <v>0</v>
      </c>
      <c r="M207" s="0" t="n">
        <v>0</v>
      </c>
      <c r="N207" s="0" t="str">
        <f aca="false">IF(OR(NOT(OR(J207=0,J207=1)),NOT(OR(K207=0,K207=1)),NOT(OR(L207=0,L207=1)),NOT(OR(M207=0,M207=1)),NOT(OR(U207=0,U207=1))),"Yes","No")</f>
        <v>No</v>
      </c>
      <c r="O207" s="0" t="str">
        <f aca="false">IF(OR(AND(M207=1,L207=0),AND(L207=1,K207=0),AND(K207=1,J207=0)),"Yes","No")</f>
        <v>No</v>
      </c>
      <c r="P207" s="0" t="n">
        <v>0</v>
      </c>
      <c r="Q207" s="0" t="str">
        <f aca="false">IF(OR(AND(M207=0,P207&gt;0),AND(M207=1,P207&lt;=0)),"Yes","No")</f>
        <v>No</v>
      </c>
      <c r="R207" s="0" t="str">
        <f aca="false">IF(AND(M207=1,P207&gt;calc_helpers!$B$5),"Yes","No")</f>
        <v>No</v>
      </c>
      <c r="S207" s="0" t="n">
        <v>0</v>
      </c>
      <c r="T207" s="0" t="str">
        <f aca="false">IF(S207&gt;0,"Yes","No")</f>
        <v>No</v>
      </c>
      <c r="U207" s="0" t="n">
        <v>0</v>
      </c>
      <c r="W207" s="0" t="str">
        <f aca="false">IF(OR(AND(M207=1,ISBLANK(V207)),AND(M207=0,NOT(ISBLANK(V207)))),"Yes","No")</f>
        <v>No</v>
      </c>
      <c r="X207" s="0" t="n">
        <v>69.3</v>
      </c>
      <c r="Y207" s="3" t="s">
        <v>30</v>
      </c>
      <c r="Z207" s="0" t="str">
        <f aca="false">IF(M207=1,P207,"")</f>
        <v/>
      </c>
    </row>
    <row r="208" customFormat="false" ht="15" hidden="false" customHeight="false" outlineLevel="0" collapsed="false">
      <c r="A208" s="0" t="s">
        <v>251</v>
      </c>
      <c r="B208" s="2" t="n">
        <v>45671</v>
      </c>
      <c r="C208" s="3" t="s">
        <v>27</v>
      </c>
      <c r="D208" s="3" t="s">
        <v>43</v>
      </c>
      <c r="E208" s="3" t="s">
        <v>29</v>
      </c>
      <c r="F208" s="3" t="s">
        <v>30</v>
      </c>
      <c r="G208" s="3" t="s">
        <v>40</v>
      </c>
      <c r="H208" s="3" t="s">
        <v>30</v>
      </c>
      <c r="I208" s="3" t="s">
        <v>37</v>
      </c>
      <c r="J208" s="0" t="n">
        <v>1</v>
      </c>
      <c r="K208" s="0" t="n">
        <v>0</v>
      </c>
      <c r="L208" s="0" t="n">
        <v>0</v>
      </c>
      <c r="M208" s="0" t="n">
        <v>0</v>
      </c>
      <c r="N208" s="0" t="str">
        <f aca="false">IF(OR(NOT(OR(J208=0,J208=1)),NOT(OR(K208=0,K208=1)),NOT(OR(L208=0,L208=1)),NOT(OR(M208=0,M208=1)),NOT(OR(U208=0,U208=1))),"Yes","No")</f>
        <v>No</v>
      </c>
      <c r="O208" s="0" t="str">
        <f aca="false">IF(OR(AND(M208=1,L208=0),AND(L208=1,K208=0),AND(K208=1,J208=0)),"Yes","No")</f>
        <v>No</v>
      </c>
      <c r="P208" s="0" t="n">
        <v>0</v>
      </c>
      <c r="Q208" s="0" t="str">
        <f aca="false">IF(OR(AND(M208=0,P208&gt;0),AND(M208=1,P208&lt;=0)),"Yes","No")</f>
        <v>No</v>
      </c>
      <c r="R208" s="0" t="str">
        <f aca="false">IF(AND(M208=1,P208&gt;calc_helpers!$B$5),"Yes","No")</f>
        <v>No</v>
      </c>
      <c r="S208" s="0" t="n">
        <v>2</v>
      </c>
      <c r="T208" s="0" t="str">
        <f aca="false">IF(S208&gt;0,"Yes","No")</f>
        <v>Yes</v>
      </c>
      <c r="U208" s="0" t="n">
        <v>0</v>
      </c>
      <c r="W208" s="0" t="str">
        <f aca="false">IF(OR(AND(M208=1,ISBLANK(V208)),AND(M208=0,NOT(ISBLANK(V208)))),"Yes","No")</f>
        <v>No</v>
      </c>
      <c r="X208" s="0" t="n">
        <v>42.3</v>
      </c>
      <c r="Y208" s="3" t="s">
        <v>30</v>
      </c>
      <c r="Z208" s="0" t="str">
        <f aca="false">IF(M208=1,P208,"")</f>
        <v/>
      </c>
    </row>
    <row r="209" customFormat="false" ht="15" hidden="false" customHeight="false" outlineLevel="0" collapsed="false">
      <c r="A209" s="0" t="s">
        <v>252</v>
      </c>
      <c r="B209" s="2" t="n">
        <v>45678</v>
      </c>
      <c r="C209" s="3" t="s">
        <v>27</v>
      </c>
      <c r="D209" s="3" t="s">
        <v>28</v>
      </c>
      <c r="E209" s="3" t="s">
        <v>29</v>
      </c>
      <c r="F209" s="3" t="s">
        <v>30</v>
      </c>
      <c r="G209" s="3" t="s">
        <v>50</v>
      </c>
      <c r="H209" s="3" t="s">
        <v>30</v>
      </c>
      <c r="I209" s="3" t="s">
        <v>41</v>
      </c>
      <c r="J209" s="0" t="n">
        <v>1</v>
      </c>
      <c r="K209" s="0" t="n">
        <v>0</v>
      </c>
      <c r="L209" s="0" t="n">
        <v>0</v>
      </c>
      <c r="M209" s="0" t="n">
        <v>0</v>
      </c>
      <c r="N209" s="0" t="str">
        <f aca="false">IF(OR(NOT(OR(J209=0,J209=1)),NOT(OR(K209=0,K209=1)),NOT(OR(L209=0,L209=1)),NOT(OR(M209=0,M209=1)),NOT(OR(U209=0,U209=1))),"Yes","No")</f>
        <v>No</v>
      </c>
      <c r="O209" s="0" t="str">
        <f aca="false">IF(OR(AND(M209=1,L209=0),AND(L209=1,K209=0),AND(K209=1,J209=0)),"Yes","No")</f>
        <v>No</v>
      </c>
      <c r="P209" s="0" t="n">
        <v>0</v>
      </c>
      <c r="Q209" s="0" t="str">
        <f aca="false">IF(OR(AND(M209=0,P209&gt;0),AND(M209=1,P209&lt;=0)),"Yes","No")</f>
        <v>No</v>
      </c>
      <c r="R209" s="0" t="str">
        <f aca="false">IF(AND(M209=1,P209&gt;calc_helpers!$B$5),"Yes","No")</f>
        <v>No</v>
      </c>
      <c r="S209" s="0" t="n">
        <v>1</v>
      </c>
      <c r="T209" s="0" t="str">
        <f aca="false">IF(S209&gt;0,"Yes","No")</f>
        <v>Yes</v>
      </c>
      <c r="U209" s="0" t="n">
        <v>0</v>
      </c>
      <c r="W209" s="0" t="str">
        <f aca="false">IF(OR(AND(M209=1,ISBLANK(V209)),AND(M209=0,NOT(ISBLANK(V209)))),"Yes","No")</f>
        <v>No</v>
      </c>
      <c r="X209" s="0" t="n">
        <v>69.6</v>
      </c>
      <c r="Y209" s="3" t="s">
        <v>30</v>
      </c>
      <c r="Z209" s="0" t="str">
        <f aca="false">IF(M209=1,P209,"")</f>
        <v/>
      </c>
    </row>
    <row r="210" customFormat="false" ht="15" hidden="false" customHeight="false" outlineLevel="0" collapsed="false">
      <c r="A210" s="0" t="s">
        <v>253</v>
      </c>
      <c r="B210" s="2" t="n">
        <v>45793</v>
      </c>
      <c r="C210" s="3" t="s">
        <v>27</v>
      </c>
      <c r="D210" s="3" t="s">
        <v>39</v>
      </c>
      <c r="E210" s="3" t="s">
        <v>35</v>
      </c>
      <c r="F210" s="3" t="s">
        <v>30</v>
      </c>
      <c r="G210" s="3" t="s">
        <v>36</v>
      </c>
      <c r="H210" s="3" t="s">
        <v>30</v>
      </c>
      <c r="I210" s="3" t="s">
        <v>37</v>
      </c>
      <c r="J210" s="0" t="n">
        <v>0</v>
      </c>
      <c r="K210" s="0" t="n">
        <v>0</v>
      </c>
      <c r="L210" s="0" t="n">
        <v>0</v>
      </c>
      <c r="M210" s="0" t="n">
        <v>0</v>
      </c>
      <c r="N210" s="0" t="str">
        <f aca="false">IF(OR(NOT(OR(J210=0,J210=1)),NOT(OR(K210=0,K210=1)),NOT(OR(L210=0,L210=1)),NOT(OR(M210=0,M210=1)),NOT(OR(U210=0,U210=1))),"Yes","No")</f>
        <v>No</v>
      </c>
      <c r="O210" s="0" t="str">
        <f aca="false">IF(OR(AND(M210=1,L210=0),AND(L210=1,K210=0),AND(K210=1,J210=0)),"Yes","No")</f>
        <v>No</v>
      </c>
      <c r="P210" s="0" t="n">
        <v>0</v>
      </c>
      <c r="Q210" s="0" t="str">
        <f aca="false">IF(OR(AND(M210=0,P210&gt;0),AND(M210=1,P210&lt;=0)),"Yes","No")</f>
        <v>No</v>
      </c>
      <c r="R210" s="0" t="str">
        <f aca="false">IF(AND(M210=1,P210&gt;calc_helpers!$B$5),"Yes","No")</f>
        <v>No</v>
      </c>
      <c r="S210" s="0" t="n">
        <v>0</v>
      </c>
      <c r="T210" s="0" t="str">
        <f aca="false">IF(S210&gt;0,"Yes","No")</f>
        <v>No</v>
      </c>
      <c r="U210" s="0" t="n">
        <v>0</v>
      </c>
      <c r="W210" s="0" t="str">
        <f aca="false">IF(OR(AND(M210=1,ISBLANK(V210)),AND(M210=0,NOT(ISBLANK(V210)))),"Yes","No")</f>
        <v>No</v>
      </c>
      <c r="X210" s="0" t="n">
        <v>40.7</v>
      </c>
      <c r="Y210" s="3" t="s">
        <v>30</v>
      </c>
      <c r="Z210" s="0" t="str">
        <f aca="false">IF(M210=1,P210,"")</f>
        <v/>
      </c>
    </row>
    <row r="211" customFormat="false" ht="15" hidden="false" customHeight="false" outlineLevel="0" collapsed="false">
      <c r="A211" s="0" t="s">
        <v>254</v>
      </c>
      <c r="B211" s="2" t="n">
        <v>45690</v>
      </c>
      <c r="C211" s="3" t="s">
        <v>27</v>
      </c>
      <c r="D211" s="3" t="s">
        <v>28</v>
      </c>
      <c r="E211" s="3" t="s">
        <v>35</v>
      </c>
      <c r="F211" s="3" t="s">
        <v>30</v>
      </c>
      <c r="G211" s="3" t="s">
        <v>31</v>
      </c>
      <c r="H211" s="3" t="s">
        <v>30</v>
      </c>
      <c r="I211" s="3" t="s">
        <v>37</v>
      </c>
      <c r="J211" s="0" t="n">
        <v>1</v>
      </c>
      <c r="K211" s="0" t="n">
        <v>0</v>
      </c>
      <c r="L211" s="0" t="n">
        <v>0</v>
      </c>
      <c r="M211" s="0" t="n">
        <v>0</v>
      </c>
      <c r="N211" s="0" t="str">
        <f aca="false">IF(OR(NOT(OR(J211=0,J211=1)),NOT(OR(K211=0,K211=1)),NOT(OR(L211=0,L211=1)),NOT(OR(M211=0,M211=1)),NOT(OR(U211=0,U211=1))),"Yes","No")</f>
        <v>No</v>
      </c>
      <c r="O211" s="0" t="str">
        <f aca="false">IF(OR(AND(M211=1,L211=0),AND(L211=1,K211=0),AND(K211=1,J211=0)),"Yes","No")</f>
        <v>No</v>
      </c>
      <c r="P211" s="0" t="n">
        <v>0</v>
      </c>
      <c r="Q211" s="0" t="str">
        <f aca="false">IF(OR(AND(M211=0,P211&gt;0),AND(M211=1,P211&lt;=0)),"Yes","No")</f>
        <v>No</v>
      </c>
      <c r="R211" s="0" t="str">
        <f aca="false">IF(AND(M211=1,P211&gt;calc_helpers!$B$5),"Yes","No")</f>
        <v>No</v>
      </c>
      <c r="S211" s="0" t="n">
        <v>0</v>
      </c>
      <c r="T211" s="0" t="str">
        <f aca="false">IF(S211&gt;0,"Yes","No")</f>
        <v>No</v>
      </c>
      <c r="U211" s="0" t="n">
        <v>0</v>
      </c>
      <c r="W211" s="0" t="str">
        <f aca="false">IF(OR(AND(M211=1,ISBLANK(V211)),AND(M211=0,NOT(ISBLANK(V211)))),"Yes","No")</f>
        <v>No</v>
      </c>
      <c r="X211" s="0" t="n">
        <v>54</v>
      </c>
      <c r="Y211" s="3" t="s">
        <v>30</v>
      </c>
      <c r="Z211" s="0" t="str">
        <f aca="false">IF(M211=1,P211,"")</f>
        <v/>
      </c>
    </row>
    <row r="212" customFormat="false" ht="15" hidden="false" customHeight="false" outlineLevel="0" collapsed="false">
      <c r="A212" s="0" t="s">
        <v>255</v>
      </c>
      <c r="B212" s="2" t="n">
        <v>45739</v>
      </c>
      <c r="C212" s="3" t="s">
        <v>27</v>
      </c>
      <c r="D212" s="3" t="s">
        <v>39</v>
      </c>
      <c r="E212" s="3" t="s">
        <v>167</v>
      </c>
      <c r="F212" s="3" t="s">
        <v>168</v>
      </c>
      <c r="G212" s="3" t="s">
        <v>50</v>
      </c>
      <c r="H212" s="3" t="s">
        <v>30</v>
      </c>
      <c r="I212" s="3" t="s">
        <v>37</v>
      </c>
      <c r="J212" s="0" t="n">
        <v>1</v>
      </c>
      <c r="K212" s="0" t="n">
        <v>1</v>
      </c>
      <c r="L212" s="0" t="n">
        <v>1</v>
      </c>
      <c r="M212" s="0" t="n">
        <v>1</v>
      </c>
      <c r="N212" s="0" t="str">
        <f aca="false">IF(OR(NOT(OR(J212=0,J212=1)),NOT(OR(K212=0,K212=1)),NOT(OR(L212=0,L212=1)),NOT(OR(M212=0,M212=1)),NOT(OR(U212=0,U212=1))),"Yes","No")</f>
        <v>No</v>
      </c>
      <c r="O212" s="0" t="str">
        <f aca="false">IF(OR(AND(M212=1,L212=0),AND(L212=1,K212=0),AND(K212=1,J212=0)),"Yes","No")</f>
        <v>No</v>
      </c>
      <c r="P212" s="0" t="n">
        <v>553.37</v>
      </c>
      <c r="Q212" s="0" t="str">
        <f aca="false">IF(OR(AND(M212=0,P212&gt;0),AND(M212=1,P212&lt;=0)),"Yes","No")</f>
        <v>No</v>
      </c>
      <c r="R212" s="0" t="str">
        <f aca="false">IF(AND(M212=1,P212&gt;calc_helpers!$B$5),"Yes","No")</f>
        <v>No</v>
      </c>
      <c r="S212" s="0" t="n">
        <v>0</v>
      </c>
      <c r="T212" s="0" t="str">
        <f aca="false">IF(S212&gt;0,"Yes","No")</f>
        <v>No</v>
      </c>
      <c r="U212" s="0" t="n">
        <v>0</v>
      </c>
      <c r="V212" s="0" t="n">
        <v>5</v>
      </c>
      <c r="W212" s="0" t="str">
        <f aca="false">IF(OR(AND(M212=1,ISBLANK(V212)),AND(M212=0,NOT(ISBLANK(V212)))),"Yes","No")</f>
        <v>No</v>
      </c>
      <c r="X212" s="0" t="n">
        <v>46.3</v>
      </c>
      <c r="Y212" s="3" t="s">
        <v>30</v>
      </c>
      <c r="Z212" s="3" t="n">
        <f aca="false">IF(M212=1,P212,"")</f>
        <v>553.37</v>
      </c>
    </row>
    <row r="213" customFormat="false" ht="15" hidden="false" customHeight="false" outlineLevel="0" collapsed="false">
      <c r="A213" s="0" t="s">
        <v>256</v>
      </c>
      <c r="B213" s="2" t="n">
        <v>45681</v>
      </c>
      <c r="C213" s="3" t="s">
        <v>27</v>
      </c>
      <c r="D213" s="3" t="s">
        <v>39</v>
      </c>
      <c r="E213" s="3" t="s">
        <v>35</v>
      </c>
      <c r="F213" s="3" t="s">
        <v>30</v>
      </c>
      <c r="G213" s="3" t="s">
        <v>36</v>
      </c>
      <c r="H213" s="3" t="s">
        <v>30</v>
      </c>
      <c r="I213" s="3" t="s">
        <v>37</v>
      </c>
      <c r="J213" s="0" t="n">
        <v>1</v>
      </c>
      <c r="K213" s="0" t="n">
        <v>0</v>
      </c>
      <c r="L213" s="0" t="n">
        <v>0</v>
      </c>
      <c r="M213" s="0" t="n">
        <v>0</v>
      </c>
      <c r="N213" s="0" t="str">
        <f aca="false">IF(OR(NOT(OR(J213=0,J213=1)),NOT(OR(K213=0,K213=1)),NOT(OR(L213=0,L213=1)),NOT(OR(M213=0,M213=1)),NOT(OR(U213=0,U213=1))),"Yes","No")</f>
        <v>No</v>
      </c>
      <c r="O213" s="0" t="str">
        <f aca="false">IF(OR(AND(M213=1,L213=0),AND(L213=1,K213=0),AND(K213=1,J213=0)),"Yes","No")</f>
        <v>No</v>
      </c>
      <c r="P213" s="0" t="n">
        <v>0</v>
      </c>
      <c r="Q213" s="0" t="str">
        <f aca="false">IF(OR(AND(M213=0,P213&gt;0),AND(M213=1,P213&lt;=0)),"Yes","No")</f>
        <v>No</v>
      </c>
      <c r="R213" s="0" t="str">
        <f aca="false">IF(AND(M213=1,P213&gt;calc_helpers!$B$5),"Yes","No")</f>
        <v>No</v>
      </c>
      <c r="S213" s="0" t="n">
        <v>0</v>
      </c>
      <c r="T213" s="0" t="str">
        <f aca="false">IF(S213&gt;0,"Yes","No")</f>
        <v>No</v>
      </c>
      <c r="U213" s="0" t="n">
        <v>0</v>
      </c>
      <c r="W213" s="0" t="str">
        <f aca="false">IF(OR(AND(M213=1,ISBLANK(V213)),AND(M213=0,NOT(ISBLANK(V213)))),"Yes","No")</f>
        <v>No</v>
      </c>
      <c r="X213" s="0" t="n">
        <v>64.2</v>
      </c>
      <c r="Y213" s="3" t="s">
        <v>30</v>
      </c>
      <c r="Z213" s="0" t="str">
        <f aca="false">IF(M213=1,P213,"")</f>
        <v/>
      </c>
    </row>
    <row r="214" customFormat="false" ht="15" hidden="false" customHeight="false" outlineLevel="0" collapsed="false">
      <c r="A214" s="0" t="s">
        <v>257</v>
      </c>
      <c r="B214" s="2" t="n">
        <v>45759</v>
      </c>
      <c r="C214" s="3" t="s">
        <v>27</v>
      </c>
      <c r="D214" s="3" t="s">
        <v>28</v>
      </c>
      <c r="E214" s="3" t="s">
        <v>29</v>
      </c>
      <c r="F214" s="3" t="s">
        <v>30</v>
      </c>
      <c r="G214" s="3" t="s">
        <v>36</v>
      </c>
      <c r="H214" s="3" t="s">
        <v>30</v>
      </c>
      <c r="I214" s="3" t="s">
        <v>37</v>
      </c>
      <c r="J214" s="0" t="n">
        <v>1</v>
      </c>
      <c r="K214" s="0" t="n">
        <v>0</v>
      </c>
      <c r="L214" s="0" t="n">
        <v>0</v>
      </c>
      <c r="M214" s="0" t="n">
        <v>0</v>
      </c>
      <c r="N214" s="0" t="str">
        <f aca="false">IF(OR(NOT(OR(J214=0,J214=1)),NOT(OR(K214=0,K214=1)),NOT(OR(L214=0,L214=1)),NOT(OR(M214=0,M214=1)),NOT(OR(U214=0,U214=1))),"Yes","No")</f>
        <v>No</v>
      </c>
      <c r="O214" s="0" t="str">
        <f aca="false">IF(OR(AND(M214=1,L214=0),AND(L214=1,K214=0),AND(K214=1,J214=0)),"Yes","No")</f>
        <v>No</v>
      </c>
      <c r="P214" s="0" t="n">
        <v>0</v>
      </c>
      <c r="Q214" s="0" t="str">
        <f aca="false">IF(OR(AND(M214=0,P214&gt;0),AND(M214=1,P214&lt;=0)),"Yes","No")</f>
        <v>No</v>
      </c>
      <c r="R214" s="0" t="str">
        <f aca="false">IF(AND(M214=1,P214&gt;calc_helpers!$B$5),"Yes","No")</f>
        <v>No</v>
      </c>
      <c r="S214" s="0" t="n">
        <v>0</v>
      </c>
      <c r="T214" s="0" t="str">
        <f aca="false">IF(S214&gt;0,"Yes","No")</f>
        <v>No</v>
      </c>
      <c r="U214" s="0" t="n">
        <v>0</v>
      </c>
      <c r="W214" s="0" t="str">
        <f aca="false">IF(OR(AND(M214=1,ISBLANK(V214)),AND(M214=0,NOT(ISBLANK(V214)))),"Yes","No")</f>
        <v>No</v>
      </c>
      <c r="X214" s="0" t="n">
        <v>75.2</v>
      </c>
      <c r="Y214" s="3" t="s">
        <v>30</v>
      </c>
      <c r="Z214" s="0" t="str">
        <f aca="false">IF(M214=1,P214,"")</f>
        <v/>
      </c>
    </row>
    <row r="215" customFormat="false" ht="15" hidden="false" customHeight="false" outlineLevel="0" collapsed="false">
      <c r="A215" s="0" t="s">
        <v>258</v>
      </c>
      <c r="B215" s="2" t="n">
        <v>45706</v>
      </c>
      <c r="C215" s="3" t="s">
        <v>27</v>
      </c>
      <c r="D215" s="3" t="s">
        <v>39</v>
      </c>
      <c r="E215" s="3" t="s">
        <v>29</v>
      </c>
      <c r="F215" s="3" t="s">
        <v>30</v>
      </c>
      <c r="G215" s="3" t="s">
        <v>40</v>
      </c>
      <c r="H215" s="3" t="s">
        <v>30</v>
      </c>
      <c r="I215" s="3" t="s">
        <v>37</v>
      </c>
      <c r="J215" s="0" t="n">
        <v>1</v>
      </c>
      <c r="K215" s="0" t="n">
        <v>1</v>
      </c>
      <c r="L215" s="0" t="n">
        <v>0</v>
      </c>
      <c r="M215" s="0" t="n">
        <v>0</v>
      </c>
      <c r="N215" s="0" t="str">
        <f aca="false">IF(OR(NOT(OR(J215=0,J215=1)),NOT(OR(K215=0,K215=1)),NOT(OR(L215=0,L215=1)),NOT(OR(M215=0,M215=1)),NOT(OR(U215=0,U215=1))),"Yes","No")</f>
        <v>No</v>
      </c>
      <c r="O215" s="0" t="str">
        <f aca="false">IF(OR(AND(M215=1,L215=0),AND(L215=1,K215=0),AND(K215=1,J215=0)),"Yes","No")</f>
        <v>No</v>
      </c>
      <c r="P215" s="0" t="n">
        <v>0</v>
      </c>
      <c r="Q215" s="0" t="str">
        <f aca="false">IF(OR(AND(M215=0,P215&gt;0),AND(M215=1,P215&lt;=0)),"Yes","No")</f>
        <v>No</v>
      </c>
      <c r="R215" s="0" t="str">
        <f aca="false">IF(AND(M215=1,P215&gt;calc_helpers!$B$5),"Yes","No")</f>
        <v>No</v>
      </c>
      <c r="S215" s="0" t="n">
        <v>0</v>
      </c>
      <c r="T215" s="0" t="str">
        <f aca="false">IF(S215&gt;0,"Yes","No")</f>
        <v>No</v>
      </c>
      <c r="U215" s="0" t="n">
        <v>0</v>
      </c>
      <c r="W215" s="0" t="str">
        <f aca="false">IF(OR(AND(M215=1,ISBLANK(V215)),AND(M215=0,NOT(ISBLANK(V215)))),"Yes","No")</f>
        <v>No</v>
      </c>
      <c r="X215" s="0" t="n">
        <v>60.9</v>
      </c>
      <c r="Y215" s="3" t="s">
        <v>30</v>
      </c>
      <c r="Z215" s="0" t="str">
        <f aca="false">IF(M215=1,P215,"")</f>
        <v/>
      </c>
    </row>
    <row r="216" customFormat="false" ht="15" hidden="false" customHeight="false" outlineLevel="0" collapsed="false">
      <c r="A216" s="0" t="s">
        <v>259</v>
      </c>
      <c r="B216" s="2" t="n">
        <v>45805</v>
      </c>
      <c r="C216" s="3" t="s">
        <v>27</v>
      </c>
      <c r="D216" s="3" t="s">
        <v>43</v>
      </c>
      <c r="E216" s="3" t="s">
        <v>35</v>
      </c>
      <c r="F216" s="3" t="s">
        <v>30</v>
      </c>
      <c r="G216" s="3" t="s">
        <v>31</v>
      </c>
      <c r="H216" s="3" t="s">
        <v>30</v>
      </c>
      <c r="I216" s="3" t="s">
        <v>32</v>
      </c>
      <c r="J216" s="0" t="n">
        <v>1</v>
      </c>
      <c r="K216" s="0" t="n">
        <v>1</v>
      </c>
      <c r="L216" s="0" t="n">
        <v>1</v>
      </c>
      <c r="M216" s="0" t="n">
        <v>0</v>
      </c>
      <c r="N216" s="0" t="str">
        <f aca="false">IF(OR(NOT(OR(J216=0,J216=1)),NOT(OR(K216=0,K216=1)),NOT(OR(L216=0,L216=1)),NOT(OR(M216=0,M216=1)),NOT(OR(U216=0,U216=1))),"Yes","No")</f>
        <v>No</v>
      </c>
      <c r="O216" s="0" t="str">
        <f aca="false">IF(OR(AND(M216=1,L216=0),AND(L216=1,K216=0),AND(K216=1,J216=0)),"Yes","No")</f>
        <v>No</v>
      </c>
      <c r="P216" s="0" t="n">
        <v>0</v>
      </c>
      <c r="Q216" s="0" t="str">
        <f aca="false">IF(OR(AND(M216=0,P216&gt;0),AND(M216=1,P216&lt;=0)),"Yes","No")</f>
        <v>No</v>
      </c>
      <c r="R216" s="0" t="str">
        <f aca="false">IF(AND(M216=1,P216&gt;calc_helpers!$B$5),"Yes","No")</f>
        <v>No</v>
      </c>
      <c r="S216" s="0" t="n">
        <v>0</v>
      </c>
      <c r="T216" s="0" t="str">
        <f aca="false">IF(S216&gt;0,"Yes","No")</f>
        <v>No</v>
      </c>
      <c r="U216" s="0" t="n">
        <v>0</v>
      </c>
      <c r="W216" s="0" t="str">
        <f aca="false">IF(OR(AND(M216=1,ISBLANK(V216)),AND(M216=0,NOT(ISBLANK(V216)))),"Yes","No")</f>
        <v>No</v>
      </c>
      <c r="X216" s="0" t="n">
        <v>62.1</v>
      </c>
      <c r="Y216" s="3" t="s">
        <v>30</v>
      </c>
      <c r="Z216" s="0" t="str">
        <f aca="false">IF(M216=1,P216,"")</f>
        <v/>
      </c>
    </row>
    <row r="217" customFormat="false" ht="15" hidden="false" customHeight="false" outlineLevel="0" collapsed="false">
      <c r="A217" s="0" t="s">
        <v>260</v>
      </c>
      <c r="B217" s="2" t="n">
        <v>45765</v>
      </c>
      <c r="C217" s="3" t="s">
        <v>27</v>
      </c>
      <c r="D217" s="3" t="s">
        <v>43</v>
      </c>
      <c r="E217" s="3" t="s">
        <v>35</v>
      </c>
      <c r="F217" s="3" t="s">
        <v>30</v>
      </c>
      <c r="G217" s="3" t="s">
        <v>52</v>
      </c>
      <c r="H217" s="3" t="s">
        <v>30</v>
      </c>
      <c r="I217" s="3" t="s">
        <v>32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str">
        <f aca="false">IF(OR(NOT(OR(J217=0,J217=1)),NOT(OR(K217=0,K217=1)),NOT(OR(L217=0,L217=1)),NOT(OR(M217=0,M217=1)),NOT(OR(U217=0,U217=1))),"Yes","No")</f>
        <v>No</v>
      </c>
      <c r="O217" s="0" t="str">
        <f aca="false">IF(OR(AND(M217=1,L217=0),AND(L217=1,K217=0),AND(K217=1,J217=0)),"Yes","No")</f>
        <v>No</v>
      </c>
      <c r="P217" s="0" t="n">
        <v>0</v>
      </c>
      <c r="Q217" s="0" t="str">
        <f aca="false">IF(OR(AND(M217=0,P217&gt;0),AND(M217=1,P217&lt;=0)),"Yes","No")</f>
        <v>No</v>
      </c>
      <c r="R217" s="0" t="str">
        <f aca="false">IF(AND(M217=1,P217&gt;calc_helpers!$B$5),"Yes","No")</f>
        <v>No</v>
      </c>
      <c r="S217" s="0" t="n">
        <v>0</v>
      </c>
      <c r="T217" s="0" t="str">
        <f aca="false">IF(S217&gt;0,"Yes","No")</f>
        <v>No</v>
      </c>
      <c r="U217" s="0" t="n">
        <v>0</v>
      </c>
      <c r="W217" s="0" t="str">
        <f aca="false">IF(OR(AND(M217=1,ISBLANK(V217)),AND(M217=0,NOT(ISBLANK(V217)))),"Yes","No")</f>
        <v>No</v>
      </c>
      <c r="X217" s="0" t="n">
        <v>45.4</v>
      </c>
      <c r="Y217" s="3" t="s">
        <v>30</v>
      </c>
      <c r="Z217" s="0" t="str">
        <f aca="false">IF(M217=1,P217,"")</f>
        <v/>
      </c>
    </row>
    <row r="218" customFormat="false" ht="15" hidden="false" customHeight="false" outlineLevel="0" collapsed="false">
      <c r="A218" s="0" t="s">
        <v>261</v>
      </c>
      <c r="B218" s="2" t="n">
        <v>45743</v>
      </c>
      <c r="C218" s="3" t="s">
        <v>27</v>
      </c>
      <c r="D218" s="3" t="s">
        <v>28</v>
      </c>
      <c r="E218" s="3" t="s">
        <v>35</v>
      </c>
      <c r="F218" s="3" t="s">
        <v>30</v>
      </c>
      <c r="G218" s="3" t="s">
        <v>40</v>
      </c>
      <c r="H218" s="3" t="s">
        <v>30</v>
      </c>
      <c r="I218" s="3" t="s">
        <v>32</v>
      </c>
      <c r="J218" s="0" t="n">
        <v>1</v>
      </c>
      <c r="K218" s="0" t="n">
        <v>0</v>
      </c>
      <c r="L218" s="0" t="n">
        <v>0</v>
      </c>
      <c r="M218" s="0" t="n">
        <v>0</v>
      </c>
      <c r="N218" s="0" t="str">
        <f aca="false">IF(OR(NOT(OR(J218=0,J218=1)),NOT(OR(K218=0,K218=1)),NOT(OR(L218=0,L218=1)),NOT(OR(M218=0,M218=1)),NOT(OR(U218=0,U218=1))),"Yes","No")</f>
        <v>No</v>
      </c>
      <c r="O218" s="0" t="str">
        <f aca="false">IF(OR(AND(M218=1,L218=0),AND(L218=1,K218=0),AND(K218=1,J218=0)),"Yes","No")</f>
        <v>No</v>
      </c>
      <c r="P218" s="0" t="n">
        <v>0</v>
      </c>
      <c r="Q218" s="0" t="str">
        <f aca="false">IF(OR(AND(M218=0,P218&gt;0),AND(M218=1,P218&lt;=0)),"Yes","No")</f>
        <v>No</v>
      </c>
      <c r="R218" s="0" t="str">
        <f aca="false">IF(AND(M218=1,P218&gt;calc_helpers!$B$5),"Yes","No")</f>
        <v>No</v>
      </c>
      <c r="S218" s="0" t="n">
        <v>0</v>
      </c>
      <c r="T218" s="0" t="str">
        <f aca="false">IF(S218&gt;0,"Yes","No")</f>
        <v>No</v>
      </c>
      <c r="U218" s="0" t="n">
        <v>0</v>
      </c>
      <c r="W218" s="0" t="str">
        <f aca="false">IF(OR(AND(M218=1,ISBLANK(V218)),AND(M218=0,NOT(ISBLANK(V218)))),"Yes","No")</f>
        <v>No</v>
      </c>
      <c r="X218" s="0" t="n">
        <v>53.3</v>
      </c>
      <c r="Y218" s="3" t="s">
        <v>30</v>
      </c>
      <c r="Z218" s="0" t="str">
        <f aca="false">IF(M218=1,P218,"")</f>
        <v/>
      </c>
    </row>
    <row r="219" customFormat="false" ht="15" hidden="false" customHeight="false" outlineLevel="0" collapsed="false">
      <c r="A219" s="0" t="s">
        <v>262</v>
      </c>
      <c r="B219" s="2" t="n">
        <v>45713</v>
      </c>
      <c r="C219" s="3" t="s">
        <v>27</v>
      </c>
      <c r="D219" s="3" t="s">
        <v>28</v>
      </c>
      <c r="E219" s="3" t="s">
        <v>45</v>
      </c>
      <c r="F219" s="3" t="s">
        <v>30</v>
      </c>
      <c r="G219" s="3" t="s">
        <v>52</v>
      </c>
      <c r="H219" s="3" t="s">
        <v>30</v>
      </c>
      <c r="I219" s="3" t="s">
        <v>37</v>
      </c>
      <c r="J219" s="0" t="n">
        <v>1</v>
      </c>
      <c r="K219" s="0" t="n">
        <v>0</v>
      </c>
      <c r="L219" s="0" t="n">
        <v>0</v>
      </c>
      <c r="M219" s="0" t="n">
        <v>0</v>
      </c>
      <c r="N219" s="0" t="str">
        <f aca="false">IF(OR(NOT(OR(J219=0,J219=1)),NOT(OR(K219=0,K219=1)),NOT(OR(L219=0,L219=1)),NOT(OR(M219=0,M219=1)),NOT(OR(U219=0,U219=1))),"Yes","No")</f>
        <v>No</v>
      </c>
      <c r="O219" s="0" t="str">
        <f aca="false">IF(OR(AND(M219=1,L219=0),AND(L219=1,K219=0),AND(K219=1,J219=0)),"Yes","No")</f>
        <v>No</v>
      </c>
      <c r="P219" s="0" t="n">
        <v>0</v>
      </c>
      <c r="Q219" s="0" t="str">
        <f aca="false">IF(OR(AND(M219=0,P219&gt;0),AND(M219=1,P219&lt;=0)),"Yes","No")</f>
        <v>No</v>
      </c>
      <c r="R219" s="0" t="str">
        <f aca="false">IF(AND(M219=1,P219&gt;calc_helpers!$B$5),"Yes","No")</f>
        <v>No</v>
      </c>
      <c r="S219" s="0" t="n">
        <v>0</v>
      </c>
      <c r="T219" s="0" t="str">
        <f aca="false">IF(S219&gt;0,"Yes","No")</f>
        <v>No</v>
      </c>
      <c r="U219" s="0" t="n">
        <v>0</v>
      </c>
      <c r="W219" s="0" t="str">
        <f aca="false">IF(OR(AND(M219=1,ISBLANK(V219)),AND(M219=0,NOT(ISBLANK(V219)))),"Yes","No")</f>
        <v>No</v>
      </c>
      <c r="Y219" s="3" t="s">
        <v>168</v>
      </c>
      <c r="Z219" s="0" t="str">
        <f aca="false">IF(M219=1,P219,"")</f>
        <v/>
      </c>
    </row>
    <row r="220" customFormat="false" ht="15" hidden="false" customHeight="false" outlineLevel="0" collapsed="false">
      <c r="A220" s="0" t="s">
        <v>263</v>
      </c>
      <c r="B220" s="2" t="n">
        <v>45707</v>
      </c>
      <c r="C220" s="3" t="s">
        <v>27</v>
      </c>
      <c r="D220" s="3" t="s">
        <v>39</v>
      </c>
      <c r="E220" s="3" t="s">
        <v>35</v>
      </c>
      <c r="F220" s="3" t="s">
        <v>30</v>
      </c>
      <c r="G220" s="3" t="s">
        <v>40</v>
      </c>
      <c r="H220" s="3" t="s">
        <v>30</v>
      </c>
      <c r="I220" s="3" t="s">
        <v>37</v>
      </c>
      <c r="J220" s="0" t="n">
        <v>0</v>
      </c>
      <c r="K220" s="0" t="n">
        <v>0</v>
      </c>
      <c r="L220" s="0" t="n">
        <v>0</v>
      </c>
      <c r="M220" s="0" t="n">
        <v>0</v>
      </c>
      <c r="N220" s="0" t="str">
        <f aca="false">IF(OR(NOT(OR(J220=0,J220=1)),NOT(OR(K220=0,K220=1)),NOT(OR(L220=0,L220=1)),NOT(OR(M220=0,M220=1)),NOT(OR(U220=0,U220=1))),"Yes","No")</f>
        <v>No</v>
      </c>
      <c r="O220" s="0" t="str">
        <f aca="false">IF(OR(AND(M220=1,L220=0),AND(L220=1,K220=0),AND(K220=1,J220=0)),"Yes","No")</f>
        <v>No</v>
      </c>
      <c r="P220" s="0" t="n">
        <v>0</v>
      </c>
      <c r="Q220" s="0" t="str">
        <f aca="false">IF(OR(AND(M220=0,P220&gt;0),AND(M220=1,P220&lt;=0)),"Yes","No")</f>
        <v>No</v>
      </c>
      <c r="R220" s="0" t="str">
        <f aca="false">IF(AND(M220=1,P220&gt;calc_helpers!$B$5),"Yes","No")</f>
        <v>No</v>
      </c>
      <c r="S220" s="0" t="n">
        <v>1</v>
      </c>
      <c r="T220" s="0" t="str">
        <f aca="false">IF(S220&gt;0,"Yes","No")</f>
        <v>Yes</v>
      </c>
      <c r="U220" s="0" t="n">
        <v>0</v>
      </c>
      <c r="W220" s="0" t="str">
        <f aca="false">IF(OR(AND(M220=1,ISBLANK(V220)),AND(M220=0,NOT(ISBLANK(V220)))),"Yes","No")</f>
        <v>No</v>
      </c>
      <c r="X220" s="0" t="n">
        <v>38.2</v>
      </c>
      <c r="Y220" s="3" t="s">
        <v>30</v>
      </c>
      <c r="Z220" s="0" t="str">
        <f aca="false">IF(M220=1,P220,"")</f>
        <v/>
      </c>
    </row>
    <row r="221" customFormat="false" ht="15" hidden="false" customHeight="false" outlineLevel="0" collapsed="false">
      <c r="A221" s="0" t="s">
        <v>264</v>
      </c>
      <c r="B221" s="2" t="n">
        <v>45758</v>
      </c>
      <c r="C221" s="3" t="s">
        <v>27</v>
      </c>
      <c r="D221" s="3" t="s">
        <v>34</v>
      </c>
      <c r="E221" s="3" t="s">
        <v>35</v>
      </c>
      <c r="F221" s="3" t="s">
        <v>30</v>
      </c>
      <c r="G221" s="3" t="s">
        <v>40</v>
      </c>
      <c r="H221" s="3" t="s">
        <v>30</v>
      </c>
      <c r="I221" s="3" t="s">
        <v>37</v>
      </c>
      <c r="J221" s="0" t="n">
        <v>1</v>
      </c>
      <c r="K221" s="0" t="n">
        <v>1</v>
      </c>
      <c r="L221" s="0" t="n">
        <v>0</v>
      </c>
      <c r="M221" s="0" t="n">
        <v>0</v>
      </c>
      <c r="N221" s="0" t="str">
        <f aca="false">IF(OR(NOT(OR(J221=0,J221=1)),NOT(OR(K221=0,K221=1)),NOT(OR(L221=0,L221=1)),NOT(OR(M221=0,M221=1)),NOT(OR(U221=0,U221=1))),"Yes","No")</f>
        <v>No</v>
      </c>
      <c r="O221" s="0" t="str">
        <f aca="false">IF(OR(AND(M221=1,L221=0),AND(L221=1,K221=0),AND(K221=1,J221=0)),"Yes","No")</f>
        <v>No</v>
      </c>
      <c r="P221" s="0" t="n">
        <v>0</v>
      </c>
      <c r="Q221" s="0" t="str">
        <f aca="false">IF(OR(AND(M221=0,P221&gt;0),AND(M221=1,P221&lt;=0)),"Yes","No")</f>
        <v>No</v>
      </c>
      <c r="R221" s="0" t="str">
        <f aca="false">IF(AND(M221=1,P221&gt;calc_helpers!$B$5),"Yes","No")</f>
        <v>No</v>
      </c>
      <c r="S221" s="0" t="n">
        <v>3</v>
      </c>
      <c r="T221" s="0" t="str">
        <f aca="false">IF(S221&gt;0,"Yes","No")</f>
        <v>Yes</v>
      </c>
      <c r="U221" s="0" t="n">
        <v>0</v>
      </c>
      <c r="W221" s="0" t="str">
        <f aca="false">IF(OR(AND(M221=1,ISBLANK(V221)),AND(M221=0,NOT(ISBLANK(V221)))),"Yes","No")</f>
        <v>No</v>
      </c>
      <c r="X221" s="0" t="n">
        <v>59</v>
      </c>
      <c r="Y221" s="3" t="s">
        <v>30</v>
      </c>
      <c r="Z221" s="0" t="str">
        <f aca="false">IF(M221=1,P221,"")</f>
        <v/>
      </c>
    </row>
    <row r="222" customFormat="false" ht="15" hidden="false" customHeight="false" outlineLevel="0" collapsed="false">
      <c r="A222" s="0" t="s">
        <v>265</v>
      </c>
      <c r="B222" s="2" t="n">
        <v>45679</v>
      </c>
      <c r="C222" s="3" t="s">
        <v>27</v>
      </c>
      <c r="D222" s="3" t="s">
        <v>39</v>
      </c>
      <c r="E222" s="3" t="s">
        <v>45</v>
      </c>
      <c r="F222" s="3" t="s">
        <v>30</v>
      </c>
      <c r="G222" s="3" t="s">
        <v>50</v>
      </c>
      <c r="H222" s="3" t="s">
        <v>30</v>
      </c>
      <c r="I222" s="3" t="s">
        <v>41</v>
      </c>
      <c r="J222" s="0" t="n">
        <v>1</v>
      </c>
      <c r="K222" s="0" t="n">
        <v>1</v>
      </c>
      <c r="L222" s="0" t="n">
        <v>1</v>
      </c>
      <c r="M222" s="0" t="n">
        <v>0</v>
      </c>
      <c r="N222" s="0" t="str">
        <f aca="false">IF(OR(NOT(OR(J222=0,J222=1)),NOT(OR(K222=0,K222=1)),NOT(OR(L222=0,L222=1)),NOT(OR(M222=0,M222=1)),NOT(OR(U222=0,U222=1))),"Yes","No")</f>
        <v>No</v>
      </c>
      <c r="O222" s="0" t="str">
        <f aca="false">IF(OR(AND(M222=1,L222=0),AND(L222=1,K222=0),AND(K222=1,J222=0)),"Yes","No")</f>
        <v>No</v>
      </c>
      <c r="P222" s="0" t="n">
        <v>0</v>
      </c>
      <c r="Q222" s="0" t="str">
        <f aca="false">IF(OR(AND(M222=0,P222&gt;0),AND(M222=1,P222&lt;=0)),"Yes","No")</f>
        <v>No</v>
      </c>
      <c r="R222" s="0" t="str">
        <f aca="false">IF(AND(M222=1,P222&gt;calc_helpers!$B$5),"Yes","No")</f>
        <v>No</v>
      </c>
      <c r="S222" s="0" t="n">
        <v>0</v>
      </c>
      <c r="T222" s="0" t="str">
        <f aca="false">IF(S222&gt;0,"Yes","No")</f>
        <v>No</v>
      </c>
      <c r="U222" s="0" t="n">
        <v>0</v>
      </c>
      <c r="W222" s="0" t="str">
        <f aca="false">IF(OR(AND(M222=1,ISBLANK(V222)),AND(M222=0,NOT(ISBLANK(V222)))),"Yes","No")</f>
        <v>No</v>
      </c>
      <c r="X222" s="0" t="n">
        <v>80.6</v>
      </c>
      <c r="Y222" s="3" t="s">
        <v>30</v>
      </c>
      <c r="Z222" s="0" t="str">
        <f aca="false">IF(M222=1,P222,"")</f>
        <v/>
      </c>
    </row>
    <row r="223" customFormat="false" ht="15" hidden="false" customHeight="false" outlineLevel="0" collapsed="false">
      <c r="A223" s="0" t="s">
        <v>266</v>
      </c>
      <c r="B223" s="2" t="n">
        <v>45669</v>
      </c>
      <c r="C223" s="3" t="s">
        <v>27</v>
      </c>
      <c r="D223" s="3" t="s">
        <v>43</v>
      </c>
      <c r="E223" s="3" t="s">
        <v>35</v>
      </c>
      <c r="F223" s="3" t="s">
        <v>30</v>
      </c>
      <c r="G223" s="3" t="s">
        <v>52</v>
      </c>
      <c r="H223" s="3" t="s">
        <v>30</v>
      </c>
      <c r="I223" s="3" t="s">
        <v>37</v>
      </c>
      <c r="J223" s="0" t="n">
        <v>1</v>
      </c>
      <c r="K223" s="0" t="n">
        <v>0</v>
      </c>
      <c r="L223" s="0" t="n">
        <v>0</v>
      </c>
      <c r="M223" s="0" t="n">
        <v>0</v>
      </c>
      <c r="N223" s="0" t="str">
        <f aca="false">IF(OR(NOT(OR(J223=0,J223=1)),NOT(OR(K223=0,K223=1)),NOT(OR(L223=0,L223=1)),NOT(OR(M223=0,M223=1)),NOT(OR(U223=0,U223=1))),"Yes","No")</f>
        <v>No</v>
      </c>
      <c r="O223" s="0" t="str">
        <f aca="false">IF(OR(AND(M223=1,L223=0),AND(L223=1,K223=0),AND(K223=1,J223=0)),"Yes","No")</f>
        <v>No</v>
      </c>
      <c r="P223" s="0" t="n">
        <v>0</v>
      </c>
      <c r="Q223" s="0" t="str">
        <f aca="false">IF(OR(AND(M223=0,P223&gt;0),AND(M223=1,P223&lt;=0)),"Yes","No")</f>
        <v>No</v>
      </c>
      <c r="R223" s="0" t="str">
        <f aca="false">IF(AND(M223=1,P223&gt;calc_helpers!$B$5),"Yes","No")</f>
        <v>No</v>
      </c>
      <c r="S223" s="0" t="n">
        <v>0</v>
      </c>
      <c r="T223" s="0" t="str">
        <f aca="false">IF(S223&gt;0,"Yes","No")</f>
        <v>No</v>
      </c>
      <c r="U223" s="0" t="n">
        <v>0</v>
      </c>
      <c r="W223" s="0" t="str">
        <f aca="false">IF(OR(AND(M223=1,ISBLANK(V223)),AND(M223=0,NOT(ISBLANK(V223)))),"Yes","No")</f>
        <v>No</v>
      </c>
      <c r="X223" s="0" t="n">
        <v>67</v>
      </c>
      <c r="Y223" s="3" t="s">
        <v>30</v>
      </c>
      <c r="Z223" s="0" t="str">
        <f aca="false">IF(M223=1,P223,"")</f>
        <v/>
      </c>
    </row>
    <row r="224" customFormat="false" ht="15" hidden="false" customHeight="false" outlineLevel="0" collapsed="false">
      <c r="A224" s="0" t="s">
        <v>267</v>
      </c>
      <c r="B224" s="2" t="n">
        <v>45705</v>
      </c>
      <c r="C224" s="3" t="s">
        <v>27</v>
      </c>
      <c r="D224" s="3" t="s">
        <v>34</v>
      </c>
      <c r="E224" s="3" t="s">
        <v>35</v>
      </c>
      <c r="F224" s="3" t="s">
        <v>30</v>
      </c>
      <c r="G224" s="3" t="s">
        <v>31</v>
      </c>
      <c r="H224" s="3" t="s">
        <v>30</v>
      </c>
      <c r="I224" s="3" t="s">
        <v>37</v>
      </c>
      <c r="J224" s="0" t="n">
        <v>1</v>
      </c>
      <c r="K224" s="0" t="n">
        <v>0</v>
      </c>
      <c r="L224" s="0" t="n">
        <v>0</v>
      </c>
      <c r="M224" s="0" t="n">
        <v>0</v>
      </c>
      <c r="N224" s="0" t="str">
        <f aca="false">IF(OR(NOT(OR(J224=0,J224=1)),NOT(OR(K224=0,K224=1)),NOT(OR(L224=0,L224=1)),NOT(OR(M224=0,M224=1)),NOT(OR(U224=0,U224=1))),"Yes","No")</f>
        <v>No</v>
      </c>
      <c r="O224" s="0" t="str">
        <f aca="false">IF(OR(AND(M224=1,L224=0),AND(L224=1,K224=0),AND(K224=1,J224=0)),"Yes","No")</f>
        <v>No</v>
      </c>
      <c r="P224" s="0" t="n">
        <v>0</v>
      </c>
      <c r="Q224" s="0" t="str">
        <f aca="false">IF(OR(AND(M224=0,P224&gt;0),AND(M224=1,P224&lt;=0)),"Yes","No")</f>
        <v>No</v>
      </c>
      <c r="R224" s="0" t="str">
        <f aca="false">IF(AND(M224=1,P224&gt;calc_helpers!$B$5),"Yes","No")</f>
        <v>No</v>
      </c>
      <c r="S224" s="0" t="n">
        <v>1</v>
      </c>
      <c r="T224" s="0" t="str">
        <f aca="false">IF(S224&gt;0,"Yes","No")</f>
        <v>Yes</v>
      </c>
      <c r="U224" s="0" t="n">
        <v>0</v>
      </c>
      <c r="W224" s="0" t="str">
        <f aca="false">IF(OR(AND(M224=1,ISBLANK(V224)),AND(M224=0,NOT(ISBLANK(V224)))),"Yes","No")</f>
        <v>No</v>
      </c>
      <c r="X224" s="0" t="n">
        <v>72.1</v>
      </c>
      <c r="Y224" s="3" t="s">
        <v>30</v>
      </c>
      <c r="Z224" s="0" t="str">
        <f aca="false">IF(M224=1,P224,"")</f>
        <v/>
      </c>
    </row>
    <row r="225" customFormat="false" ht="15" hidden="false" customHeight="false" outlineLevel="0" collapsed="false">
      <c r="A225" s="0" t="s">
        <v>268</v>
      </c>
      <c r="B225" s="2" t="n">
        <v>45758</v>
      </c>
      <c r="C225" s="3" t="s">
        <v>27</v>
      </c>
      <c r="D225" s="3" t="s">
        <v>34</v>
      </c>
      <c r="E225" s="3" t="s">
        <v>29</v>
      </c>
      <c r="F225" s="3" t="s">
        <v>30</v>
      </c>
      <c r="G225" s="3" t="s">
        <v>36</v>
      </c>
      <c r="H225" s="3" t="s">
        <v>30</v>
      </c>
      <c r="I225" s="3" t="s">
        <v>37</v>
      </c>
      <c r="J225" s="0" t="n">
        <v>0</v>
      </c>
      <c r="K225" s="0" t="n">
        <v>0</v>
      </c>
      <c r="L225" s="0" t="n">
        <v>0</v>
      </c>
      <c r="M225" s="0" t="n">
        <v>0</v>
      </c>
      <c r="N225" s="0" t="str">
        <f aca="false">IF(OR(NOT(OR(J225=0,J225=1)),NOT(OR(K225=0,K225=1)),NOT(OR(L225=0,L225=1)),NOT(OR(M225=0,M225=1)),NOT(OR(U225=0,U225=1))),"Yes","No")</f>
        <v>No</v>
      </c>
      <c r="O225" s="0" t="str">
        <f aca="false">IF(OR(AND(M225=1,L225=0),AND(L225=1,K225=0),AND(K225=1,J225=0)),"Yes","No")</f>
        <v>No</v>
      </c>
      <c r="P225" s="0" t="n">
        <v>0</v>
      </c>
      <c r="Q225" s="0" t="str">
        <f aca="false">IF(OR(AND(M225=0,P225&gt;0),AND(M225=1,P225&lt;=0)),"Yes","No")</f>
        <v>No</v>
      </c>
      <c r="R225" s="0" t="str">
        <f aca="false">IF(AND(M225=1,P225&gt;calc_helpers!$B$5),"Yes","No")</f>
        <v>No</v>
      </c>
      <c r="S225" s="0" t="n">
        <v>0</v>
      </c>
      <c r="T225" s="0" t="str">
        <f aca="false">IF(S225&gt;0,"Yes","No")</f>
        <v>No</v>
      </c>
      <c r="U225" s="0" t="n">
        <v>0</v>
      </c>
      <c r="W225" s="0" t="str">
        <f aca="false">IF(OR(AND(M225=1,ISBLANK(V225)),AND(M225=0,NOT(ISBLANK(V225)))),"Yes","No")</f>
        <v>No</v>
      </c>
      <c r="X225" s="0" t="n">
        <v>74.1</v>
      </c>
      <c r="Y225" s="3" t="s">
        <v>30</v>
      </c>
      <c r="Z225" s="0" t="str">
        <f aca="false">IF(M225=1,P225,"")</f>
        <v/>
      </c>
    </row>
    <row r="226" customFormat="false" ht="15" hidden="false" customHeight="false" outlineLevel="0" collapsed="false">
      <c r="A226" s="0" t="s">
        <v>269</v>
      </c>
      <c r="B226" s="2" t="n">
        <v>45802</v>
      </c>
      <c r="C226" s="3" t="s">
        <v>27</v>
      </c>
      <c r="D226" s="3" t="s">
        <v>43</v>
      </c>
      <c r="E226" s="3" t="s">
        <v>35</v>
      </c>
      <c r="F226" s="3" t="s">
        <v>30</v>
      </c>
      <c r="G226" s="3" t="s">
        <v>50</v>
      </c>
      <c r="H226" s="3" t="s">
        <v>30</v>
      </c>
      <c r="I226" s="3" t="s">
        <v>41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str">
        <f aca="false">IF(OR(NOT(OR(J226=0,J226=1)),NOT(OR(K226=0,K226=1)),NOT(OR(L226=0,L226=1)),NOT(OR(M226=0,M226=1)),NOT(OR(U226=0,U226=1))),"Yes","No")</f>
        <v>No</v>
      </c>
      <c r="O226" s="0" t="str">
        <f aca="false">IF(OR(AND(M226=1,L226=0),AND(L226=1,K226=0),AND(K226=1,J226=0)),"Yes","No")</f>
        <v>No</v>
      </c>
      <c r="P226" s="0" t="n">
        <v>0</v>
      </c>
      <c r="Q226" s="0" t="str">
        <f aca="false">IF(OR(AND(M226=0,P226&gt;0),AND(M226=1,P226&lt;=0)),"Yes","No")</f>
        <v>No</v>
      </c>
      <c r="R226" s="0" t="str">
        <f aca="false">IF(AND(M226=1,P226&gt;calc_helpers!$B$5),"Yes","No")</f>
        <v>No</v>
      </c>
      <c r="S226" s="0" t="n">
        <v>0</v>
      </c>
      <c r="T226" s="0" t="str">
        <f aca="false">IF(S226&gt;0,"Yes","No")</f>
        <v>No</v>
      </c>
      <c r="U226" s="0" t="n">
        <v>0</v>
      </c>
      <c r="W226" s="0" t="str">
        <f aca="false">IF(OR(AND(M226=1,ISBLANK(V226)),AND(M226=0,NOT(ISBLANK(V226)))),"Yes","No")</f>
        <v>No</v>
      </c>
      <c r="X226" s="0" t="n">
        <v>84.8</v>
      </c>
      <c r="Y226" s="3" t="s">
        <v>30</v>
      </c>
      <c r="Z226" s="0" t="str">
        <f aca="false">IF(M226=1,P226,"")</f>
        <v/>
      </c>
    </row>
    <row r="227" customFormat="false" ht="15" hidden="false" customHeight="false" outlineLevel="0" collapsed="false">
      <c r="A227" s="0" t="s">
        <v>270</v>
      </c>
      <c r="B227" s="2" t="n">
        <v>45728</v>
      </c>
      <c r="C227" s="3" t="s">
        <v>27</v>
      </c>
      <c r="D227" s="3" t="s">
        <v>43</v>
      </c>
      <c r="E227" s="3" t="s">
        <v>35</v>
      </c>
      <c r="F227" s="3" t="s">
        <v>30</v>
      </c>
      <c r="G227" s="3" t="s">
        <v>36</v>
      </c>
      <c r="H227" s="3" t="s">
        <v>30</v>
      </c>
      <c r="I227" s="3" t="s">
        <v>32</v>
      </c>
      <c r="J227" s="0" t="n">
        <v>1</v>
      </c>
      <c r="K227" s="0" t="n">
        <v>0</v>
      </c>
      <c r="L227" s="0" t="n">
        <v>0</v>
      </c>
      <c r="M227" s="0" t="n">
        <v>0</v>
      </c>
      <c r="N227" s="0" t="str">
        <f aca="false">IF(OR(NOT(OR(J227=0,J227=1)),NOT(OR(K227=0,K227=1)),NOT(OR(L227=0,L227=1)),NOT(OR(M227=0,M227=1)),NOT(OR(U227=0,U227=1))),"Yes","No")</f>
        <v>No</v>
      </c>
      <c r="O227" s="0" t="str">
        <f aca="false">IF(OR(AND(M227=1,L227=0),AND(L227=1,K227=0),AND(K227=1,J227=0)),"Yes","No")</f>
        <v>No</v>
      </c>
      <c r="P227" s="0" t="n">
        <v>0</v>
      </c>
      <c r="Q227" s="0" t="str">
        <f aca="false">IF(OR(AND(M227=0,P227&gt;0),AND(M227=1,P227&lt;=0)),"Yes","No")</f>
        <v>No</v>
      </c>
      <c r="R227" s="0" t="str">
        <f aca="false">IF(AND(M227=1,P227&gt;calc_helpers!$B$5),"Yes","No")</f>
        <v>No</v>
      </c>
      <c r="S227" s="0" t="n">
        <v>0</v>
      </c>
      <c r="T227" s="0" t="str">
        <f aca="false">IF(S227&gt;0,"Yes","No")</f>
        <v>No</v>
      </c>
      <c r="U227" s="0" t="n">
        <v>0</v>
      </c>
      <c r="W227" s="0" t="str">
        <f aca="false">IF(OR(AND(M227=1,ISBLANK(V227)),AND(M227=0,NOT(ISBLANK(V227)))),"Yes","No")</f>
        <v>No</v>
      </c>
      <c r="X227" s="0" t="n">
        <v>33</v>
      </c>
      <c r="Y227" s="3" t="s">
        <v>30</v>
      </c>
      <c r="Z227" s="0" t="str">
        <f aca="false">IF(M227=1,P227,"")</f>
        <v/>
      </c>
    </row>
    <row r="228" customFormat="false" ht="15" hidden="false" customHeight="false" outlineLevel="0" collapsed="false">
      <c r="A228" s="0" t="s">
        <v>271</v>
      </c>
      <c r="B228" s="2" t="n">
        <v>45767</v>
      </c>
      <c r="C228" s="3" t="s">
        <v>27</v>
      </c>
      <c r="D228" s="3" t="s">
        <v>28</v>
      </c>
      <c r="E228" s="3" t="s">
        <v>45</v>
      </c>
      <c r="F228" s="3" t="s">
        <v>30</v>
      </c>
      <c r="G228" s="3" t="s">
        <v>31</v>
      </c>
      <c r="H228" s="3" t="s">
        <v>30</v>
      </c>
      <c r="I228" s="3" t="s">
        <v>37</v>
      </c>
      <c r="J228" s="0" t="n">
        <v>0</v>
      </c>
      <c r="K228" s="0" t="n">
        <v>0</v>
      </c>
      <c r="L228" s="0" t="n">
        <v>0</v>
      </c>
      <c r="M228" s="0" t="n">
        <v>0</v>
      </c>
      <c r="N228" s="0" t="str">
        <f aca="false">IF(OR(NOT(OR(J228=0,J228=1)),NOT(OR(K228=0,K228=1)),NOT(OR(L228=0,L228=1)),NOT(OR(M228=0,M228=1)),NOT(OR(U228=0,U228=1))),"Yes","No")</f>
        <v>No</v>
      </c>
      <c r="O228" s="0" t="str">
        <f aca="false">IF(OR(AND(M228=1,L228=0),AND(L228=1,K228=0),AND(K228=1,J228=0)),"Yes","No")</f>
        <v>No</v>
      </c>
      <c r="P228" s="0" t="n">
        <v>0</v>
      </c>
      <c r="Q228" s="0" t="str">
        <f aca="false">IF(OR(AND(M228=0,P228&gt;0),AND(M228=1,P228&lt;=0)),"Yes","No")</f>
        <v>No</v>
      </c>
      <c r="R228" s="0" t="str">
        <f aca="false">IF(AND(M228=1,P228&gt;calc_helpers!$B$5),"Yes","No")</f>
        <v>No</v>
      </c>
      <c r="S228" s="0" t="n">
        <v>0</v>
      </c>
      <c r="T228" s="0" t="str">
        <f aca="false">IF(S228&gt;0,"Yes","No")</f>
        <v>No</v>
      </c>
      <c r="U228" s="0" t="n">
        <v>0</v>
      </c>
      <c r="W228" s="0" t="str">
        <f aca="false">IF(OR(AND(M228=1,ISBLANK(V228)),AND(M228=0,NOT(ISBLANK(V228)))),"Yes","No")</f>
        <v>No</v>
      </c>
      <c r="X228" s="0" t="n">
        <v>52.5</v>
      </c>
      <c r="Y228" s="3" t="s">
        <v>30</v>
      </c>
      <c r="Z228" s="0" t="str">
        <f aca="false">IF(M228=1,P228,"")</f>
        <v/>
      </c>
    </row>
    <row r="229" customFormat="false" ht="15" hidden="false" customHeight="false" outlineLevel="0" collapsed="false">
      <c r="A229" s="0" t="s">
        <v>272</v>
      </c>
      <c r="B229" s="2" t="n">
        <v>45711</v>
      </c>
      <c r="C229" s="3" t="s">
        <v>27</v>
      </c>
      <c r="D229" s="3" t="s">
        <v>28</v>
      </c>
      <c r="E229" s="3" t="s">
        <v>45</v>
      </c>
      <c r="F229" s="3" t="s">
        <v>30</v>
      </c>
      <c r="G229" s="3" t="s">
        <v>36</v>
      </c>
      <c r="H229" s="3" t="s">
        <v>30</v>
      </c>
      <c r="I229" s="3" t="s">
        <v>37</v>
      </c>
      <c r="J229" s="0" t="n">
        <v>0</v>
      </c>
      <c r="K229" s="0" t="n">
        <v>0</v>
      </c>
      <c r="L229" s="0" t="n">
        <v>0</v>
      </c>
      <c r="M229" s="0" t="n">
        <v>0</v>
      </c>
      <c r="N229" s="0" t="str">
        <f aca="false">IF(OR(NOT(OR(J229=0,J229=1)),NOT(OR(K229=0,K229=1)),NOT(OR(L229=0,L229=1)),NOT(OR(M229=0,M229=1)),NOT(OR(U229=0,U229=1))),"Yes","No")</f>
        <v>No</v>
      </c>
      <c r="O229" s="0" t="str">
        <f aca="false">IF(OR(AND(M229=1,L229=0),AND(L229=1,K229=0),AND(K229=1,J229=0)),"Yes","No")</f>
        <v>No</v>
      </c>
      <c r="P229" s="0" t="n">
        <v>0</v>
      </c>
      <c r="Q229" s="0" t="str">
        <f aca="false">IF(OR(AND(M229=0,P229&gt;0),AND(M229=1,P229&lt;=0)),"Yes","No")</f>
        <v>No</v>
      </c>
      <c r="R229" s="0" t="str">
        <f aca="false">IF(AND(M229=1,P229&gt;calc_helpers!$B$5),"Yes","No")</f>
        <v>No</v>
      </c>
      <c r="S229" s="0" t="n">
        <v>0</v>
      </c>
      <c r="T229" s="0" t="str">
        <f aca="false">IF(S229&gt;0,"Yes","No")</f>
        <v>No</v>
      </c>
      <c r="U229" s="0" t="n">
        <v>0</v>
      </c>
      <c r="W229" s="0" t="str">
        <f aca="false">IF(OR(AND(M229=1,ISBLANK(V229)),AND(M229=0,NOT(ISBLANK(V229)))),"Yes","No")</f>
        <v>No</v>
      </c>
      <c r="X229" s="0" t="n">
        <v>66.9</v>
      </c>
      <c r="Y229" s="3" t="s">
        <v>30</v>
      </c>
      <c r="Z229" s="0" t="str">
        <f aca="false">IF(M229=1,P229,"")</f>
        <v/>
      </c>
    </row>
    <row r="230" customFormat="false" ht="15" hidden="false" customHeight="false" outlineLevel="0" collapsed="false">
      <c r="A230" s="0" t="s">
        <v>273</v>
      </c>
      <c r="B230" s="2" t="n">
        <v>45681</v>
      </c>
      <c r="C230" s="3" t="s">
        <v>27</v>
      </c>
      <c r="D230" s="3" t="s">
        <v>28</v>
      </c>
      <c r="E230" s="3" t="s">
        <v>35</v>
      </c>
      <c r="F230" s="3" t="s">
        <v>30</v>
      </c>
      <c r="G230" s="3" t="s">
        <v>36</v>
      </c>
      <c r="H230" s="3" t="s">
        <v>30</v>
      </c>
      <c r="I230" s="3" t="s">
        <v>32</v>
      </c>
      <c r="J230" s="0" t="n">
        <v>1</v>
      </c>
      <c r="K230" s="0" t="n">
        <v>1</v>
      </c>
      <c r="L230" s="0" t="n">
        <v>1</v>
      </c>
      <c r="M230" s="0" t="n">
        <v>0</v>
      </c>
      <c r="N230" s="0" t="str">
        <f aca="false">IF(OR(NOT(OR(J230=0,J230=1)),NOT(OR(K230=0,K230=1)),NOT(OR(L230=0,L230=1)),NOT(OR(M230=0,M230=1)),NOT(OR(U230=0,U230=1))),"Yes","No")</f>
        <v>No</v>
      </c>
      <c r="O230" s="0" t="str">
        <f aca="false">IF(OR(AND(M230=1,L230=0),AND(L230=1,K230=0),AND(K230=1,J230=0)),"Yes","No")</f>
        <v>No</v>
      </c>
      <c r="P230" s="0" t="n">
        <v>0</v>
      </c>
      <c r="Q230" s="0" t="str">
        <f aca="false">IF(OR(AND(M230=0,P230&gt;0),AND(M230=1,P230&lt;=0)),"Yes","No")</f>
        <v>No</v>
      </c>
      <c r="R230" s="0" t="str">
        <f aca="false">IF(AND(M230=1,P230&gt;calc_helpers!$B$5),"Yes","No")</f>
        <v>No</v>
      </c>
      <c r="S230" s="0" t="n">
        <v>1</v>
      </c>
      <c r="T230" s="0" t="str">
        <f aca="false">IF(S230&gt;0,"Yes","No")</f>
        <v>Yes</v>
      </c>
      <c r="U230" s="0" t="n">
        <v>0</v>
      </c>
      <c r="W230" s="0" t="str">
        <f aca="false">IF(OR(AND(M230=1,ISBLANK(V230)),AND(M230=0,NOT(ISBLANK(V230)))),"Yes","No")</f>
        <v>No</v>
      </c>
      <c r="X230" s="0" t="n">
        <v>32.7</v>
      </c>
      <c r="Y230" s="3" t="s">
        <v>30</v>
      </c>
      <c r="Z230" s="0" t="str">
        <f aca="false">IF(M230=1,P230,"")</f>
        <v/>
      </c>
    </row>
    <row r="231" customFormat="false" ht="15" hidden="false" customHeight="false" outlineLevel="0" collapsed="false">
      <c r="A231" s="0" t="s">
        <v>274</v>
      </c>
      <c r="B231" s="2" t="n">
        <v>45673</v>
      </c>
      <c r="C231" s="3" t="s">
        <v>27</v>
      </c>
      <c r="D231" s="3" t="s">
        <v>34</v>
      </c>
      <c r="E231" s="3" t="s">
        <v>35</v>
      </c>
      <c r="F231" s="3" t="s">
        <v>30</v>
      </c>
      <c r="G231" s="3" t="s">
        <v>36</v>
      </c>
      <c r="H231" s="3" t="s">
        <v>30</v>
      </c>
      <c r="I231" s="3" t="s">
        <v>41</v>
      </c>
      <c r="J231" s="0" t="n">
        <v>1</v>
      </c>
      <c r="K231" s="0" t="n">
        <v>1</v>
      </c>
      <c r="L231" s="0" t="n">
        <v>1</v>
      </c>
      <c r="M231" s="0" t="n">
        <v>0</v>
      </c>
      <c r="N231" s="0" t="str">
        <f aca="false">IF(OR(NOT(OR(J231=0,J231=1)),NOT(OR(K231=0,K231=1)),NOT(OR(L231=0,L231=1)),NOT(OR(M231=0,M231=1)),NOT(OR(U231=0,U231=1))),"Yes","No")</f>
        <v>No</v>
      </c>
      <c r="O231" s="0" t="str">
        <f aca="false">IF(OR(AND(M231=1,L231=0),AND(L231=1,K231=0),AND(K231=1,J231=0)),"Yes","No")</f>
        <v>No</v>
      </c>
      <c r="P231" s="0" t="n">
        <v>0</v>
      </c>
      <c r="Q231" s="0" t="str">
        <f aca="false">IF(OR(AND(M231=0,P231&gt;0),AND(M231=1,P231&lt;=0)),"Yes","No")</f>
        <v>No</v>
      </c>
      <c r="R231" s="0" t="str">
        <f aca="false">IF(AND(M231=1,P231&gt;calc_helpers!$B$5),"Yes","No")</f>
        <v>No</v>
      </c>
      <c r="S231" s="0" t="n">
        <v>1</v>
      </c>
      <c r="T231" s="0" t="str">
        <f aca="false">IF(S231&gt;0,"Yes","No")</f>
        <v>Yes</v>
      </c>
      <c r="U231" s="0" t="n">
        <v>0</v>
      </c>
      <c r="W231" s="0" t="str">
        <f aca="false">IF(OR(AND(M231=1,ISBLANK(V231)),AND(M231=0,NOT(ISBLANK(V231)))),"Yes","No")</f>
        <v>No</v>
      </c>
      <c r="X231" s="0" t="n">
        <v>70.6</v>
      </c>
      <c r="Y231" s="3" t="s">
        <v>30</v>
      </c>
      <c r="Z231" s="0" t="str">
        <f aca="false">IF(M231=1,P231,"")</f>
        <v/>
      </c>
    </row>
    <row r="232" customFormat="false" ht="15" hidden="false" customHeight="false" outlineLevel="0" collapsed="false">
      <c r="A232" s="0" t="s">
        <v>275</v>
      </c>
      <c r="B232" s="2" t="n">
        <v>45705</v>
      </c>
      <c r="C232" s="3" t="s">
        <v>27</v>
      </c>
      <c r="D232" s="3" t="s">
        <v>28</v>
      </c>
      <c r="E232" s="3" t="s">
        <v>35</v>
      </c>
      <c r="F232" s="3" t="s">
        <v>30</v>
      </c>
      <c r="G232" s="3" t="s">
        <v>52</v>
      </c>
      <c r="H232" s="3" t="s">
        <v>30</v>
      </c>
      <c r="I232" s="3" t="s">
        <v>37</v>
      </c>
      <c r="J232" s="0" t="n">
        <v>0</v>
      </c>
      <c r="K232" s="0" t="n">
        <v>0</v>
      </c>
      <c r="L232" s="0" t="n">
        <v>0</v>
      </c>
      <c r="M232" s="0" t="n">
        <v>0</v>
      </c>
      <c r="N232" s="0" t="str">
        <f aca="false">IF(OR(NOT(OR(J232=0,J232=1)),NOT(OR(K232=0,K232=1)),NOT(OR(L232=0,L232=1)),NOT(OR(M232=0,M232=1)),NOT(OR(U232=0,U232=1))),"Yes","No")</f>
        <v>No</v>
      </c>
      <c r="O232" s="0" t="str">
        <f aca="false">IF(OR(AND(M232=1,L232=0),AND(L232=1,K232=0),AND(K232=1,J232=0)),"Yes","No")</f>
        <v>No</v>
      </c>
      <c r="P232" s="0" t="n">
        <v>0</v>
      </c>
      <c r="Q232" s="0" t="str">
        <f aca="false">IF(OR(AND(M232=0,P232&gt;0),AND(M232=1,P232&lt;=0)),"Yes","No")</f>
        <v>No</v>
      </c>
      <c r="R232" s="0" t="str">
        <f aca="false">IF(AND(M232=1,P232&gt;calc_helpers!$B$5),"Yes","No")</f>
        <v>No</v>
      </c>
      <c r="S232" s="0" t="n">
        <v>0</v>
      </c>
      <c r="T232" s="0" t="str">
        <f aca="false">IF(S232&gt;0,"Yes","No")</f>
        <v>No</v>
      </c>
      <c r="U232" s="0" t="n">
        <v>0</v>
      </c>
      <c r="W232" s="0" t="str">
        <f aca="false">IF(OR(AND(M232=1,ISBLANK(V232)),AND(M232=0,NOT(ISBLANK(V232)))),"Yes","No")</f>
        <v>No</v>
      </c>
      <c r="X232" s="0" t="n">
        <v>69.4</v>
      </c>
      <c r="Y232" s="3" t="s">
        <v>30</v>
      </c>
      <c r="Z232" s="0" t="str">
        <f aca="false">IF(M232=1,P232,"")</f>
        <v/>
      </c>
    </row>
    <row r="233" customFormat="false" ht="15" hidden="false" customHeight="false" outlineLevel="0" collapsed="false">
      <c r="A233" s="0" t="s">
        <v>276</v>
      </c>
      <c r="B233" s="2" t="n">
        <v>45781</v>
      </c>
      <c r="C233" s="3" t="s">
        <v>27</v>
      </c>
      <c r="D233" s="3" t="s">
        <v>28</v>
      </c>
      <c r="E233" s="3" t="s">
        <v>29</v>
      </c>
      <c r="F233" s="3" t="s">
        <v>30</v>
      </c>
      <c r="G233" s="3" t="s">
        <v>36</v>
      </c>
      <c r="H233" s="3" t="s">
        <v>30</v>
      </c>
      <c r="I233" s="3" t="s">
        <v>32</v>
      </c>
      <c r="J233" s="0" t="n">
        <v>1</v>
      </c>
      <c r="K233" s="0" t="n">
        <v>0</v>
      </c>
      <c r="L233" s="0" t="n">
        <v>0</v>
      </c>
      <c r="M233" s="0" t="n">
        <v>0</v>
      </c>
      <c r="N233" s="0" t="str">
        <f aca="false">IF(OR(NOT(OR(J233=0,J233=1)),NOT(OR(K233=0,K233=1)),NOT(OR(L233=0,L233=1)),NOT(OR(M233=0,M233=1)),NOT(OR(U233=0,U233=1))),"Yes","No")</f>
        <v>No</v>
      </c>
      <c r="O233" s="0" t="str">
        <f aca="false">IF(OR(AND(M233=1,L233=0),AND(L233=1,K233=0),AND(K233=1,J233=0)),"Yes","No")</f>
        <v>No</v>
      </c>
      <c r="P233" s="0" t="n">
        <v>0</v>
      </c>
      <c r="Q233" s="0" t="str">
        <f aca="false">IF(OR(AND(M233=0,P233&gt;0),AND(M233=1,P233&lt;=0)),"Yes","No")</f>
        <v>No</v>
      </c>
      <c r="R233" s="0" t="str">
        <f aca="false">IF(AND(M233=1,P233&gt;calc_helpers!$B$5),"Yes","No")</f>
        <v>No</v>
      </c>
      <c r="S233" s="0" t="n">
        <v>0</v>
      </c>
      <c r="T233" s="0" t="str">
        <f aca="false">IF(S233&gt;0,"Yes","No")</f>
        <v>No</v>
      </c>
      <c r="U233" s="0" t="n">
        <v>0</v>
      </c>
      <c r="W233" s="0" t="str">
        <f aca="false">IF(OR(AND(M233=1,ISBLANK(V233)),AND(M233=0,NOT(ISBLANK(V233)))),"Yes","No")</f>
        <v>No</v>
      </c>
      <c r="X233" s="0" t="n">
        <v>56.1</v>
      </c>
      <c r="Y233" s="3" t="s">
        <v>30</v>
      </c>
      <c r="Z233" s="0" t="str">
        <f aca="false">IF(M233=1,P233,"")</f>
        <v/>
      </c>
    </row>
    <row r="234" customFormat="false" ht="15" hidden="false" customHeight="false" outlineLevel="0" collapsed="false">
      <c r="A234" s="0" t="s">
        <v>277</v>
      </c>
      <c r="B234" s="2" t="n">
        <v>45669</v>
      </c>
      <c r="C234" s="3" t="s">
        <v>27</v>
      </c>
      <c r="D234" s="3" t="s">
        <v>34</v>
      </c>
      <c r="E234" s="3" t="s">
        <v>35</v>
      </c>
      <c r="F234" s="3" t="s">
        <v>30</v>
      </c>
      <c r="G234" s="3" t="s">
        <v>36</v>
      </c>
      <c r="H234" s="3" t="s">
        <v>30</v>
      </c>
      <c r="I234" s="3" t="s">
        <v>32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str">
        <f aca="false">IF(OR(NOT(OR(J234=0,J234=1)),NOT(OR(K234=0,K234=1)),NOT(OR(L234=0,L234=1)),NOT(OR(M234=0,M234=1)),NOT(OR(U234=0,U234=1))),"Yes","No")</f>
        <v>No</v>
      </c>
      <c r="O234" s="0" t="str">
        <f aca="false">IF(OR(AND(M234=1,L234=0),AND(L234=1,K234=0),AND(K234=1,J234=0)),"Yes","No")</f>
        <v>No</v>
      </c>
      <c r="P234" s="0" t="n">
        <v>0</v>
      </c>
      <c r="Q234" s="0" t="str">
        <f aca="false">IF(OR(AND(M234=0,P234&gt;0),AND(M234=1,P234&lt;=0)),"Yes","No")</f>
        <v>No</v>
      </c>
      <c r="R234" s="0" t="str">
        <f aca="false">IF(AND(M234=1,P234&gt;calc_helpers!$B$5),"Yes","No")</f>
        <v>No</v>
      </c>
      <c r="S234" s="0" t="n">
        <v>0</v>
      </c>
      <c r="T234" s="0" t="str">
        <f aca="false">IF(S234&gt;0,"Yes","No")</f>
        <v>No</v>
      </c>
      <c r="U234" s="0" t="n">
        <v>0</v>
      </c>
      <c r="W234" s="0" t="str">
        <f aca="false">IF(OR(AND(M234=1,ISBLANK(V234)),AND(M234=0,NOT(ISBLANK(V234)))),"Yes","No")</f>
        <v>No</v>
      </c>
      <c r="X234" s="0" t="n">
        <v>55.8</v>
      </c>
      <c r="Y234" s="3" t="s">
        <v>30</v>
      </c>
      <c r="Z234" s="0" t="str">
        <f aca="false">IF(M234=1,P234,"")</f>
        <v/>
      </c>
    </row>
    <row r="235" customFormat="false" ht="15" hidden="false" customHeight="false" outlineLevel="0" collapsed="false">
      <c r="A235" s="0" t="s">
        <v>278</v>
      </c>
      <c r="B235" s="2" t="n">
        <v>45775</v>
      </c>
      <c r="C235" s="3" t="s">
        <v>27</v>
      </c>
      <c r="D235" s="3" t="s">
        <v>28</v>
      </c>
      <c r="E235" s="3" t="s">
        <v>45</v>
      </c>
      <c r="F235" s="3" t="s">
        <v>30</v>
      </c>
      <c r="G235" s="3" t="s">
        <v>36</v>
      </c>
      <c r="H235" s="3" t="s">
        <v>30</v>
      </c>
      <c r="I235" s="3" t="s">
        <v>37</v>
      </c>
      <c r="J235" s="0" t="n">
        <v>0</v>
      </c>
      <c r="K235" s="0" t="n">
        <v>0</v>
      </c>
      <c r="L235" s="0" t="n">
        <v>0</v>
      </c>
      <c r="M235" s="0" t="n">
        <v>0</v>
      </c>
      <c r="N235" s="0" t="str">
        <f aca="false">IF(OR(NOT(OR(J235=0,J235=1)),NOT(OR(K235=0,K235=1)),NOT(OR(L235=0,L235=1)),NOT(OR(M235=0,M235=1)),NOT(OR(U235=0,U235=1))),"Yes","No")</f>
        <v>No</v>
      </c>
      <c r="O235" s="0" t="str">
        <f aca="false">IF(OR(AND(M235=1,L235=0),AND(L235=1,K235=0),AND(K235=1,J235=0)),"Yes","No")</f>
        <v>No</v>
      </c>
      <c r="P235" s="0" t="n">
        <v>0</v>
      </c>
      <c r="Q235" s="0" t="str">
        <f aca="false">IF(OR(AND(M235=0,P235&gt;0),AND(M235=1,P235&lt;=0)),"Yes","No")</f>
        <v>No</v>
      </c>
      <c r="R235" s="0" t="str">
        <f aca="false">IF(AND(M235=1,P235&gt;calc_helpers!$B$5),"Yes","No")</f>
        <v>No</v>
      </c>
      <c r="S235" s="0" t="n">
        <v>0</v>
      </c>
      <c r="T235" s="0" t="str">
        <f aca="false">IF(S235&gt;0,"Yes","No")</f>
        <v>No</v>
      </c>
      <c r="U235" s="0" t="n">
        <v>0</v>
      </c>
      <c r="W235" s="0" t="str">
        <f aca="false">IF(OR(AND(M235=1,ISBLANK(V235)),AND(M235=0,NOT(ISBLANK(V235)))),"Yes","No")</f>
        <v>No</v>
      </c>
      <c r="X235" s="0" t="n">
        <v>49.3</v>
      </c>
      <c r="Y235" s="3" t="s">
        <v>30</v>
      </c>
      <c r="Z235" s="0" t="str">
        <f aca="false">IF(M235=1,P235,"")</f>
        <v/>
      </c>
    </row>
    <row r="236" customFormat="false" ht="15" hidden="false" customHeight="false" outlineLevel="0" collapsed="false">
      <c r="A236" s="0" t="s">
        <v>279</v>
      </c>
      <c r="B236" s="2" t="n">
        <v>45714</v>
      </c>
      <c r="C236" s="3" t="s">
        <v>27</v>
      </c>
      <c r="D236" s="3" t="s">
        <v>28</v>
      </c>
      <c r="E236" s="3" t="s">
        <v>35</v>
      </c>
      <c r="F236" s="3" t="s">
        <v>30</v>
      </c>
      <c r="G236" s="3" t="s">
        <v>36</v>
      </c>
      <c r="H236" s="3" t="s">
        <v>30</v>
      </c>
      <c r="I236" s="3" t="s">
        <v>37</v>
      </c>
      <c r="J236" s="0" t="n">
        <v>0</v>
      </c>
      <c r="K236" s="0" t="n">
        <v>0</v>
      </c>
      <c r="L236" s="0" t="n">
        <v>0</v>
      </c>
      <c r="M236" s="0" t="n">
        <v>0</v>
      </c>
      <c r="N236" s="0" t="str">
        <f aca="false">IF(OR(NOT(OR(J236=0,J236=1)),NOT(OR(K236=0,K236=1)),NOT(OR(L236=0,L236=1)),NOT(OR(M236=0,M236=1)),NOT(OR(U236=0,U236=1))),"Yes","No")</f>
        <v>No</v>
      </c>
      <c r="O236" s="0" t="str">
        <f aca="false">IF(OR(AND(M236=1,L236=0),AND(L236=1,K236=0),AND(K236=1,J236=0)),"Yes","No")</f>
        <v>No</v>
      </c>
      <c r="P236" s="0" t="n">
        <v>0</v>
      </c>
      <c r="Q236" s="0" t="str">
        <f aca="false">IF(OR(AND(M236=0,P236&gt;0),AND(M236=1,P236&lt;=0)),"Yes","No")</f>
        <v>No</v>
      </c>
      <c r="R236" s="0" t="str">
        <f aca="false">IF(AND(M236=1,P236&gt;calc_helpers!$B$5),"Yes","No")</f>
        <v>No</v>
      </c>
      <c r="S236" s="0" t="n">
        <v>0</v>
      </c>
      <c r="T236" s="0" t="str">
        <f aca="false">IF(S236&gt;0,"Yes","No")</f>
        <v>No</v>
      </c>
      <c r="U236" s="0" t="n">
        <v>0</v>
      </c>
      <c r="W236" s="0" t="str">
        <f aca="false">IF(OR(AND(M236=1,ISBLANK(V236)),AND(M236=0,NOT(ISBLANK(V236)))),"Yes","No")</f>
        <v>No</v>
      </c>
      <c r="X236" s="0" t="n">
        <v>71.8</v>
      </c>
      <c r="Y236" s="3" t="s">
        <v>30</v>
      </c>
      <c r="Z236" s="0" t="str">
        <f aca="false">IF(M236=1,P236,"")</f>
        <v/>
      </c>
    </row>
    <row r="237" customFormat="false" ht="15" hidden="false" customHeight="false" outlineLevel="0" collapsed="false">
      <c r="A237" s="0" t="s">
        <v>280</v>
      </c>
      <c r="B237" s="2" t="n">
        <v>45734</v>
      </c>
      <c r="C237" s="3" t="s">
        <v>27</v>
      </c>
      <c r="D237" s="3" t="s">
        <v>34</v>
      </c>
      <c r="E237" s="3" t="s">
        <v>35</v>
      </c>
      <c r="F237" s="3" t="s">
        <v>30</v>
      </c>
      <c r="G237" s="3" t="s">
        <v>52</v>
      </c>
      <c r="H237" s="3" t="s">
        <v>30</v>
      </c>
      <c r="I237" s="3" t="s">
        <v>37</v>
      </c>
      <c r="J237" s="0" t="n">
        <v>1</v>
      </c>
      <c r="K237" s="0" t="n">
        <v>0</v>
      </c>
      <c r="L237" s="0" t="n">
        <v>0</v>
      </c>
      <c r="M237" s="0" t="n">
        <v>0</v>
      </c>
      <c r="N237" s="0" t="str">
        <f aca="false">IF(OR(NOT(OR(J237=0,J237=1)),NOT(OR(K237=0,K237=1)),NOT(OR(L237=0,L237=1)),NOT(OR(M237=0,M237=1)),NOT(OR(U237=0,U237=1))),"Yes","No")</f>
        <v>No</v>
      </c>
      <c r="O237" s="0" t="str">
        <f aca="false">IF(OR(AND(M237=1,L237=0),AND(L237=1,K237=0),AND(K237=1,J237=0)),"Yes","No")</f>
        <v>No</v>
      </c>
      <c r="P237" s="0" t="n">
        <v>0</v>
      </c>
      <c r="Q237" s="0" t="str">
        <f aca="false">IF(OR(AND(M237=0,P237&gt;0),AND(M237=1,P237&lt;=0)),"Yes","No")</f>
        <v>No</v>
      </c>
      <c r="R237" s="0" t="str">
        <f aca="false">IF(AND(M237=1,P237&gt;calc_helpers!$B$5),"Yes","No")</f>
        <v>No</v>
      </c>
      <c r="S237" s="0" t="n">
        <v>3</v>
      </c>
      <c r="T237" s="0" t="str">
        <f aca="false">IF(S237&gt;0,"Yes","No")</f>
        <v>Yes</v>
      </c>
      <c r="U237" s="0" t="n">
        <v>0</v>
      </c>
      <c r="W237" s="0" t="str">
        <f aca="false">IF(OR(AND(M237=1,ISBLANK(V237)),AND(M237=0,NOT(ISBLANK(V237)))),"Yes","No")</f>
        <v>No</v>
      </c>
      <c r="X237" s="0" t="n">
        <v>39.7</v>
      </c>
      <c r="Y237" s="3" t="s">
        <v>30</v>
      </c>
      <c r="Z237" s="0" t="str">
        <f aca="false">IF(M237=1,P237,"")</f>
        <v/>
      </c>
    </row>
    <row r="238" customFormat="false" ht="15" hidden="false" customHeight="false" outlineLevel="0" collapsed="false">
      <c r="A238" s="0" t="s">
        <v>281</v>
      </c>
      <c r="B238" s="2" t="n">
        <v>45717</v>
      </c>
      <c r="C238" s="3" t="s">
        <v>27</v>
      </c>
      <c r="D238" s="3" t="s">
        <v>43</v>
      </c>
      <c r="E238" s="3" t="s">
        <v>29</v>
      </c>
      <c r="F238" s="3" t="s">
        <v>30</v>
      </c>
      <c r="G238" s="3" t="s">
        <v>36</v>
      </c>
      <c r="H238" s="3" t="s">
        <v>30</v>
      </c>
      <c r="I238" s="3" t="s">
        <v>41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str">
        <f aca="false">IF(OR(NOT(OR(J238=0,J238=1)),NOT(OR(K238=0,K238=1)),NOT(OR(L238=0,L238=1)),NOT(OR(M238=0,M238=1)),NOT(OR(U238=0,U238=1))),"Yes","No")</f>
        <v>No</v>
      </c>
      <c r="O238" s="0" t="str">
        <f aca="false">IF(OR(AND(M238=1,L238=0),AND(L238=1,K238=0),AND(K238=1,J238=0)),"Yes","No")</f>
        <v>No</v>
      </c>
      <c r="P238" s="0" t="n">
        <v>0</v>
      </c>
      <c r="Q238" s="0" t="str">
        <f aca="false">IF(OR(AND(M238=0,P238&gt;0),AND(M238=1,P238&lt;=0)),"Yes","No")</f>
        <v>No</v>
      </c>
      <c r="R238" s="0" t="str">
        <f aca="false">IF(AND(M238=1,P238&gt;calc_helpers!$B$5),"Yes","No")</f>
        <v>No</v>
      </c>
      <c r="S238" s="0" t="n">
        <v>0</v>
      </c>
      <c r="T238" s="0" t="str">
        <f aca="false">IF(S238&gt;0,"Yes","No")</f>
        <v>No</v>
      </c>
      <c r="U238" s="0" t="n">
        <v>0</v>
      </c>
      <c r="W238" s="0" t="str">
        <f aca="false">IF(OR(AND(M238=1,ISBLANK(V238)),AND(M238=0,NOT(ISBLANK(V238)))),"Yes","No")</f>
        <v>No</v>
      </c>
      <c r="X238" s="0" t="n">
        <v>45.4</v>
      </c>
      <c r="Y238" s="3" t="s">
        <v>30</v>
      </c>
      <c r="Z238" s="0" t="str">
        <f aca="false">IF(M238=1,P238,"")</f>
        <v/>
      </c>
    </row>
    <row r="239" customFormat="false" ht="15" hidden="false" customHeight="false" outlineLevel="0" collapsed="false">
      <c r="A239" s="0" t="s">
        <v>282</v>
      </c>
      <c r="B239" s="2" t="n">
        <v>45752</v>
      </c>
      <c r="C239" s="3" t="s">
        <v>27</v>
      </c>
      <c r="D239" s="3" t="s">
        <v>28</v>
      </c>
      <c r="E239" s="3" t="s">
        <v>29</v>
      </c>
      <c r="F239" s="3" t="s">
        <v>30</v>
      </c>
      <c r="G239" s="3" t="s">
        <v>52</v>
      </c>
      <c r="H239" s="3" t="s">
        <v>30</v>
      </c>
      <c r="I239" s="3" t="s">
        <v>41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str">
        <f aca="false">IF(OR(NOT(OR(J239=0,J239=1)),NOT(OR(K239=0,K239=1)),NOT(OR(L239=0,L239=1)),NOT(OR(M239=0,M239=1)),NOT(OR(U239=0,U239=1))),"Yes","No")</f>
        <v>No</v>
      </c>
      <c r="O239" s="0" t="str">
        <f aca="false">IF(OR(AND(M239=1,L239=0),AND(L239=1,K239=0),AND(K239=1,J239=0)),"Yes","No")</f>
        <v>No</v>
      </c>
      <c r="P239" s="0" t="n">
        <v>0</v>
      </c>
      <c r="Q239" s="0" t="str">
        <f aca="false">IF(OR(AND(M239=0,P239&gt;0),AND(M239=1,P239&lt;=0)),"Yes","No")</f>
        <v>No</v>
      </c>
      <c r="R239" s="0" t="str">
        <f aca="false">IF(AND(M239=1,P239&gt;calc_helpers!$B$5),"Yes","No")</f>
        <v>No</v>
      </c>
      <c r="S239" s="0" t="n">
        <v>0</v>
      </c>
      <c r="T239" s="0" t="str">
        <f aca="false">IF(S239&gt;0,"Yes","No")</f>
        <v>No</v>
      </c>
      <c r="U239" s="0" t="n">
        <v>0</v>
      </c>
      <c r="W239" s="0" t="str">
        <f aca="false">IF(OR(AND(M239=1,ISBLANK(V239)),AND(M239=0,NOT(ISBLANK(V239)))),"Yes","No")</f>
        <v>No</v>
      </c>
      <c r="X239" s="0" t="n">
        <v>69.9</v>
      </c>
      <c r="Y239" s="3" t="s">
        <v>30</v>
      </c>
      <c r="Z239" s="0" t="str">
        <f aca="false">IF(M239=1,P239,"")</f>
        <v/>
      </c>
    </row>
    <row r="240" customFormat="false" ht="15" hidden="false" customHeight="false" outlineLevel="0" collapsed="false">
      <c r="A240" s="0" t="s">
        <v>283</v>
      </c>
      <c r="B240" s="2" t="n">
        <v>45728</v>
      </c>
      <c r="C240" s="3" t="s">
        <v>27</v>
      </c>
      <c r="D240" s="3" t="s">
        <v>28</v>
      </c>
      <c r="E240" s="3" t="s">
        <v>29</v>
      </c>
      <c r="F240" s="3" t="s">
        <v>30</v>
      </c>
      <c r="G240" s="3" t="s">
        <v>52</v>
      </c>
      <c r="H240" s="3" t="s">
        <v>30</v>
      </c>
      <c r="I240" s="3" t="s">
        <v>37</v>
      </c>
      <c r="J240" s="0" t="n">
        <v>1</v>
      </c>
      <c r="K240" s="0" t="n">
        <v>1</v>
      </c>
      <c r="L240" s="0" t="n">
        <v>1</v>
      </c>
      <c r="M240" s="0" t="n">
        <v>0</v>
      </c>
      <c r="N240" s="0" t="str">
        <f aca="false">IF(OR(NOT(OR(J240=0,J240=1)),NOT(OR(K240=0,K240=1)),NOT(OR(L240=0,L240=1)),NOT(OR(M240=0,M240=1)),NOT(OR(U240=0,U240=1))),"Yes","No")</f>
        <v>No</v>
      </c>
      <c r="O240" s="0" t="str">
        <f aca="false">IF(OR(AND(M240=1,L240=0),AND(L240=1,K240=0),AND(K240=1,J240=0)),"Yes","No")</f>
        <v>No</v>
      </c>
      <c r="P240" s="0" t="n">
        <v>0</v>
      </c>
      <c r="Q240" s="0" t="str">
        <f aca="false">IF(OR(AND(M240=0,P240&gt;0),AND(M240=1,P240&lt;=0)),"Yes","No")</f>
        <v>No</v>
      </c>
      <c r="R240" s="0" t="str">
        <f aca="false">IF(AND(M240=1,P240&gt;calc_helpers!$B$5),"Yes","No")</f>
        <v>No</v>
      </c>
      <c r="S240" s="0" t="n">
        <v>0</v>
      </c>
      <c r="T240" s="0" t="str">
        <f aca="false">IF(S240&gt;0,"Yes","No")</f>
        <v>No</v>
      </c>
      <c r="U240" s="0" t="n">
        <v>0</v>
      </c>
      <c r="W240" s="0" t="str">
        <f aca="false">IF(OR(AND(M240=1,ISBLANK(V240)),AND(M240=0,NOT(ISBLANK(V240)))),"Yes","No")</f>
        <v>No</v>
      </c>
      <c r="X240" s="0" t="n">
        <v>56.1</v>
      </c>
      <c r="Y240" s="3" t="s">
        <v>30</v>
      </c>
      <c r="Z240" s="0" t="str">
        <f aca="false">IF(M240=1,P240,"")</f>
        <v/>
      </c>
    </row>
    <row r="241" customFormat="false" ht="15" hidden="false" customHeight="false" outlineLevel="0" collapsed="false">
      <c r="A241" s="0" t="s">
        <v>284</v>
      </c>
      <c r="B241" s="2" t="n">
        <v>45731</v>
      </c>
      <c r="C241" s="3" t="s">
        <v>27</v>
      </c>
      <c r="D241" s="3" t="s">
        <v>34</v>
      </c>
      <c r="E241" s="3" t="s">
        <v>35</v>
      </c>
      <c r="F241" s="3" t="s">
        <v>30</v>
      </c>
      <c r="G241" s="3" t="s">
        <v>50</v>
      </c>
      <c r="H241" s="3" t="s">
        <v>30</v>
      </c>
      <c r="I241" s="3" t="s">
        <v>32</v>
      </c>
      <c r="J241" s="0" t="n">
        <v>1</v>
      </c>
      <c r="K241" s="0" t="n">
        <v>1</v>
      </c>
      <c r="L241" s="0" t="n">
        <v>0</v>
      </c>
      <c r="M241" s="0" t="n">
        <v>0</v>
      </c>
      <c r="N241" s="0" t="str">
        <f aca="false">IF(OR(NOT(OR(J241=0,J241=1)),NOT(OR(K241=0,K241=1)),NOT(OR(L241=0,L241=1)),NOT(OR(M241=0,M241=1)),NOT(OR(U241=0,U241=1))),"Yes","No")</f>
        <v>No</v>
      </c>
      <c r="O241" s="0" t="str">
        <f aca="false">IF(OR(AND(M241=1,L241=0),AND(L241=1,K241=0),AND(K241=1,J241=0)),"Yes","No")</f>
        <v>No</v>
      </c>
      <c r="P241" s="0" t="n">
        <v>0</v>
      </c>
      <c r="Q241" s="0" t="str">
        <f aca="false">IF(OR(AND(M241=0,P241&gt;0),AND(M241=1,P241&lt;=0)),"Yes","No")</f>
        <v>No</v>
      </c>
      <c r="R241" s="0" t="str">
        <f aca="false">IF(AND(M241=1,P241&gt;calc_helpers!$B$5),"Yes","No")</f>
        <v>No</v>
      </c>
      <c r="S241" s="0" t="n">
        <v>0</v>
      </c>
      <c r="T241" s="0" t="str">
        <f aca="false">IF(S241&gt;0,"Yes","No")</f>
        <v>No</v>
      </c>
      <c r="U241" s="0" t="n">
        <v>0</v>
      </c>
      <c r="W241" s="0" t="str">
        <f aca="false">IF(OR(AND(M241=1,ISBLANK(V241)),AND(M241=0,NOT(ISBLANK(V241)))),"Yes","No")</f>
        <v>No</v>
      </c>
      <c r="X241" s="0" t="n">
        <v>45.9</v>
      </c>
      <c r="Y241" s="3" t="s">
        <v>30</v>
      </c>
      <c r="Z241" s="0" t="str">
        <f aca="false">IF(M241=1,P241,"")</f>
        <v/>
      </c>
    </row>
    <row r="242" customFormat="false" ht="15" hidden="false" customHeight="false" outlineLevel="0" collapsed="false">
      <c r="A242" s="0" t="s">
        <v>285</v>
      </c>
      <c r="B242" s="2" t="n">
        <v>45711</v>
      </c>
      <c r="C242" s="3" t="s">
        <v>27</v>
      </c>
      <c r="D242" s="3" t="s">
        <v>34</v>
      </c>
      <c r="E242" s="3" t="s">
        <v>35</v>
      </c>
      <c r="F242" s="3" t="s">
        <v>30</v>
      </c>
      <c r="G242" s="3" t="s">
        <v>31</v>
      </c>
      <c r="H242" s="3" t="s">
        <v>30</v>
      </c>
      <c r="I242" s="3" t="s">
        <v>37</v>
      </c>
      <c r="J242" s="0" t="n">
        <v>0</v>
      </c>
      <c r="K242" s="0" t="n">
        <v>0</v>
      </c>
      <c r="L242" s="0" t="n">
        <v>0</v>
      </c>
      <c r="M242" s="0" t="n">
        <v>0</v>
      </c>
      <c r="N242" s="0" t="str">
        <f aca="false">IF(OR(NOT(OR(J242=0,J242=1)),NOT(OR(K242=0,K242=1)),NOT(OR(L242=0,L242=1)),NOT(OR(M242=0,M242=1)),NOT(OR(U242=0,U242=1))),"Yes","No")</f>
        <v>No</v>
      </c>
      <c r="O242" s="0" t="str">
        <f aca="false">IF(OR(AND(M242=1,L242=0),AND(L242=1,K242=0),AND(K242=1,J242=0)),"Yes","No")</f>
        <v>No</v>
      </c>
      <c r="P242" s="0" t="n">
        <v>0</v>
      </c>
      <c r="Q242" s="0" t="str">
        <f aca="false">IF(OR(AND(M242=0,P242&gt;0),AND(M242=1,P242&lt;=0)),"Yes","No")</f>
        <v>No</v>
      </c>
      <c r="R242" s="0" t="str">
        <f aca="false">IF(AND(M242=1,P242&gt;calc_helpers!$B$5),"Yes","No")</f>
        <v>No</v>
      </c>
      <c r="S242" s="0" t="n">
        <v>0</v>
      </c>
      <c r="T242" s="0" t="str">
        <f aca="false">IF(S242&gt;0,"Yes","No")</f>
        <v>No</v>
      </c>
      <c r="U242" s="0" t="n">
        <v>0</v>
      </c>
      <c r="W242" s="0" t="str">
        <f aca="false">IF(OR(AND(M242=1,ISBLANK(V242)),AND(M242=0,NOT(ISBLANK(V242)))),"Yes","No")</f>
        <v>No</v>
      </c>
      <c r="X242" s="0" t="n">
        <v>65.8</v>
      </c>
      <c r="Y242" s="3" t="s">
        <v>30</v>
      </c>
      <c r="Z242" s="0" t="str">
        <f aca="false">IF(M242=1,P242,"")</f>
        <v/>
      </c>
    </row>
    <row r="243" customFormat="false" ht="15" hidden="false" customHeight="false" outlineLevel="0" collapsed="false">
      <c r="A243" s="0" t="s">
        <v>286</v>
      </c>
      <c r="B243" s="2" t="n">
        <v>45769</v>
      </c>
      <c r="C243" s="3" t="s">
        <v>27</v>
      </c>
      <c r="D243" s="3" t="s">
        <v>28</v>
      </c>
      <c r="E243" s="3" t="s">
        <v>35</v>
      </c>
      <c r="F243" s="3" t="s">
        <v>30</v>
      </c>
      <c r="G243" s="3" t="s">
        <v>36</v>
      </c>
      <c r="H243" s="3" t="s">
        <v>30</v>
      </c>
      <c r="I243" s="3" t="s">
        <v>32</v>
      </c>
      <c r="J243" s="0" t="n">
        <v>1</v>
      </c>
      <c r="K243" s="0" t="n">
        <v>0</v>
      </c>
      <c r="L243" s="0" t="n">
        <v>0</v>
      </c>
      <c r="M243" s="0" t="n">
        <v>0</v>
      </c>
      <c r="N243" s="0" t="str">
        <f aca="false">IF(OR(NOT(OR(J243=0,J243=1)),NOT(OR(K243=0,K243=1)),NOT(OR(L243=0,L243=1)),NOT(OR(M243=0,M243=1)),NOT(OR(U243=0,U243=1))),"Yes","No")</f>
        <v>No</v>
      </c>
      <c r="O243" s="0" t="str">
        <f aca="false">IF(OR(AND(M243=1,L243=0),AND(L243=1,K243=0),AND(K243=1,J243=0)),"Yes","No")</f>
        <v>No</v>
      </c>
      <c r="P243" s="0" t="n">
        <v>0</v>
      </c>
      <c r="Q243" s="0" t="str">
        <f aca="false">IF(OR(AND(M243=0,P243&gt;0),AND(M243=1,P243&lt;=0)),"Yes","No")</f>
        <v>No</v>
      </c>
      <c r="R243" s="0" t="str">
        <f aca="false">IF(AND(M243=1,P243&gt;calc_helpers!$B$5),"Yes","No")</f>
        <v>No</v>
      </c>
      <c r="S243" s="0" t="n">
        <v>0</v>
      </c>
      <c r="T243" s="0" t="str">
        <f aca="false">IF(S243&gt;0,"Yes","No")</f>
        <v>No</v>
      </c>
      <c r="U243" s="0" t="n">
        <v>0</v>
      </c>
      <c r="W243" s="0" t="str">
        <f aca="false">IF(OR(AND(M243=1,ISBLANK(V243)),AND(M243=0,NOT(ISBLANK(V243)))),"Yes","No")</f>
        <v>No</v>
      </c>
      <c r="X243" s="0" t="n">
        <v>48.2</v>
      </c>
      <c r="Y243" s="3" t="s">
        <v>30</v>
      </c>
      <c r="Z243" s="0" t="str">
        <f aca="false">IF(M243=1,P243,"")</f>
        <v/>
      </c>
    </row>
    <row r="244" customFormat="false" ht="15" hidden="false" customHeight="false" outlineLevel="0" collapsed="false">
      <c r="A244" s="0" t="s">
        <v>287</v>
      </c>
      <c r="B244" s="2" t="n">
        <v>45666</v>
      </c>
      <c r="C244" s="3" t="s">
        <v>27</v>
      </c>
      <c r="D244" s="3" t="s">
        <v>39</v>
      </c>
      <c r="E244" s="3" t="s">
        <v>35</v>
      </c>
      <c r="F244" s="3" t="s">
        <v>30</v>
      </c>
      <c r="G244" s="3" t="s">
        <v>36</v>
      </c>
      <c r="H244" s="3" t="s">
        <v>30</v>
      </c>
      <c r="I244" s="3" t="s">
        <v>32</v>
      </c>
      <c r="J244" s="0" t="n">
        <v>1</v>
      </c>
      <c r="K244" s="0" t="n">
        <v>1</v>
      </c>
      <c r="L244" s="0" t="n">
        <v>1</v>
      </c>
      <c r="M244" s="0" t="n">
        <v>0</v>
      </c>
      <c r="N244" s="0" t="str">
        <f aca="false">IF(OR(NOT(OR(J244=0,J244=1)),NOT(OR(K244=0,K244=1)),NOT(OR(L244=0,L244=1)),NOT(OR(M244=0,M244=1)),NOT(OR(U244=0,U244=1))),"Yes","No")</f>
        <v>No</v>
      </c>
      <c r="O244" s="0" t="str">
        <f aca="false">IF(OR(AND(M244=1,L244=0),AND(L244=1,K244=0),AND(K244=1,J244=0)),"Yes","No")</f>
        <v>No</v>
      </c>
      <c r="P244" s="0" t="n">
        <v>0</v>
      </c>
      <c r="Q244" s="0" t="str">
        <f aca="false">IF(OR(AND(M244=0,P244&gt;0),AND(M244=1,P244&lt;=0)),"Yes","No")</f>
        <v>No</v>
      </c>
      <c r="R244" s="0" t="str">
        <f aca="false">IF(AND(M244=1,P244&gt;calc_helpers!$B$5),"Yes","No")</f>
        <v>No</v>
      </c>
      <c r="S244" s="0" t="n">
        <v>0</v>
      </c>
      <c r="T244" s="0" t="str">
        <f aca="false">IF(S244&gt;0,"Yes","No")</f>
        <v>No</v>
      </c>
      <c r="U244" s="0" t="n">
        <v>0</v>
      </c>
      <c r="W244" s="0" t="str">
        <f aca="false">IF(OR(AND(M244=1,ISBLANK(V244)),AND(M244=0,NOT(ISBLANK(V244)))),"Yes","No")</f>
        <v>No</v>
      </c>
      <c r="X244" s="0" t="n">
        <v>81.1</v>
      </c>
      <c r="Y244" s="3" t="s">
        <v>30</v>
      </c>
      <c r="Z244" s="0" t="str">
        <f aca="false">IF(M244=1,P244,"")</f>
        <v/>
      </c>
    </row>
    <row r="245" customFormat="false" ht="15" hidden="false" customHeight="false" outlineLevel="0" collapsed="false">
      <c r="A245" s="0" t="s">
        <v>288</v>
      </c>
      <c r="B245" s="2" t="n">
        <v>45721</v>
      </c>
      <c r="C245" s="3" t="s">
        <v>27</v>
      </c>
      <c r="D245" s="3" t="s">
        <v>39</v>
      </c>
      <c r="E245" s="3" t="s">
        <v>45</v>
      </c>
      <c r="F245" s="3" t="s">
        <v>30</v>
      </c>
      <c r="G245" s="3" t="s">
        <v>52</v>
      </c>
      <c r="H245" s="3" t="s">
        <v>30</v>
      </c>
      <c r="I245" s="3" t="s">
        <v>41</v>
      </c>
      <c r="J245" s="0" t="n">
        <v>1</v>
      </c>
      <c r="K245" s="0" t="n">
        <v>1</v>
      </c>
      <c r="L245" s="0" t="n">
        <v>0</v>
      </c>
      <c r="M245" s="0" t="n">
        <v>0</v>
      </c>
      <c r="N245" s="0" t="str">
        <f aca="false">IF(OR(NOT(OR(J245=0,J245=1)),NOT(OR(K245=0,K245=1)),NOT(OR(L245=0,L245=1)),NOT(OR(M245=0,M245=1)),NOT(OR(U245=0,U245=1))),"Yes","No")</f>
        <v>No</v>
      </c>
      <c r="O245" s="0" t="str">
        <f aca="false">IF(OR(AND(M245=1,L245=0),AND(L245=1,K245=0),AND(K245=1,J245=0)),"Yes","No")</f>
        <v>No</v>
      </c>
      <c r="P245" s="0" t="n">
        <v>0</v>
      </c>
      <c r="Q245" s="0" t="str">
        <f aca="false">IF(OR(AND(M245=0,P245&gt;0),AND(M245=1,P245&lt;=0)),"Yes","No")</f>
        <v>No</v>
      </c>
      <c r="R245" s="0" t="str">
        <f aca="false">IF(AND(M245=1,P245&gt;calc_helpers!$B$5),"Yes","No")</f>
        <v>No</v>
      </c>
      <c r="S245" s="0" t="n">
        <v>0</v>
      </c>
      <c r="T245" s="0" t="str">
        <f aca="false">IF(S245&gt;0,"Yes","No")</f>
        <v>No</v>
      </c>
      <c r="U245" s="0" t="n">
        <v>0</v>
      </c>
      <c r="W245" s="0" t="str">
        <f aca="false">IF(OR(AND(M245=1,ISBLANK(V245)),AND(M245=0,NOT(ISBLANK(V245)))),"Yes","No")</f>
        <v>No</v>
      </c>
      <c r="X245" s="0" t="n">
        <v>53.2</v>
      </c>
      <c r="Y245" s="3" t="s">
        <v>30</v>
      </c>
      <c r="Z245" s="0" t="str">
        <f aca="false">IF(M245=1,P245,"")</f>
        <v/>
      </c>
    </row>
    <row r="246" customFormat="false" ht="15" hidden="false" customHeight="false" outlineLevel="0" collapsed="false">
      <c r="A246" s="0" t="s">
        <v>289</v>
      </c>
      <c r="B246" s="2" t="n">
        <v>45685</v>
      </c>
      <c r="C246" s="3" t="s">
        <v>27</v>
      </c>
      <c r="D246" s="3" t="s">
        <v>28</v>
      </c>
      <c r="E246" s="3" t="s">
        <v>35</v>
      </c>
      <c r="F246" s="3" t="s">
        <v>30</v>
      </c>
      <c r="G246" s="3" t="s">
        <v>52</v>
      </c>
      <c r="H246" s="3" t="s">
        <v>30</v>
      </c>
      <c r="I246" s="3" t="s">
        <v>37</v>
      </c>
      <c r="J246" s="0" t="n">
        <v>1</v>
      </c>
      <c r="K246" s="0" t="n">
        <v>1</v>
      </c>
      <c r="L246" s="0" t="n">
        <v>1</v>
      </c>
      <c r="M246" s="0" t="n">
        <v>0</v>
      </c>
      <c r="N246" s="0" t="str">
        <f aca="false">IF(OR(NOT(OR(J246=0,J246=1)),NOT(OR(K246=0,K246=1)),NOT(OR(L246=0,L246=1)),NOT(OR(M246=0,M246=1)),NOT(OR(U246=0,U246=1))),"Yes","No")</f>
        <v>No</v>
      </c>
      <c r="O246" s="0" t="str">
        <f aca="false">IF(OR(AND(M246=1,L246=0),AND(L246=1,K246=0),AND(K246=1,J246=0)),"Yes","No")</f>
        <v>No</v>
      </c>
      <c r="P246" s="0" t="n">
        <v>0</v>
      </c>
      <c r="Q246" s="0" t="str">
        <f aca="false">IF(OR(AND(M246=0,P246&gt;0),AND(M246=1,P246&lt;=0)),"Yes","No")</f>
        <v>No</v>
      </c>
      <c r="R246" s="0" t="str">
        <f aca="false">IF(AND(M246=1,P246&gt;calc_helpers!$B$5),"Yes","No")</f>
        <v>No</v>
      </c>
      <c r="S246" s="0" t="n">
        <v>0</v>
      </c>
      <c r="T246" s="0" t="str">
        <f aca="false">IF(S246&gt;0,"Yes","No")</f>
        <v>No</v>
      </c>
      <c r="U246" s="0" t="n">
        <v>0</v>
      </c>
      <c r="W246" s="0" t="str">
        <f aca="false">IF(OR(AND(M246=1,ISBLANK(V246)),AND(M246=0,NOT(ISBLANK(V246)))),"Yes","No")</f>
        <v>No</v>
      </c>
      <c r="X246" s="0" t="n">
        <v>57.7</v>
      </c>
      <c r="Y246" s="3" t="s">
        <v>30</v>
      </c>
      <c r="Z246" s="0" t="str">
        <f aca="false">IF(M246=1,P246,"")</f>
        <v/>
      </c>
    </row>
    <row r="247" customFormat="false" ht="15" hidden="false" customHeight="false" outlineLevel="0" collapsed="false">
      <c r="A247" s="0" t="s">
        <v>290</v>
      </c>
      <c r="B247" s="2" t="n">
        <v>45678</v>
      </c>
      <c r="C247" s="3" t="s">
        <v>27</v>
      </c>
      <c r="D247" s="3" t="s">
        <v>34</v>
      </c>
      <c r="E247" s="3" t="s">
        <v>35</v>
      </c>
      <c r="F247" s="3" t="s">
        <v>30</v>
      </c>
      <c r="G247" s="3" t="s">
        <v>40</v>
      </c>
      <c r="H247" s="3" t="s">
        <v>30</v>
      </c>
      <c r="I247" s="3" t="s">
        <v>41</v>
      </c>
      <c r="J247" s="0" t="n">
        <v>1</v>
      </c>
      <c r="K247" s="0" t="n">
        <v>1</v>
      </c>
      <c r="L247" s="0" t="n">
        <v>0</v>
      </c>
      <c r="M247" s="0" t="n">
        <v>0</v>
      </c>
      <c r="N247" s="0" t="str">
        <f aca="false">IF(OR(NOT(OR(J247=0,J247=1)),NOT(OR(K247=0,K247=1)),NOT(OR(L247=0,L247=1)),NOT(OR(M247=0,M247=1)),NOT(OR(U247=0,U247=1))),"Yes","No")</f>
        <v>No</v>
      </c>
      <c r="O247" s="0" t="str">
        <f aca="false">IF(OR(AND(M247=1,L247=0),AND(L247=1,K247=0),AND(K247=1,J247=0)),"Yes","No")</f>
        <v>No</v>
      </c>
      <c r="P247" s="0" t="n">
        <v>0</v>
      </c>
      <c r="Q247" s="0" t="str">
        <f aca="false">IF(OR(AND(M247=0,P247&gt;0),AND(M247=1,P247&lt;=0)),"Yes","No")</f>
        <v>No</v>
      </c>
      <c r="R247" s="0" t="str">
        <f aca="false">IF(AND(M247=1,P247&gt;calc_helpers!$B$5),"Yes","No")</f>
        <v>No</v>
      </c>
      <c r="S247" s="0" t="n">
        <v>0</v>
      </c>
      <c r="T247" s="0" t="str">
        <f aca="false">IF(S247&gt;0,"Yes","No")</f>
        <v>No</v>
      </c>
      <c r="U247" s="0" t="n">
        <v>0</v>
      </c>
      <c r="W247" s="0" t="str">
        <f aca="false">IF(OR(AND(M247=1,ISBLANK(V247)),AND(M247=0,NOT(ISBLANK(V247)))),"Yes","No")</f>
        <v>No</v>
      </c>
      <c r="X247" s="0" t="n">
        <v>78.9</v>
      </c>
      <c r="Y247" s="3" t="s">
        <v>30</v>
      </c>
      <c r="Z247" s="0" t="str">
        <f aca="false">IF(M247=1,P247,"")</f>
        <v/>
      </c>
    </row>
    <row r="248" customFormat="false" ht="15" hidden="false" customHeight="false" outlineLevel="0" collapsed="false">
      <c r="A248" s="0" t="s">
        <v>291</v>
      </c>
      <c r="B248" s="2" t="n">
        <v>45730</v>
      </c>
      <c r="C248" s="3" t="s">
        <v>27</v>
      </c>
      <c r="D248" s="3" t="s">
        <v>43</v>
      </c>
      <c r="E248" s="3" t="s">
        <v>35</v>
      </c>
      <c r="F248" s="3" t="s">
        <v>30</v>
      </c>
      <c r="G248" s="3" t="s">
        <v>50</v>
      </c>
      <c r="H248" s="3" t="s">
        <v>30</v>
      </c>
      <c r="I248" s="3" t="s">
        <v>32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str">
        <f aca="false">IF(OR(NOT(OR(J248=0,J248=1)),NOT(OR(K248=0,K248=1)),NOT(OR(L248=0,L248=1)),NOT(OR(M248=0,M248=1)),NOT(OR(U248=0,U248=1))),"Yes","No")</f>
        <v>No</v>
      </c>
      <c r="O248" s="0" t="str">
        <f aca="false">IF(OR(AND(M248=1,L248=0),AND(L248=1,K248=0),AND(K248=1,J248=0)),"Yes","No")</f>
        <v>No</v>
      </c>
      <c r="P248" s="0" t="n">
        <v>0</v>
      </c>
      <c r="Q248" s="0" t="str">
        <f aca="false">IF(OR(AND(M248=0,P248&gt;0),AND(M248=1,P248&lt;=0)),"Yes","No")</f>
        <v>No</v>
      </c>
      <c r="R248" s="0" t="str">
        <f aca="false">IF(AND(M248=1,P248&gt;calc_helpers!$B$5),"Yes","No")</f>
        <v>No</v>
      </c>
      <c r="S248" s="0" t="n">
        <v>0</v>
      </c>
      <c r="T248" s="0" t="str">
        <f aca="false">IF(S248&gt;0,"Yes","No")</f>
        <v>No</v>
      </c>
      <c r="U248" s="0" t="n">
        <v>0</v>
      </c>
      <c r="W248" s="0" t="str">
        <f aca="false">IF(OR(AND(M248=1,ISBLANK(V248)),AND(M248=0,NOT(ISBLANK(V248)))),"Yes","No")</f>
        <v>No</v>
      </c>
      <c r="X248" s="0" t="n">
        <v>55.7</v>
      </c>
      <c r="Y248" s="3" t="s">
        <v>30</v>
      </c>
      <c r="Z248" s="0" t="str">
        <f aca="false">IF(M248=1,P248,"")</f>
        <v/>
      </c>
    </row>
    <row r="249" customFormat="false" ht="15" hidden="false" customHeight="false" outlineLevel="0" collapsed="false">
      <c r="A249" s="0" t="s">
        <v>292</v>
      </c>
      <c r="B249" s="2" t="n">
        <v>45691</v>
      </c>
      <c r="C249" s="3" t="s">
        <v>27</v>
      </c>
      <c r="D249" s="3" t="s">
        <v>34</v>
      </c>
      <c r="E249" s="3" t="s">
        <v>35</v>
      </c>
      <c r="F249" s="3" t="s">
        <v>30</v>
      </c>
      <c r="G249" s="3" t="s">
        <v>40</v>
      </c>
      <c r="H249" s="3" t="s">
        <v>30</v>
      </c>
      <c r="I249" s="3" t="s">
        <v>37</v>
      </c>
      <c r="J249" s="0" t="n">
        <v>0</v>
      </c>
      <c r="K249" s="0" t="n">
        <v>0</v>
      </c>
      <c r="L249" s="0" t="n">
        <v>0</v>
      </c>
      <c r="M249" s="0" t="n">
        <v>0</v>
      </c>
      <c r="N249" s="0" t="str">
        <f aca="false">IF(OR(NOT(OR(J249=0,J249=1)),NOT(OR(K249=0,K249=1)),NOT(OR(L249=0,L249=1)),NOT(OR(M249=0,M249=1)),NOT(OR(U249=0,U249=1))),"Yes","No")</f>
        <v>No</v>
      </c>
      <c r="O249" s="0" t="str">
        <f aca="false">IF(OR(AND(M249=1,L249=0),AND(L249=1,K249=0),AND(K249=1,J249=0)),"Yes","No")</f>
        <v>No</v>
      </c>
      <c r="P249" s="0" t="n">
        <v>0</v>
      </c>
      <c r="Q249" s="0" t="str">
        <f aca="false">IF(OR(AND(M249=0,P249&gt;0),AND(M249=1,P249&lt;=0)),"Yes","No")</f>
        <v>No</v>
      </c>
      <c r="R249" s="0" t="str">
        <f aca="false">IF(AND(M249=1,P249&gt;calc_helpers!$B$5),"Yes","No")</f>
        <v>No</v>
      </c>
      <c r="S249" s="0" t="n">
        <v>0</v>
      </c>
      <c r="T249" s="0" t="str">
        <f aca="false">IF(S249&gt;0,"Yes","No")</f>
        <v>No</v>
      </c>
      <c r="U249" s="0" t="n">
        <v>0</v>
      </c>
      <c r="W249" s="0" t="str">
        <f aca="false">IF(OR(AND(M249=1,ISBLANK(V249)),AND(M249=0,NOT(ISBLANK(V249)))),"Yes","No")</f>
        <v>No</v>
      </c>
      <c r="X249" s="0" t="n">
        <v>52.3</v>
      </c>
      <c r="Y249" s="3" t="s">
        <v>30</v>
      </c>
      <c r="Z249" s="0" t="str">
        <f aca="false">IF(M249=1,P249,"")</f>
        <v/>
      </c>
    </row>
    <row r="250" customFormat="false" ht="15" hidden="false" customHeight="false" outlineLevel="0" collapsed="false">
      <c r="A250" s="0" t="s">
        <v>293</v>
      </c>
      <c r="B250" s="2" t="n">
        <v>45799</v>
      </c>
      <c r="C250" s="3" t="s">
        <v>27</v>
      </c>
      <c r="D250" s="3" t="s">
        <v>28</v>
      </c>
      <c r="E250" s="3" t="s">
        <v>35</v>
      </c>
      <c r="F250" s="3" t="s">
        <v>30</v>
      </c>
      <c r="G250" s="3" t="s">
        <v>52</v>
      </c>
      <c r="H250" s="3" t="s">
        <v>30</v>
      </c>
      <c r="I250" s="3" t="s">
        <v>37</v>
      </c>
      <c r="J250" s="0" t="n">
        <v>1</v>
      </c>
      <c r="K250" s="0" t="n">
        <v>0</v>
      </c>
      <c r="L250" s="0" t="n">
        <v>0</v>
      </c>
      <c r="M250" s="0" t="n">
        <v>0</v>
      </c>
      <c r="N250" s="0" t="str">
        <f aca="false">IF(OR(NOT(OR(J250=0,J250=1)),NOT(OR(K250=0,K250=1)),NOT(OR(L250=0,L250=1)),NOT(OR(M250=0,M250=1)),NOT(OR(U250=0,U250=1))),"Yes","No")</f>
        <v>No</v>
      </c>
      <c r="O250" s="0" t="str">
        <f aca="false">IF(OR(AND(M250=1,L250=0),AND(L250=1,K250=0),AND(K250=1,J250=0)),"Yes","No")</f>
        <v>No</v>
      </c>
      <c r="P250" s="0" t="n">
        <v>0</v>
      </c>
      <c r="Q250" s="0" t="str">
        <f aca="false">IF(OR(AND(M250=0,P250&gt;0),AND(M250=1,P250&lt;=0)),"Yes","No")</f>
        <v>No</v>
      </c>
      <c r="R250" s="0" t="str">
        <f aca="false">IF(AND(M250=1,P250&gt;calc_helpers!$B$5),"Yes","No")</f>
        <v>No</v>
      </c>
      <c r="S250" s="0" t="n">
        <v>0</v>
      </c>
      <c r="T250" s="0" t="str">
        <f aca="false">IF(S250&gt;0,"Yes","No")</f>
        <v>No</v>
      </c>
      <c r="U250" s="0" t="n">
        <v>0</v>
      </c>
      <c r="W250" s="0" t="str">
        <f aca="false">IF(OR(AND(M250=1,ISBLANK(V250)),AND(M250=0,NOT(ISBLANK(V250)))),"Yes","No")</f>
        <v>No</v>
      </c>
      <c r="X250" s="0" t="n">
        <v>51.5</v>
      </c>
      <c r="Y250" s="3" t="s">
        <v>30</v>
      </c>
      <c r="Z250" s="0" t="str">
        <f aca="false">IF(M250=1,P250,"")</f>
        <v/>
      </c>
    </row>
    <row r="251" customFormat="false" ht="15" hidden="false" customHeight="false" outlineLevel="0" collapsed="false">
      <c r="A251" s="0" t="s">
        <v>294</v>
      </c>
      <c r="B251" s="2" t="n">
        <v>45772</v>
      </c>
      <c r="C251" s="3" t="s">
        <v>27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30</v>
      </c>
      <c r="I251" s="3" t="s">
        <v>37</v>
      </c>
      <c r="J251" s="0" t="n">
        <v>1</v>
      </c>
      <c r="K251" s="0" t="n">
        <v>0</v>
      </c>
      <c r="L251" s="0" t="n">
        <v>0</v>
      </c>
      <c r="M251" s="0" t="n">
        <v>0</v>
      </c>
      <c r="N251" s="0" t="str">
        <f aca="false">IF(OR(NOT(OR(J251=0,J251=1)),NOT(OR(K251=0,K251=1)),NOT(OR(L251=0,L251=1)),NOT(OR(M251=0,M251=1)),NOT(OR(U251=0,U251=1))),"Yes","No")</f>
        <v>No</v>
      </c>
      <c r="O251" s="0" t="str">
        <f aca="false">IF(OR(AND(M251=1,L251=0),AND(L251=1,K251=0),AND(K251=1,J251=0)),"Yes","No")</f>
        <v>No</v>
      </c>
      <c r="P251" s="0" t="n">
        <v>0</v>
      </c>
      <c r="Q251" s="0" t="str">
        <f aca="false">IF(OR(AND(M251=0,P251&gt;0),AND(M251=1,P251&lt;=0)),"Yes","No")</f>
        <v>No</v>
      </c>
      <c r="R251" s="0" t="str">
        <f aca="false">IF(AND(M251=1,P251&gt;calc_helpers!$B$5),"Yes","No")</f>
        <v>No</v>
      </c>
      <c r="S251" s="0" t="n">
        <v>0</v>
      </c>
      <c r="T251" s="0" t="str">
        <f aca="false">IF(S251&gt;0,"Yes","No")</f>
        <v>No</v>
      </c>
      <c r="U251" s="0" t="n">
        <v>0</v>
      </c>
      <c r="W251" s="0" t="str">
        <f aca="false">IF(OR(AND(M251=1,ISBLANK(V251)),AND(M251=0,NOT(ISBLANK(V251)))),"Yes","No")</f>
        <v>No</v>
      </c>
      <c r="X251" s="0" t="n">
        <v>70.8</v>
      </c>
      <c r="Y251" s="3" t="s">
        <v>30</v>
      </c>
      <c r="Z251" s="0" t="str">
        <f aca="false">IF(M251=1,P251,"")</f>
        <v/>
      </c>
    </row>
    <row r="252" customFormat="false" ht="15" hidden="false" customHeight="false" outlineLevel="0" collapsed="false">
      <c r="A252" s="0" t="s">
        <v>295</v>
      </c>
      <c r="B252" s="2" t="n">
        <v>45687</v>
      </c>
      <c r="C252" s="3" t="s">
        <v>27</v>
      </c>
      <c r="D252" s="3" t="s">
        <v>28</v>
      </c>
      <c r="E252" s="3" t="s">
        <v>29</v>
      </c>
      <c r="F252" s="3" t="s">
        <v>30</v>
      </c>
      <c r="G252" s="3" t="s">
        <v>31</v>
      </c>
      <c r="H252" s="3" t="s">
        <v>30</v>
      </c>
      <c r="I252" s="3" t="s">
        <v>32</v>
      </c>
      <c r="J252" s="0" t="n">
        <v>1</v>
      </c>
      <c r="K252" s="0" t="n">
        <v>1</v>
      </c>
      <c r="L252" s="0" t="n">
        <v>1</v>
      </c>
      <c r="M252" s="0" t="n">
        <v>1</v>
      </c>
      <c r="N252" s="0" t="str">
        <f aca="false">IF(OR(NOT(OR(J252=0,J252=1)),NOT(OR(K252=0,K252=1)),NOT(OR(L252=0,L252=1)),NOT(OR(M252=0,M252=1)),NOT(OR(U252=0,U252=1))),"Yes","No")</f>
        <v>No</v>
      </c>
      <c r="O252" s="0" t="str">
        <f aca="false">IF(OR(AND(M252=1,L252=0),AND(L252=1,K252=0),AND(K252=1,J252=0)),"Yes","No")</f>
        <v>No</v>
      </c>
      <c r="P252" s="0" t="n">
        <v>1250.78</v>
      </c>
      <c r="Q252" s="0" t="str">
        <f aca="false">IF(OR(AND(M252=0,P252&gt;0),AND(M252=1,P252&lt;=0)),"Yes","No")</f>
        <v>No</v>
      </c>
      <c r="R252" s="0" t="str">
        <f aca="false">IF(AND(M252=1,P252&gt;calc_helpers!$B$5),"Yes","No")</f>
        <v>No</v>
      </c>
      <c r="S252" s="0" t="n">
        <v>0</v>
      </c>
      <c r="T252" s="0" t="str">
        <f aca="false">IF(S252&gt;0,"Yes","No")</f>
        <v>No</v>
      </c>
      <c r="U252" s="0" t="n">
        <v>0</v>
      </c>
      <c r="V252" s="0" t="n">
        <v>10</v>
      </c>
      <c r="W252" s="0" t="str">
        <f aca="false">IF(OR(AND(M252=1,ISBLANK(V252)),AND(M252=0,NOT(ISBLANK(V252)))),"Yes","No")</f>
        <v>No</v>
      </c>
      <c r="X252" s="0" t="n">
        <v>39</v>
      </c>
      <c r="Y252" s="3" t="s">
        <v>30</v>
      </c>
      <c r="Z252" s="3" t="n">
        <f aca="false">IF(M252=1,P252,"")</f>
        <v>1250.78</v>
      </c>
    </row>
    <row r="253" customFormat="false" ht="15" hidden="false" customHeight="false" outlineLevel="0" collapsed="false">
      <c r="A253" s="0" t="s">
        <v>296</v>
      </c>
      <c r="B253" s="2" t="n">
        <v>45800</v>
      </c>
      <c r="C253" s="3" t="s">
        <v>27</v>
      </c>
      <c r="D253" s="3" t="s">
        <v>34</v>
      </c>
      <c r="E253" s="3" t="s">
        <v>35</v>
      </c>
      <c r="F253" s="3" t="s">
        <v>30</v>
      </c>
      <c r="G253" s="3" t="s">
        <v>36</v>
      </c>
      <c r="H253" s="3" t="s">
        <v>30</v>
      </c>
      <c r="I253" s="3" t="s">
        <v>37</v>
      </c>
      <c r="J253" s="0" t="n">
        <v>1</v>
      </c>
      <c r="K253" s="0" t="n">
        <v>0</v>
      </c>
      <c r="L253" s="0" t="n">
        <v>0</v>
      </c>
      <c r="M253" s="0" t="n">
        <v>0</v>
      </c>
      <c r="N253" s="0" t="str">
        <f aca="false">IF(OR(NOT(OR(J253=0,J253=1)),NOT(OR(K253=0,K253=1)),NOT(OR(L253=0,L253=1)),NOT(OR(M253=0,M253=1)),NOT(OR(U253=0,U253=1))),"Yes","No")</f>
        <v>No</v>
      </c>
      <c r="O253" s="0" t="str">
        <f aca="false">IF(OR(AND(M253=1,L253=0),AND(L253=1,K253=0),AND(K253=1,J253=0)),"Yes","No")</f>
        <v>No</v>
      </c>
      <c r="P253" s="0" t="n">
        <v>0</v>
      </c>
      <c r="Q253" s="0" t="str">
        <f aca="false">IF(OR(AND(M253=0,P253&gt;0),AND(M253=1,P253&lt;=0)),"Yes","No")</f>
        <v>No</v>
      </c>
      <c r="R253" s="0" t="str">
        <f aca="false">IF(AND(M253=1,P253&gt;calc_helpers!$B$5),"Yes","No")</f>
        <v>No</v>
      </c>
      <c r="S253" s="0" t="n">
        <v>0</v>
      </c>
      <c r="T253" s="0" t="str">
        <f aca="false">IF(S253&gt;0,"Yes","No")</f>
        <v>No</v>
      </c>
      <c r="U253" s="0" t="n">
        <v>0</v>
      </c>
      <c r="W253" s="0" t="str">
        <f aca="false">IF(OR(AND(M253=1,ISBLANK(V253)),AND(M253=0,NOT(ISBLANK(V253)))),"Yes","No")</f>
        <v>No</v>
      </c>
      <c r="X253" s="0" t="n">
        <v>61.6</v>
      </c>
      <c r="Y253" s="3" t="s">
        <v>30</v>
      </c>
      <c r="Z253" s="0" t="str">
        <f aca="false">IF(M253=1,P253,"")</f>
        <v/>
      </c>
    </row>
    <row r="254" customFormat="false" ht="15" hidden="false" customHeight="false" outlineLevel="0" collapsed="false">
      <c r="A254" s="0" t="s">
        <v>297</v>
      </c>
      <c r="B254" s="2" t="n">
        <v>45702</v>
      </c>
      <c r="C254" s="3" t="s">
        <v>27</v>
      </c>
      <c r="D254" s="3" t="s">
        <v>39</v>
      </c>
      <c r="E254" s="3" t="s">
        <v>29</v>
      </c>
      <c r="F254" s="3" t="s">
        <v>30</v>
      </c>
      <c r="G254" s="3" t="s">
        <v>36</v>
      </c>
      <c r="H254" s="3" t="s">
        <v>30</v>
      </c>
      <c r="I254" s="3" t="s">
        <v>37</v>
      </c>
      <c r="J254" s="0" t="n">
        <v>1</v>
      </c>
      <c r="K254" s="0" t="n">
        <v>1</v>
      </c>
      <c r="L254" s="0" t="n">
        <v>1</v>
      </c>
      <c r="M254" s="0" t="n">
        <v>0</v>
      </c>
      <c r="N254" s="0" t="str">
        <f aca="false">IF(OR(NOT(OR(J254=0,J254=1)),NOT(OR(K254=0,K254=1)),NOT(OR(L254=0,L254=1)),NOT(OR(M254=0,M254=1)),NOT(OR(U254=0,U254=1))),"Yes","No")</f>
        <v>No</v>
      </c>
      <c r="O254" s="0" t="str">
        <f aca="false">IF(OR(AND(M254=1,L254=0),AND(L254=1,K254=0),AND(K254=1,J254=0)),"Yes","No")</f>
        <v>No</v>
      </c>
      <c r="P254" s="0" t="n">
        <v>0</v>
      </c>
      <c r="Q254" s="0" t="str">
        <f aca="false">IF(OR(AND(M254=0,P254&gt;0),AND(M254=1,P254&lt;=0)),"Yes","No")</f>
        <v>No</v>
      </c>
      <c r="R254" s="0" t="str">
        <f aca="false">IF(AND(M254=1,P254&gt;calc_helpers!$B$5),"Yes","No")</f>
        <v>No</v>
      </c>
      <c r="S254" s="0" t="n">
        <v>0</v>
      </c>
      <c r="T254" s="0" t="str">
        <f aca="false">IF(S254&gt;0,"Yes","No")</f>
        <v>No</v>
      </c>
      <c r="U254" s="0" t="n">
        <v>0</v>
      </c>
      <c r="W254" s="0" t="str">
        <f aca="false">IF(OR(AND(M254=1,ISBLANK(V254)),AND(M254=0,NOT(ISBLANK(V254)))),"Yes","No")</f>
        <v>No</v>
      </c>
      <c r="X254" s="0" t="n">
        <v>46.8</v>
      </c>
      <c r="Y254" s="3" t="s">
        <v>30</v>
      </c>
      <c r="Z254" s="0" t="str">
        <f aca="false">IF(M254=1,P254,"")</f>
        <v/>
      </c>
    </row>
    <row r="255" customFormat="false" ht="15" hidden="false" customHeight="false" outlineLevel="0" collapsed="false">
      <c r="A255" s="0" t="s">
        <v>298</v>
      </c>
      <c r="B255" s="2" t="n">
        <v>45721</v>
      </c>
      <c r="C255" s="3" t="s">
        <v>27</v>
      </c>
      <c r="D255" s="3" t="s">
        <v>28</v>
      </c>
      <c r="E255" s="3" t="s">
        <v>35</v>
      </c>
      <c r="F255" s="3" t="s">
        <v>30</v>
      </c>
      <c r="G255" s="3" t="s">
        <v>40</v>
      </c>
      <c r="H255" s="3" t="s">
        <v>30</v>
      </c>
      <c r="I255" s="3" t="s">
        <v>41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str">
        <f aca="false">IF(OR(NOT(OR(J255=0,J255=1)),NOT(OR(K255=0,K255=1)),NOT(OR(L255=0,L255=1)),NOT(OR(M255=0,M255=1)),NOT(OR(U255=0,U255=1))),"Yes","No")</f>
        <v>No</v>
      </c>
      <c r="O255" s="0" t="str">
        <f aca="false">IF(OR(AND(M255=1,L255=0),AND(L255=1,K255=0),AND(K255=1,J255=0)),"Yes","No")</f>
        <v>No</v>
      </c>
      <c r="P255" s="0" t="n">
        <v>0</v>
      </c>
      <c r="Q255" s="0" t="str">
        <f aca="false">IF(OR(AND(M255=0,P255&gt;0),AND(M255=1,P255&lt;=0)),"Yes","No")</f>
        <v>No</v>
      </c>
      <c r="R255" s="0" t="str">
        <f aca="false">IF(AND(M255=1,P255&gt;calc_helpers!$B$5),"Yes","No")</f>
        <v>No</v>
      </c>
      <c r="S255" s="0" t="n">
        <v>1</v>
      </c>
      <c r="T255" s="0" t="str">
        <f aca="false">IF(S255&gt;0,"Yes","No")</f>
        <v>Yes</v>
      </c>
      <c r="U255" s="0" t="n">
        <v>0</v>
      </c>
      <c r="W255" s="0" t="str">
        <f aca="false">IF(OR(AND(M255=1,ISBLANK(V255)),AND(M255=0,NOT(ISBLANK(V255)))),"Yes","No")</f>
        <v>No</v>
      </c>
      <c r="X255" s="0" t="n">
        <v>58.5</v>
      </c>
      <c r="Y255" s="3" t="s">
        <v>30</v>
      </c>
      <c r="Z255" s="0" t="str">
        <f aca="false">IF(M255=1,P255,"")</f>
        <v/>
      </c>
    </row>
    <row r="256" customFormat="false" ht="15" hidden="false" customHeight="false" outlineLevel="0" collapsed="false">
      <c r="A256" s="0" t="s">
        <v>299</v>
      </c>
      <c r="B256" s="2" t="n">
        <v>45804</v>
      </c>
      <c r="C256" s="3" t="s">
        <v>27</v>
      </c>
      <c r="D256" s="3" t="s">
        <v>28</v>
      </c>
      <c r="E256" s="3" t="s">
        <v>35</v>
      </c>
      <c r="F256" s="3" t="s">
        <v>30</v>
      </c>
      <c r="G256" s="3" t="s">
        <v>40</v>
      </c>
      <c r="H256" s="3" t="s">
        <v>30</v>
      </c>
      <c r="I256" s="3" t="s">
        <v>32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str">
        <f aca="false">IF(OR(NOT(OR(J256=0,J256=1)),NOT(OR(K256=0,K256=1)),NOT(OR(L256=0,L256=1)),NOT(OR(M256=0,M256=1)),NOT(OR(U256=0,U256=1))),"Yes","No")</f>
        <v>No</v>
      </c>
      <c r="O256" s="0" t="str">
        <f aca="false">IF(OR(AND(M256=1,L256=0),AND(L256=1,K256=0),AND(K256=1,J256=0)),"Yes","No")</f>
        <v>No</v>
      </c>
      <c r="P256" s="0" t="n">
        <v>0</v>
      </c>
      <c r="Q256" s="0" t="str">
        <f aca="false">IF(OR(AND(M256=0,P256&gt;0),AND(M256=1,P256&lt;=0)),"Yes","No")</f>
        <v>No</v>
      </c>
      <c r="R256" s="0" t="str">
        <f aca="false">IF(AND(M256=1,P256&gt;calc_helpers!$B$5),"Yes","No")</f>
        <v>No</v>
      </c>
      <c r="S256" s="0" t="n">
        <v>0</v>
      </c>
      <c r="T256" s="0" t="str">
        <f aca="false">IF(S256&gt;0,"Yes","No")</f>
        <v>No</v>
      </c>
      <c r="U256" s="0" t="n">
        <v>0</v>
      </c>
      <c r="W256" s="0" t="str">
        <f aca="false">IF(OR(AND(M256=1,ISBLANK(V256)),AND(M256=0,NOT(ISBLANK(V256)))),"Yes","No")</f>
        <v>No</v>
      </c>
      <c r="X256" s="0" t="n">
        <v>70.9</v>
      </c>
      <c r="Y256" s="3" t="s">
        <v>30</v>
      </c>
      <c r="Z256" s="0" t="str">
        <f aca="false">IF(M256=1,P256,"")</f>
        <v/>
      </c>
    </row>
    <row r="257" customFormat="false" ht="15" hidden="false" customHeight="false" outlineLevel="0" collapsed="false">
      <c r="A257" s="0" t="s">
        <v>300</v>
      </c>
      <c r="B257" s="2" t="n">
        <v>45664</v>
      </c>
      <c r="C257" s="3" t="s">
        <v>27</v>
      </c>
      <c r="D257" s="3" t="s">
        <v>43</v>
      </c>
      <c r="E257" s="3" t="s">
        <v>35</v>
      </c>
      <c r="F257" s="3" t="s">
        <v>30</v>
      </c>
      <c r="G257" s="3" t="s">
        <v>40</v>
      </c>
      <c r="H257" s="3" t="s">
        <v>30</v>
      </c>
      <c r="I257" s="3" t="s">
        <v>37</v>
      </c>
      <c r="J257" s="0" t="n">
        <v>1</v>
      </c>
      <c r="K257" s="0" t="n">
        <v>0</v>
      </c>
      <c r="L257" s="0" t="n">
        <v>0</v>
      </c>
      <c r="M257" s="0" t="n">
        <v>0</v>
      </c>
      <c r="N257" s="0" t="str">
        <f aca="false">IF(OR(NOT(OR(J257=0,J257=1)),NOT(OR(K257=0,K257=1)),NOT(OR(L257=0,L257=1)),NOT(OR(M257=0,M257=1)),NOT(OR(U257=0,U257=1))),"Yes","No")</f>
        <v>No</v>
      </c>
      <c r="O257" s="0" t="str">
        <f aca="false">IF(OR(AND(M257=1,L257=0),AND(L257=1,K257=0),AND(K257=1,J257=0)),"Yes","No")</f>
        <v>No</v>
      </c>
      <c r="P257" s="0" t="n">
        <v>0</v>
      </c>
      <c r="Q257" s="0" t="str">
        <f aca="false">IF(OR(AND(M257=0,P257&gt;0),AND(M257=1,P257&lt;=0)),"Yes","No")</f>
        <v>No</v>
      </c>
      <c r="R257" s="0" t="str">
        <f aca="false">IF(AND(M257=1,P257&gt;calc_helpers!$B$5),"Yes","No")</f>
        <v>No</v>
      </c>
      <c r="S257" s="0" t="n">
        <v>0</v>
      </c>
      <c r="T257" s="0" t="str">
        <f aca="false">IF(S257&gt;0,"Yes","No")</f>
        <v>No</v>
      </c>
      <c r="U257" s="0" t="n">
        <v>0</v>
      </c>
      <c r="W257" s="0" t="str">
        <f aca="false">IF(OR(AND(M257=1,ISBLANK(V257)),AND(M257=0,NOT(ISBLANK(V257)))),"Yes","No")</f>
        <v>No</v>
      </c>
      <c r="X257" s="0" t="n">
        <v>48.4</v>
      </c>
      <c r="Y257" s="3" t="s">
        <v>30</v>
      </c>
      <c r="Z257" s="0" t="str">
        <f aca="false">IF(M257=1,P257,"")</f>
        <v/>
      </c>
    </row>
    <row r="258" customFormat="false" ht="15" hidden="false" customHeight="false" outlineLevel="0" collapsed="false">
      <c r="A258" s="0" t="s">
        <v>301</v>
      </c>
      <c r="B258" s="2" t="n">
        <v>45768</v>
      </c>
      <c r="C258" s="3" t="s">
        <v>27</v>
      </c>
      <c r="D258" s="3" t="s">
        <v>28</v>
      </c>
      <c r="E258" s="3" t="s">
        <v>35</v>
      </c>
      <c r="F258" s="3" t="s">
        <v>30</v>
      </c>
      <c r="G258" s="3" t="s">
        <v>31</v>
      </c>
      <c r="H258" s="3" t="s">
        <v>30</v>
      </c>
      <c r="I258" s="3" t="s">
        <v>37</v>
      </c>
      <c r="J258" s="0" t="n">
        <v>1</v>
      </c>
      <c r="K258" s="0" t="n">
        <v>0</v>
      </c>
      <c r="L258" s="0" t="n">
        <v>0</v>
      </c>
      <c r="M258" s="0" t="n">
        <v>0</v>
      </c>
      <c r="N258" s="0" t="str">
        <f aca="false">IF(OR(NOT(OR(J258=0,J258=1)),NOT(OR(K258=0,K258=1)),NOT(OR(L258=0,L258=1)),NOT(OR(M258=0,M258=1)),NOT(OR(U258=0,U258=1))),"Yes","No")</f>
        <v>No</v>
      </c>
      <c r="O258" s="0" t="str">
        <f aca="false">IF(OR(AND(M258=1,L258=0),AND(L258=1,K258=0),AND(K258=1,J258=0)),"Yes","No")</f>
        <v>No</v>
      </c>
      <c r="P258" s="0" t="n">
        <v>0</v>
      </c>
      <c r="Q258" s="0" t="str">
        <f aca="false">IF(OR(AND(M258=0,P258&gt;0),AND(M258=1,P258&lt;=0)),"Yes","No")</f>
        <v>No</v>
      </c>
      <c r="R258" s="0" t="str">
        <f aca="false">IF(AND(M258=1,P258&gt;calc_helpers!$B$5),"Yes","No")</f>
        <v>No</v>
      </c>
      <c r="S258" s="0" t="n">
        <v>0</v>
      </c>
      <c r="T258" s="0" t="str">
        <f aca="false">IF(S258&gt;0,"Yes","No")</f>
        <v>No</v>
      </c>
      <c r="U258" s="0" t="n">
        <v>0</v>
      </c>
      <c r="W258" s="0" t="str">
        <f aca="false">IF(OR(AND(M258=1,ISBLANK(V258)),AND(M258=0,NOT(ISBLANK(V258)))),"Yes","No")</f>
        <v>No</v>
      </c>
      <c r="X258" s="0" t="n">
        <v>58</v>
      </c>
      <c r="Y258" s="3" t="s">
        <v>30</v>
      </c>
      <c r="Z258" s="0" t="str">
        <f aca="false">IF(M258=1,P258,"")</f>
        <v/>
      </c>
    </row>
    <row r="259" customFormat="false" ht="15" hidden="false" customHeight="false" outlineLevel="0" collapsed="false">
      <c r="A259" s="0" t="s">
        <v>302</v>
      </c>
      <c r="B259" s="2" t="n">
        <v>45790</v>
      </c>
      <c r="C259" s="3" t="s">
        <v>27</v>
      </c>
      <c r="D259" s="3" t="s">
        <v>28</v>
      </c>
      <c r="E259" s="3" t="s">
        <v>35</v>
      </c>
      <c r="F259" s="3" t="s">
        <v>30</v>
      </c>
      <c r="G259" s="3" t="s">
        <v>40</v>
      </c>
      <c r="H259" s="3" t="s">
        <v>30</v>
      </c>
      <c r="I259" s="3" t="s">
        <v>37</v>
      </c>
      <c r="J259" s="0" t="n">
        <v>0</v>
      </c>
      <c r="K259" s="0" t="n">
        <v>0</v>
      </c>
      <c r="L259" s="0" t="n">
        <v>0</v>
      </c>
      <c r="M259" s="0" t="n">
        <v>0</v>
      </c>
      <c r="N259" s="0" t="str">
        <f aca="false">IF(OR(NOT(OR(J259=0,J259=1)),NOT(OR(K259=0,K259=1)),NOT(OR(L259=0,L259=1)),NOT(OR(M259=0,M259=1)),NOT(OR(U259=0,U259=1))),"Yes","No")</f>
        <v>No</v>
      </c>
      <c r="O259" s="0" t="str">
        <f aca="false">IF(OR(AND(M259=1,L259=0),AND(L259=1,K259=0),AND(K259=1,J259=0)),"Yes","No")</f>
        <v>No</v>
      </c>
      <c r="P259" s="0" t="n">
        <v>0</v>
      </c>
      <c r="Q259" s="0" t="str">
        <f aca="false">IF(OR(AND(M259=0,P259&gt;0),AND(M259=1,P259&lt;=0)),"Yes","No")</f>
        <v>No</v>
      </c>
      <c r="R259" s="0" t="str">
        <f aca="false">IF(AND(M259=1,P259&gt;calc_helpers!$B$5),"Yes","No")</f>
        <v>No</v>
      </c>
      <c r="S259" s="0" t="n">
        <v>0</v>
      </c>
      <c r="T259" s="0" t="str">
        <f aca="false">IF(S259&gt;0,"Yes","No")</f>
        <v>No</v>
      </c>
      <c r="U259" s="0" t="n">
        <v>0</v>
      </c>
      <c r="W259" s="0" t="str">
        <f aca="false">IF(OR(AND(M259=1,ISBLANK(V259)),AND(M259=0,NOT(ISBLANK(V259)))),"Yes","No")</f>
        <v>No</v>
      </c>
      <c r="X259" s="0" t="n">
        <v>61.6</v>
      </c>
      <c r="Y259" s="3" t="s">
        <v>30</v>
      </c>
      <c r="Z259" s="0" t="str">
        <f aca="false">IF(M259=1,P259,"")</f>
        <v/>
      </c>
    </row>
    <row r="260" customFormat="false" ht="15" hidden="false" customHeight="false" outlineLevel="0" collapsed="false">
      <c r="A260" s="0" t="s">
        <v>303</v>
      </c>
      <c r="B260" s="2" t="n">
        <v>45685</v>
      </c>
      <c r="C260" s="3" t="s">
        <v>27</v>
      </c>
      <c r="D260" s="3" t="s">
        <v>39</v>
      </c>
      <c r="E260" s="3" t="s">
        <v>29</v>
      </c>
      <c r="F260" s="3" t="s">
        <v>30</v>
      </c>
      <c r="G260" s="3" t="s">
        <v>36</v>
      </c>
      <c r="H260" s="3" t="s">
        <v>30</v>
      </c>
      <c r="I260" s="3" t="s">
        <v>37</v>
      </c>
      <c r="J260" s="0" t="n">
        <v>1</v>
      </c>
      <c r="K260" s="0" t="n">
        <v>0</v>
      </c>
      <c r="L260" s="0" t="n">
        <v>0</v>
      </c>
      <c r="M260" s="0" t="n">
        <v>0</v>
      </c>
      <c r="N260" s="0" t="str">
        <f aca="false">IF(OR(NOT(OR(J260=0,J260=1)),NOT(OR(K260=0,K260=1)),NOT(OR(L260=0,L260=1)),NOT(OR(M260=0,M260=1)),NOT(OR(U260=0,U260=1))),"Yes","No")</f>
        <v>No</v>
      </c>
      <c r="O260" s="0" t="str">
        <f aca="false">IF(OR(AND(M260=1,L260=0),AND(L260=1,K260=0),AND(K260=1,J260=0)),"Yes","No")</f>
        <v>No</v>
      </c>
      <c r="P260" s="0" t="n">
        <v>0</v>
      </c>
      <c r="Q260" s="0" t="str">
        <f aca="false">IF(OR(AND(M260=0,P260&gt;0),AND(M260=1,P260&lt;=0)),"Yes","No")</f>
        <v>No</v>
      </c>
      <c r="R260" s="0" t="str">
        <f aca="false">IF(AND(M260=1,P260&gt;calc_helpers!$B$5),"Yes","No")</f>
        <v>No</v>
      </c>
      <c r="S260" s="0" t="n">
        <v>0</v>
      </c>
      <c r="T260" s="0" t="str">
        <f aca="false">IF(S260&gt;0,"Yes","No")</f>
        <v>No</v>
      </c>
      <c r="U260" s="0" t="n">
        <v>0</v>
      </c>
      <c r="W260" s="0" t="str">
        <f aca="false">IF(OR(AND(M260=1,ISBLANK(V260)),AND(M260=0,NOT(ISBLANK(V260)))),"Yes","No")</f>
        <v>No</v>
      </c>
      <c r="X260" s="0" t="n">
        <v>43.2</v>
      </c>
      <c r="Y260" s="3" t="s">
        <v>30</v>
      </c>
      <c r="Z260" s="0" t="str">
        <f aca="false">IF(M260=1,P260,"")</f>
        <v/>
      </c>
    </row>
    <row r="261" customFormat="false" ht="15" hidden="false" customHeight="false" outlineLevel="0" collapsed="false">
      <c r="A261" s="0" t="s">
        <v>304</v>
      </c>
      <c r="B261" s="2" t="n">
        <v>45732</v>
      </c>
      <c r="C261" s="3" t="s">
        <v>27</v>
      </c>
      <c r="D261" s="3" t="s">
        <v>39</v>
      </c>
      <c r="E261" s="3" t="s">
        <v>29</v>
      </c>
      <c r="F261" s="3" t="s">
        <v>30</v>
      </c>
      <c r="G261" s="3" t="s">
        <v>40</v>
      </c>
      <c r="H261" s="3" t="s">
        <v>30</v>
      </c>
      <c r="I261" s="3" t="s">
        <v>32</v>
      </c>
      <c r="J261" s="0" t="n">
        <v>1</v>
      </c>
      <c r="K261" s="0" t="n">
        <v>0</v>
      </c>
      <c r="L261" s="0" t="n">
        <v>0</v>
      </c>
      <c r="M261" s="0" t="n">
        <v>0</v>
      </c>
      <c r="N261" s="0" t="str">
        <f aca="false">IF(OR(NOT(OR(J261=0,J261=1)),NOT(OR(K261=0,K261=1)),NOT(OR(L261=0,L261=1)),NOT(OR(M261=0,M261=1)),NOT(OR(U261=0,U261=1))),"Yes","No")</f>
        <v>No</v>
      </c>
      <c r="O261" s="0" t="str">
        <f aca="false">IF(OR(AND(M261=1,L261=0),AND(L261=1,K261=0),AND(K261=1,J261=0)),"Yes","No")</f>
        <v>No</v>
      </c>
      <c r="P261" s="0" t="n">
        <v>0</v>
      </c>
      <c r="Q261" s="0" t="str">
        <f aca="false">IF(OR(AND(M261=0,P261&gt;0),AND(M261=1,P261&lt;=0)),"Yes","No")</f>
        <v>No</v>
      </c>
      <c r="R261" s="0" t="str">
        <f aca="false">IF(AND(M261=1,P261&gt;calc_helpers!$B$5),"Yes","No")</f>
        <v>No</v>
      </c>
      <c r="S261" s="0" t="n">
        <v>1</v>
      </c>
      <c r="T261" s="0" t="str">
        <f aca="false">IF(S261&gt;0,"Yes","No")</f>
        <v>Yes</v>
      </c>
      <c r="U261" s="0" t="n">
        <v>0</v>
      </c>
      <c r="W261" s="0" t="str">
        <f aca="false">IF(OR(AND(M261=1,ISBLANK(V261)),AND(M261=0,NOT(ISBLANK(V261)))),"Yes","No")</f>
        <v>No</v>
      </c>
      <c r="X261" s="0" t="n">
        <v>53.3</v>
      </c>
      <c r="Y261" s="3" t="s">
        <v>30</v>
      </c>
      <c r="Z261" s="0" t="str">
        <f aca="false">IF(M261=1,P261,"")</f>
        <v/>
      </c>
    </row>
    <row r="262" customFormat="false" ht="15" hidden="false" customHeight="false" outlineLevel="0" collapsed="false">
      <c r="A262" s="0" t="s">
        <v>305</v>
      </c>
      <c r="B262" s="2" t="n">
        <v>45757</v>
      </c>
      <c r="C262" s="3" t="s">
        <v>27</v>
      </c>
      <c r="D262" s="3" t="s">
        <v>39</v>
      </c>
      <c r="E262" s="3" t="s">
        <v>29</v>
      </c>
      <c r="F262" s="3" t="s">
        <v>30</v>
      </c>
      <c r="G262" s="3" t="s">
        <v>52</v>
      </c>
      <c r="H262" s="3" t="s">
        <v>30</v>
      </c>
      <c r="I262" s="3" t="s">
        <v>32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str">
        <f aca="false">IF(OR(NOT(OR(J262=0,J262=1)),NOT(OR(K262=0,K262=1)),NOT(OR(L262=0,L262=1)),NOT(OR(M262=0,M262=1)),NOT(OR(U262=0,U262=1))),"Yes","No")</f>
        <v>No</v>
      </c>
      <c r="O262" s="0" t="str">
        <f aca="false">IF(OR(AND(M262=1,L262=0),AND(L262=1,K262=0),AND(K262=1,J262=0)),"Yes","No")</f>
        <v>No</v>
      </c>
      <c r="P262" s="0" t="n">
        <v>0</v>
      </c>
      <c r="Q262" s="0" t="str">
        <f aca="false">IF(OR(AND(M262=0,P262&gt;0),AND(M262=1,P262&lt;=0)),"Yes","No")</f>
        <v>No</v>
      </c>
      <c r="R262" s="0" t="str">
        <f aca="false">IF(AND(M262=1,P262&gt;calc_helpers!$B$5),"Yes","No")</f>
        <v>No</v>
      </c>
      <c r="S262" s="0" t="n">
        <v>0</v>
      </c>
      <c r="T262" s="0" t="str">
        <f aca="false">IF(S262&gt;0,"Yes","No")</f>
        <v>No</v>
      </c>
      <c r="U262" s="0" t="n">
        <v>0</v>
      </c>
      <c r="W262" s="0" t="str">
        <f aca="false">IF(OR(AND(M262=1,ISBLANK(V262)),AND(M262=0,NOT(ISBLANK(V262)))),"Yes","No")</f>
        <v>No</v>
      </c>
      <c r="X262" s="0" t="n">
        <v>33.9</v>
      </c>
      <c r="Y262" s="3" t="s">
        <v>30</v>
      </c>
      <c r="Z262" s="0" t="str">
        <f aca="false">IF(M262=1,P262,"")</f>
        <v/>
      </c>
    </row>
    <row r="263" customFormat="false" ht="15" hidden="false" customHeight="false" outlineLevel="0" collapsed="false">
      <c r="A263" s="0" t="s">
        <v>306</v>
      </c>
      <c r="B263" s="2" t="n">
        <v>45731</v>
      </c>
      <c r="C263" s="3" t="s">
        <v>27</v>
      </c>
      <c r="D263" s="3" t="s">
        <v>39</v>
      </c>
      <c r="E263" s="3" t="s">
        <v>29</v>
      </c>
      <c r="F263" s="3" t="s">
        <v>30</v>
      </c>
      <c r="G263" s="3" t="s">
        <v>50</v>
      </c>
      <c r="H263" s="3" t="s">
        <v>30</v>
      </c>
      <c r="I263" s="3" t="s">
        <v>37</v>
      </c>
      <c r="J263" s="0" t="n">
        <v>1</v>
      </c>
      <c r="K263" s="0" t="n">
        <v>1</v>
      </c>
      <c r="L263" s="0" t="n">
        <v>1</v>
      </c>
      <c r="M263" s="0" t="n">
        <v>0</v>
      </c>
      <c r="N263" s="0" t="str">
        <f aca="false">IF(OR(NOT(OR(J263=0,J263=1)),NOT(OR(K263=0,K263=1)),NOT(OR(L263=0,L263=1)),NOT(OR(M263=0,M263=1)),NOT(OR(U263=0,U263=1))),"Yes","No")</f>
        <v>No</v>
      </c>
      <c r="O263" s="0" t="str">
        <f aca="false">IF(OR(AND(M263=1,L263=0),AND(L263=1,K263=0),AND(K263=1,J263=0)),"Yes","No")</f>
        <v>No</v>
      </c>
      <c r="P263" s="0" t="n">
        <v>0</v>
      </c>
      <c r="Q263" s="0" t="str">
        <f aca="false">IF(OR(AND(M263=0,P263&gt;0),AND(M263=1,P263&lt;=0)),"Yes","No")</f>
        <v>No</v>
      </c>
      <c r="R263" s="0" t="str">
        <f aca="false">IF(AND(M263=1,P263&gt;calc_helpers!$B$5),"Yes","No")</f>
        <v>No</v>
      </c>
      <c r="S263" s="0" t="n">
        <v>0</v>
      </c>
      <c r="T263" s="0" t="str">
        <f aca="false">IF(S263&gt;0,"Yes","No")</f>
        <v>No</v>
      </c>
      <c r="U263" s="0" t="n">
        <v>0</v>
      </c>
      <c r="W263" s="0" t="str">
        <f aca="false">IF(OR(AND(M263=1,ISBLANK(V263)),AND(M263=0,NOT(ISBLANK(V263)))),"Yes","No")</f>
        <v>No</v>
      </c>
      <c r="X263" s="0" t="n">
        <v>35.4</v>
      </c>
      <c r="Y263" s="3" t="s">
        <v>30</v>
      </c>
      <c r="Z263" s="0" t="str">
        <f aca="false">IF(M263=1,P263,"")</f>
        <v/>
      </c>
    </row>
    <row r="264" customFormat="false" ht="15" hidden="false" customHeight="false" outlineLevel="0" collapsed="false">
      <c r="A264" s="0" t="s">
        <v>307</v>
      </c>
      <c r="B264" s="2" t="n">
        <v>45754</v>
      </c>
      <c r="C264" s="3" t="s">
        <v>27</v>
      </c>
      <c r="D264" s="3" t="s">
        <v>34</v>
      </c>
      <c r="E264" s="3" t="s">
        <v>29</v>
      </c>
      <c r="F264" s="3" t="s">
        <v>30</v>
      </c>
      <c r="G264" s="3" t="s">
        <v>36</v>
      </c>
      <c r="H264" s="3" t="s">
        <v>30</v>
      </c>
      <c r="I264" s="3" t="s">
        <v>32</v>
      </c>
      <c r="J264" s="0" t="n">
        <v>1</v>
      </c>
      <c r="K264" s="0" t="n">
        <v>0</v>
      </c>
      <c r="L264" s="0" t="n">
        <v>0</v>
      </c>
      <c r="M264" s="0" t="n">
        <v>0</v>
      </c>
      <c r="N264" s="0" t="str">
        <f aca="false">IF(OR(NOT(OR(J264=0,J264=1)),NOT(OR(K264=0,K264=1)),NOT(OR(L264=0,L264=1)),NOT(OR(M264=0,M264=1)),NOT(OR(U264=0,U264=1))),"Yes","No")</f>
        <v>No</v>
      </c>
      <c r="O264" s="0" t="str">
        <f aca="false">IF(OR(AND(M264=1,L264=0),AND(L264=1,K264=0),AND(K264=1,J264=0)),"Yes","No")</f>
        <v>No</v>
      </c>
      <c r="P264" s="0" t="n">
        <v>0</v>
      </c>
      <c r="Q264" s="0" t="str">
        <f aca="false">IF(OR(AND(M264=0,P264&gt;0),AND(M264=1,P264&lt;=0)),"Yes","No")</f>
        <v>No</v>
      </c>
      <c r="R264" s="0" t="str">
        <f aca="false">IF(AND(M264=1,P264&gt;calc_helpers!$B$5),"Yes","No")</f>
        <v>No</v>
      </c>
      <c r="S264" s="0" t="n">
        <v>0</v>
      </c>
      <c r="T264" s="0" t="str">
        <f aca="false">IF(S264&gt;0,"Yes","No")</f>
        <v>No</v>
      </c>
      <c r="U264" s="0" t="n">
        <v>0</v>
      </c>
      <c r="W264" s="0" t="str">
        <f aca="false">IF(OR(AND(M264=1,ISBLANK(V264)),AND(M264=0,NOT(ISBLANK(V264)))),"Yes","No")</f>
        <v>No</v>
      </c>
      <c r="X264" s="0" t="n">
        <v>45</v>
      </c>
      <c r="Y264" s="3" t="s">
        <v>30</v>
      </c>
      <c r="Z264" s="0" t="str">
        <f aca="false">IF(M264=1,P264,"")</f>
        <v/>
      </c>
    </row>
    <row r="265" customFormat="false" ht="15" hidden="false" customHeight="false" outlineLevel="0" collapsed="false">
      <c r="A265" s="0" t="s">
        <v>308</v>
      </c>
      <c r="B265" s="2" t="n">
        <v>45700</v>
      </c>
      <c r="C265" s="3" t="s">
        <v>27</v>
      </c>
      <c r="D265" s="3" t="s">
        <v>43</v>
      </c>
      <c r="E265" s="3" t="s">
        <v>35</v>
      </c>
      <c r="F265" s="3" t="s">
        <v>30</v>
      </c>
      <c r="G265" s="3" t="s">
        <v>36</v>
      </c>
      <c r="H265" s="3" t="s">
        <v>30</v>
      </c>
      <c r="I265" s="3" t="s">
        <v>37</v>
      </c>
      <c r="J265" s="0" t="n">
        <v>1</v>
      </c>
      <c r="K265" s="0" t="n">
        <v>1</v>
      </c>
      <c r="L265" s="0" t="n">
        <v>0</v>
      </c>
      <c r="M265" s="0" t="n">
        <v>0</v>
      </c>
      <c r="N265" s="0" t="str">
        <f aca="false">IF(OR(NOT(OR(J265=0,J265=1)),NOT(OR(K265=0,K265=1)),NOT(OR(L265=0,L265=1)),NOT(OR(M265=0,M265=1)),NOT(OR(U265=0,U265=1))),"Yes","No")</f>
        <v>No</v>
      </c>
      <c r="O265" s="0" t="str">
        <f aca="false">IF(OR(AND(M265=1,L265=0),AND(L265=1,K265=0),AND(K265=1,J265=0)),"Yes","No")</f>
        <v>No</v>
      </c>
      <c r="P265" s="0" t="n">
        <v>0</v>
      </c>
      <c r="Q265" s="0" t="str">
        <f aca="false">IF(OR(AND(M265=0,P265&gt;0),AND(M265=1,P265&lt;=0)),"Yes","No")</f>
        <v>No</v>
      </c>
      <c r="R265" s="0" t="str">
        <f aca="false">IF(AND(M265=1,P265&gt;calc_helpers!$B$5),"Yes","No")</f>
        <v>No</v>
      </c>
      <c r="S265" s="0" t="n">
        <v>0</v>
      </c>
      <c r="T265" s="0" t="str">
        <f aca="false">IF(S265&gt;0,"Yes","No")</f>
        <v>No</v>
      </c>
      <c r="U265" s="0" t="n">
        <v>0</v>
      </c>
      <c r="W265" s="0" t="str">
        <f aca="false">IF(OR(AND(M265=1,ISBLANK(V265)),AND(M265=0,NOT(ISBLANK(V265)))),"Yes","No")</f>
        <v>No</v>
      </c>
      <c r="X265" s="0" t="n">
        <v>86.5</v>
      </c>
      <c r="Y265" s="3" t="s">
        <v>30</v>
      </c>
      <c r="Z265" s="0" t="str">
        <f aca="false">IF(M265=1,P265,"")</f>
        <v/>
      </c>
    </row>
    <row r="266" customFormat="false" ht="15" hidden="false" customHeight="false" outlineLevel="0" collapsed="false">
      <c r="A266" s="0" t="s">
        <v>309</v>
      </c>
      <c r="B266" s="2" t="n">
        <v>45782</v>
      </c>
      <c r="C266" s="3" t="s">
        <v>27</v>
      </c>
      <c r="D266" s="3" t="s">
        <v>34</v>
      </c>
      <c r="E266" s="3" t="s">
        <v>35</v>
      </c>
      <c r="F266" s="3" t="s">
        <v>30</v>
      </c>
      <c r="G266" s="3" t="s">
        <v>52</v>
      </c>
      <c r="H266" s="3" t="s">
        <v>30</v>
      </c>
      <c r="I266" s="3" t="s">
        <v>37</v>
      </c>
      <c r="J266" s="0" t="n">
        <v>0</v>
      </c>
      <c r="K266" s="0" t="n">
        <v>0</v>
      </c>
      <c r="L266" s="0" t="n">
        <v>0</v>
      </c>
      <c r="M266" s="0" t="n">
        <v>0</v>
      </c>
      <c r="N266" s="0" t="str">
        <f aca="false">IF(OR(NOT(OR(J266=0,J266=1)),NOT(OR(K266=0,K266=1)),NOT(OR(L266=0,L266=1)),NOT(OR(M266=0,M266=1)),NOT(OR(U266=0,U266=1))),"Yes","No")</f>
        <v>No</v>
      </c>
      <c r="O266" s="0" t="str">
        <f aca="false">IF(OR(AND(M266=1,L266=0),AND(L266=1,K266=0),AND(K266=1,J266=0)),"Yes","No")</f>
        <v>No</v>
      </c>
      <c r="P266" s="0" t="n">
        <v>0</v>
      </c>
      <c r="Q266" s="0" t="str">
        <f aca="false">IF(OR(AND(M266=0,P266&gt;0),AND(M266=1,P266&lt;=0)),"Yes","No")</f>
        <v>No</v>
      </c>
      <c r="R266" s="0" t="str">
        <f aca="false">IF(AND(M266=1,P266&gt;calc_helpers!$B$5),"Yes","No")</f>
        <v>No</v>
      </c>
      <c r="S266" s="0" t="n">
        <v>0</v>
      </c>
      <c r="T266" s="0" t="str">
        <f aca="false">IF(S266&gt;0,"Yes","No")</f>
        <v>No</v>
      </c>
      <c r="U266" s="0" t="n">
        <v>0</v>
      </c>
      <c r="W266" s="0" t="str">
        <f aca="false">IF(OR(AND(M266=1,ISBLANK(V266)),AND(M266=0,NOT(ISBLANK(V266)))),"Yes","No")</f>
        <v>No</v>
      </c>
      <c r="X266" s="0" t="n">
        <v>58.1</v>
      </c>
      <c r="Y266" s="3" t="s">
        <v>30</v>
      </c>
      <c r="Z266" s="0" t="str">
        <f aca="false">IF(M266=1,P266,"")</f>
        <v/>
      </c>
    </row>
    <row r="267" customFormat="false" ht="15" hidden="false" customHeight="false" outlineLevel="0" collapsed="false">
      <c r="A267" s="0" t="s">
        <v>310</v>
      </c>
      <c r="B267" s="2" t="n">
        <v>45727</v>
      </c>
      <c r="C267" s="3" t="s">
        <v>27</v>
      </c>
      <c r="D267" s="3" t="s">
        <v>34</v>
      </c>
      <c r="E267" s="3" t="s">
        <v>35</v>
      </c>
      <c r="F267" s="3" t="s">
        <v>30</v>
      </c>
      <c r="G267" s="3" t="s">
        <v>50</v>
      </c>
      <c r="H267" s="3" t="s">
        <v>30</v>
      </c>
      <c r="I267" s="3" t="s">
        <v>37</v>
      </c>
      <c r="J267" s="0" t="n">
        <v>1</v>
      </c>
      <c r="K267" s="0" t="n">
        <v>0</v>
      </c>
      <c r="L267" s="0" t="n">
        <v>0</v>
      </c>
      <c r="M267" s="0" t="n">
        <v>0</v>
      </c>
      <c r="N267" s="0" t="str">
        <f aca="false">IF(OR(NOT(OR(J267=0,J267=1)),NOT(OR(K267=0,K267=1)),NOT(OR(L267=0,L267=1)),NOT(OR(M267=0,M267=1)),NOT(OR(U267=0,U267=1))),"Yes","No")</f>
        <v>No</v>
      </c>
      <c r="O267" s="0" t="str">
        <f aca="false">IF(OR(AND(M267=1,L267=0),AND(L267=1,K267=0),AND(K267=1,J267=0)),"Yes","No")</f>
        <v>No</v>
      </c>
      <c r="P267" s="0" t="n">
        <v>0</v>
      </c>
      <c r="Q267" s="0" t="str">
        <f aca="false">IF(OR(AND(M267=0,P267&gt;0),AND(M267=1,P267&lt;=0)),"Yes","No")</f>
        <v>No</v>
      </c>
      <c r="R267" s="0" t="str">
        <f aca="false">IF(AND(M267=1,P267&gt;calc_helpers!$B$5),"Yes","No")</f>
        <v>No</v>
      </c>
      <c r="S267" s="0" t="n">
        <v>0</v>
      </c>
      <c r="T267" s="0" t="str">
        <f aca="false">IF(S267&gt;0,"Yes","No")</f>
        <v>No</v>
      </c>
      <c r="U267" s="0" t="n">
        <v>0</v>
      </c>
      <c r="W267" s="0" t="str">
        <f aca="false">IF(OR(AND(M267=1,ISBLANK(V267)),AND(M267=0,NOT(ISBLANK(V267)))),"Yes","No")</f>
        <v>No</v>
      </c>
      <c r="X267" s="0" t="n">
        <v>36.1</v>
      </c>
      <c r="Y267" s="3" t="s">
        <v>30</v>
      </c>
      <c r="Z267" s="0" t="str">
        <f aca="false">IF(M267=1,P267,"")</f>
        <v/>
      </c>
    </row>
    <row r="268" customFormat="false" ht="15" hidden="false" customHeight="false" outlineLevel="0" collapsed="false">
      <c r="A268" s="0" t="s">
        <v>311</v>
      </c>
      <c r="B268" s="2" t="n">
        <v>45698</v>
      </c>
      <c r="C268" s="3" t="s">
        <v>27</v>
      </c>
      <c r="D268" s="3" t="s">
        <v>39</v>
      </c>
      <c r="E268" s="3" t="s">
        <v>35</v>
      </c>
      <c r="F268" s="3" t="s">
        <v>30</v>
      </c>
      <c r="G268" s="3" t="s">
        <v>52</v>
      </c>
      <c r="H268" s="3" t="s">
        <v>30</v>
      </c>
      <c r="I268" s="3" t="s">
        <v>37</v>
      </c>
      <c r="J268" s="0" t="n">
        <v>0</v>
      </c>
      <c r="K268" s="0" t="n">
        <v>0</v>
      </c>
      <c r="L268" s="0" t="n">
        <v>0</v>
      </c>
      <c r="M268" s="0" t="n">
        <v>0</v>
      </c>
      <c r="N268" s="0" t="str">
        <f aca="false">IF(OR(NOT(OR(J268=0,J268=1)),NOT(OR(K268=0,K268=1)),NOT(OR(L268=0,L268=1)),NOT(OR(M268=0,M268=1)),NOT(OR(U268=0,U268=1))),"Yes","No")</f>
        <v>No</v>
      </c>
      <c r="O268" s="0" t="str">
        <f aca="false">IF(OR(AND(M268=1,L268=0),AND(L268=1,K268=0),AND(K268=1,J268=0)),"Yes","No")</f>
        <v>No</v>
      </c>
      <c r="P268" s="0" t="n">
        <v>0</v>
      </c>
      <c r="Q268" s="0" t="str">
        <f aca="false">IF(OR(AND(M268=0,P268&gt;0),AND(M268=1,P268&lt;=0)),"Yes","No")</f>
        <v>No</v>
      </c>
      <c r="R268" s="0" t="str">
        <f aca="false">IF(AND(M268=1,P268&gt;calc_helpers!$B$5),"Yes","No")</f>
        <v>No</v>
      </c>
      <c r="S268" s="0" t="n">
        <v>0</v>
      </c>
      <c r="T268" s="0" t="str">
        <f aca="false">IF(S268&gt;0,"Yes","No")</f>
        <v>No</v>
      </c>
      <c r="U268" s="0" t="n">
        <v>0</v>
      </c>
      <c r="W268" s="0" t="str">
        <f aca="false">IF(OR(AND(M268=1,ISBLANK(V268)),AND(M268=0,NOT(ISBLANK(V268)))),"Yes","No")</f>
        <v>No</v>
      </c>
      <c r="X268" s="0" t="n">
        <v>62.8</v>
      </c>
      <c r="Y268" s="3" t="s">
        <v>30</v>
      </c>
      <c r="Z268" s="0" t="str">
        <f aca="false">IF(M268=1,P268,"")</f>
        <v/>
      </c>
    </row>
    <row r="269" customFormat="false" ht="15" hidden="false" customHeight="false" outlineLevel="0" collapsed="false">
      <c r="A269" s="0" t="s">
        <v>312</v>
      </c>
      <c r="B269" s="2" t="n">
        <v>45753</v>
      </c>
      <c r="C269" s="3" t="s">
        <v>27</v>
      </c>
      <c r="D269" s="3" t="s">
        <v>43</v>
      </c>
      <c r="E269" s="3" t="s">
        <v>35</v>
      </c>
      <c r="F269" s="3" t="s">
        <v>30</v>
      </c>
      <c r="G269" s="3" t="s">
        <v>36</v>
      </c>
      <c r="H269" s="3" t="s">
        <v>30</v>
      </c>
      <c r="I269" s="3" t="s">
        <v>37</v>
      </c>
      <c r="J269" s="0" t="n">
        <v>0</v>
      </c>
      <c r="K269" s="0" t="n">
        <v>0</v>
      </c>
      <c r="L269" s="0" t="n">
        <v>0</v>
      </c>
      <c r="M269" s="0" t="n">
        <v>0</v>
      </c>
      <c r="N269" s="0" t="str">
        <f aca="false">IF(OR(NOT(OR(J269=0,J269=1)),NOT(OR(K269=0,K269=1)),NOT(OR(L269=0,L269=1)),NOT(OR(M269=0,M269=1)),NOT(OR(U269=0,U269=1))),"Yes","No")</f>
        <v>No</v>
      </c>
      <c r="O269" s="0" t="str">
        <f aca="false">IF(OR(AND(M269=1,L269=0),AND(L269=1,K269=0),AND(K269=1,J269=0)),"Yes","No")</f>
        <v>No</v>
      </c>
      <c r="P269" s="0" t="n">
        <v>0</v>
      </c>
      <c r="Q269" s="0" t="str">
        <f aca="false">IF(OR(AND(M269=0,P269&gt;0),AND(M269=1,P269&lt;=0)),"Yes","No")</f>
        <v>No</v>
      </c>
      <c r="R269" s="0" t="str">
        <f aca="false">IF(AND(M269=1,P269&gt;calc_helpers!$B$5),"Yes","No")</f>
        <v>No</v>
      </c>
      <c r="S269" s="0" t="n">
        <v>0</v>
      </c>
      <c r="T269" s="0" t="str">
        <f aca="false">IF(S269&gt;0,"Yes","No")</f>
        <v>No</v>
      </c>
      <c r="U269" s="0" t="n">
        <v>0</v>
      </c>
      <c r="W269" s="0" t="str">
        <f aca="false">IF(OR(AND(M269=1,ISBLANK(V269)),AND(M269=0,NOT(ISBLANK(V269)))),"Yes","No")</f>
        <v>No</v>
      </c>
      <c r="X269" s="0" t="n">
        <v>54.2</v>
      </c>
      <c r="Y269" s="3" t="s">
        <v>30</v>
      </c>
      <c r="Z269" s="0" t="str">
        <f aca="false">IF(M269=1,P269,"")</f>
        <v/>
      </c>
    </row>
    <row r="270" customFormat="false" ht="15" hidden="false" customHeight="false" outlineLevel="0" collapsed="false">
      <c r="A270" s="0" t="s">
        <v>313</v>
      </c>
      <c r="B270" s="2" t="n">
        <v>45663</v>
      </c>
      <c r="C270" s="3" t="s">
        <v>27</v>
      </c>
      <c r="D270" s="3" t="s">
        <v>39</v>
      </c>
      <c r="E270" s="3" t="s">
        <v>35</v>
      </c>
      <c r="F270" s="3" t="s">
        <v>30</v>
      </c>
      <c r="G270" s="3" t="s">
        <v>50</v>
      </c>
      <c r="H270" s="3" t="s">
        <v>30</v>
      </c>
      <c r="I270" s="3" t="s">
        <v>37</v>
      </c>
      <c r="J270" s="0" t="n">
        <v>0</v>
      </c>
      <c r="K270" s="0" t="n">
        <v>0</v>
      </c>
      <c r="L270" s="0" t="n">
        <v>0</v>
      </c>
      <c r="M270" s="0" t="n">
        <v>0</v>
      </c>
      <c r="N270" s="0" t="str">
        <f aca="false">IF(OR(NOT(OR(J270=0,J270=1)),NOT(OR(K270=0,K270=1)),NOT(OR(L270=0,L270=1)),NOT(OR(M270=0,M270=1)),NOT(OR(U270=0,U270=1))),"Yes","No")</f>
        <v>No</v>
      </c>
      <c r="O270" s="0" t="str">
        <f aca="false">IF(OR(AND(M270=1,L270=0),AND(L270=1,K270=0),AND(K270=1,J270=0)),"Yes","No")</f>
        <v>No</v>
      </c>
      <c r="P270" s="0" t="n">
        <v>0</v>
      </c>
      <c r="Q270" s="0" t="str">
        <f aca="false">IF(OR(AND(M270=0,P270&gt;0),AND(M270=1,P270&lt;=0)),"Yes","No")</f>
        <v>No</v>
      </c>
      <c r="R270" s="0" t="str">
        <f aca="false">IF(AND(M270=1,P270&gt;calc_helpers!$B$5),"Yes","No")</f>
        <v>No</v>
      </c>
      <c r="S270" s="0" t="n">
        <v>0</v>
      </c>
      <c r="T270" s="0" t="str">
        <f aca="false">IF(S270&gt;0,"Yes","No")</f>
        <v>No</v>
      </c>
      <c r="U270" s="0" t="n">
        <v>0</v>
      </c>
      <c r="W270" s="0" t="str">
        <f aca="false">IF(OR(AND(M270=1,ISBLANK(V270)),AND(M270=0,NOT(ISBLANK(V270)))),"Yes","No")</f>
        <v>No</v>
      </c>
      <c r="X270" s="0" t="n">
        <v>50</v>
      </c>
      <c r="Y270" s="3" t="s">
        <v>30</v>
      </c>
      <c r="Z270" s="0" t="str">
        <f aca="false">IF(M270=1,P270,"")</f>
        <v/>
      </c>
    </row>
    <row r="271" customFormat="false" ht="15" hidden="false" customHeight="false" outlineLevel="0" collapsed="false">
      <c r="A271" s="0" t="s">
        <v>314</v>
      </c>
      <c r="B271" s="2" t="n">
        <v>45741</v>
      </c>
      <c r="C271" s="3" t="s">
        <v>27</v>
      </c>
      <c r="D271" s="3" t="s">
        <v>39</v>
      </c>
      <c r="E271" s="3" t="s">
        <v>45</v>
      </c>
      <c r="F271" s="3" t="s">
        <v>30</v>
      </c>
      <c r="G271" s="3" t="s">
        <v>40</v>
      </c>
      <c r="H271" s="3" t="s">
        <v>30</v>
      </c>
      <c r="I271" s="3" t="s">
        <v>32</v>
      </c>
      <c r="J271" s="0" t="n">
        <v>1</v>
      </c>
      <c r="K271" s="0" t="n">
        <v>0</v>
      </c>
      <c r="L271" s="0" t="n">
        <v>0</v>
      </c>
      <c r="M271" s="0" t="n">
        <v>0</v>
      </c>
      <c r="N271" s="0" t="str">
        <f aca="false">IF(OR(NOT(OR(J271=0,J271=1)),NOT(OR(K271=0,K271=1)),NOT(OR(L271=0,L271=1)),NOT(OR(M271=0,M271=1)),NOT(OR(U271=0,U271=1))),"Yes","No")</f>
        <v>No</v>
      </c>
      <c r="O271" s="0" t="str">
        <f aca="false">IF(OR(AND(M271=1,L271=0),AND(L271=1,K271=0),AND(K271=1,J271=0)),"Yes","No")</f>
        <v>No</v>
      </c>
      <c r="P271" s="0" t="n">
        <v>0</v>
      </c>
      <c r="Q271" s="0" t="str">
        <f aca="false">IF(OR(AND(M271=0,P271&gt;0),AND(M271=1,P271&lt;=0)),"Yes","No")</f>
        <v>No</v>
      </c>
      <c r="R271" s="0" t="str">
        <f aca="false">IF(AND(M271=1,P271&gt;calc_helpers!$B$5),"Yes","No")</f>
        <v>No</v>
      </c>
      <c r="S271" s="0" t="n">
        <v>0</v>
      </c>
      <c r="T271" s="0" t="str">
        <f aca="false">IF(S271&gt;0,"Yes","No")</f>
        <v>No</v>
      </c>
      <c r="U271" s="0" t="n">
        <v>0</v>
      </c>
      <c r="W271" s="0" t="str">
        <f aca="false">IF(OR(AND(M271=1,ISBLANK(V271)),AND(M271=0,NOT(ISBLANK(V271)))),"Yes","No")</f>
        <v>No</v>
      </c>
      <c r="X271" s="0" t="n">
        <v>62</v>
      </c>
      <c r="Y271" s="3" t="s">
        <v>30</v>
      </c>
      <c r="Z271" s="0" t="str">
        <f aca="false">IF(M271=1,P271,"")</f>
        <v/>
      </c>
    </row>
    <row r="272" customFormat="false" ht="15" hidden="false" customHeight="false" outlineLevel="0" collapsed="false">
      <c r="A272" s="0" t="s">
        <v>315</v>
      </c>
      <c r="B272" s="2" t="n">
        <v>45701</v>
      </c>
      <c r="C272" s="3" t="s">
        <v>27</v>
      </c>
      <c r="D272" s="3" t="s">
        <v>39</v>
      </c>
      <c r="E272" s="3" t="s">
        <v>29</v>
      </c>
      <c r="F272" s="3" t="s">
        <v>30</v>
      </c>
      <c r="G272" s="3" t="s">
        <v>50</v>
      </c>
      <c r="H272" s="3" t="s">
        <v>30</v>
      </c>
      <c r="I272" s="3" t="s">
        <v>37</v>
      </c>
      <c r="J272" s="0" t="n">
        <v>1</v>
      </c>
      <c r="K272" s="0" t="n">
        <v>0</v>
      </c>
      <c r="L272" s="0" t="n">
        <v>0</v>
      </c>
      <c r="M272" s="0" t="n">
        <v>0</v>
      </c>
      <c r="N272" s="0" t="str">
        <f aca="false">IF(OR(NOT(OR(J272=0,J272=1)),NOT(OR(K272=0,K272=1)),NOT(OR(L272=0,L272=1)),NOT(OR(M272=0,M272=1)),NOT(OR(U272=0,U272=1))),"Yes","No")</f>
        <v>No</v>
      </c>
      <c r="O272" s="0" t="str">
        <f aca="false">IF(OR(AND(M272=1,L272=0),AND(L272=1,K272=0),AND(K272=1,J272=0)),"Yes","No")</f>
        <v>No</v>
      </c>
      <c r="P272" s="0" t="n">
        <v>0</v>
      </c>
      <c r="Q272" s="0" t="str">
        <f aca="false">IF(OR(AND(M272=0,P272&gt;0),AND(M272=1,P272&lt;=0)),"Yes","No")</f>
        <v>No</v>
      </c>
      <c r="R272" s="0" t="str">
        <f aca="false">IF(AND(M272=1,P272&gt;calc_helpers!$B$5),"Yes","No")</f>
        <v>No</v>
      </c>
      <c r="S272" s="0" t="n">
        <v>0</v>
      </c>
      <c r="T272" s="0" t="str">
        <f aca="false">IF(S272&gt;0,"Yes","No")</f>
        <v>No</v>
      </c>
      <c r="U272" s="0" t="n">
        <v>0</v>
      </c>
      <c r="W272" s="0" t="str">
        <f aca="false">IF(OR(AND(M272=1,ISBLANK(V272)),AND(M272=0,NOT(ISBLANK(V272)))),"Yes","No")</f>
        <v>No</v>
      </c>
      <c r="X272" s="0" t="n">
        <v>29.3</v>
      </c>
      <c r="Y272" s="3" t="s">
        <v>30</v>
      </c>
      <c r="Z272" s="0" t="str">
        <f aca="false">IF(M272=1,P272,"")</f>
        <v/>
      </c>
    </row>
    <row r="273" customFormat="false" ht="15" hidden="false" customHeight="false" outlineLevel="0" collapsed="false">
      <c r="A273" s="0" t="s">
        <v>316</v>
      </c>
      <c r="B273" s="2" t="n">
        <v>45733</v>
      </c>
      <c r="C273" s="3" t="s">
        <v>27</v>
      </c>
      <c r="D273" s="3" t="s">
        <v>34</v>
      </c>
      <c r="E273" s="3" t="s">
        <v>29</v>
      </c>
      <c r="F273" s="3" t="s">
        <v>30</v>
      </c>
      <c r="G273" s="3" t="s">
        <v>36</v>
      </c>
      <c r="H273" s="3" t="s">
        <v>30</v>
      </c>
      <c r="I273" s="3" t="s">
        <v>37</v>
      </c>
      <c r="J273" s="0" t="n">
        <v>1</v>
      </c>
      <c r="K273" s="0" t="n">
        <v>0</v>
      </c>
      <c r="L273" s="0" t="n">
        <v>0</v>
      </c>
      <c r="M273" s="0" t="n">
        <v>0</v>
      </c>
      <c r="N273" s="0" t="str">
        <f aca="false">IF(OR(NOT(OR(J273=0,J273=1)),NOT(OR(K273=0,K273=1)),NOT(OR(L273=0,L273=1)),NOT(OR(M273=0,M273=1)),NOT(OR(U273=0,U273=1))),"Yes","No")</f>
        <v>No</v>
      </c>
      <c r="O273" s="0" t="str">
        <f aca="false">IF(OR(AND(M273=1,L273=0),AND(L273=1,K273=0),AND(K273=1,J273=0)),"Yes","No")</f>
        <v>No</v>
      </c>
      <c r="P273" s="0" t="n">
        <v>0</v>
      </c>
      <c r="Q273" s="0" t="str">
        <f aca="false">IF(OR(AND(M273=0,P273&gt;0),AND(M273=1,P273&lt;=0)),"Yes","No")</f>
        <v>No</v>
      </c>
      <c r="R273" s="0" t="str">
        <f aca="false">IF(AND(M273=1,P273&gt;calc_helpers!$B$5),"Yes","No")</f>
        <v>No</v>
      </c>
      <c r="S273" s="0" t="n">
        <v>0</v>
      </c>
      <c r="T273" s="0" t="str">
        <f aca="false">IF(S273&gt;0,"Yes","No")</f>
        <v>No</v>
      </c>
      <c r="U273" s="0" t="n">
        <v>0</v>
      </c>
      <c r="W273" s="0" t="str">
        <f aca="false">IF(OR(AND(M273=1,ISBLANK(V273)),AND(M273=0,NOT(ISBLANK(V273)))),"Yes","No")</f>
        <v>No</v>
      </c>
      <c r="X273" s="0" t="n">
        <v>67.9</v>
      </c>
      <c r="Y273" s="3" t="s">
        <v>30</v>
      </c>
      <c r="Z273" s="0" t="str">
        <f aca="false">IF(M273=1,P273,"")</f>
        <v/>
      </c>
    </row>
    <row r="274" customFormat="false" ht="15" hidden="false" customHeight="false" outlineLevel="0" collapsed="false">
      <c r="A274" s="0" t="s">
        <v>317</v>
      </c>
      <c r="B274" s="2" t="n">
        <v>45787</v>
      </c>
      <c r="C274" s="3" t="s">
        <v>27</v>
      </c>
      <c r="D274" s="3" t="s">
        <v>28</v>
      </c>
      <c r="E274" s="3" t="s">
        <v>35</v>
      </c>
      <c r="F274" s="3" t="s">
        <v>30</v>
      </c>
      <c r="G274" s="3" t="s">
        <v>50</v>
      </c>
      <c r="H274" s="3" t="s">
        <v>30</v>
      </c>
      <c r="I274" s="3" t="s">
        <v>37</v>
      </c>
      <c r="J274" s="0" t="n">
        <v>1</v>
      </c>
      <c r="K274" s="0" t="n">
        <v>1</v>
      </c>
      <c r="L274" s="0" t="n">
        <v>1</v>
      </c>
      <c r="M274" s="0" t="n">
        <v>0</v>
      </c>
      <c r="N274" s="0" t="str">
        <f aca="false">IF(OR(NOT(OR(J274=0,J274=1)),NOT(OR(K274=0,K274=1)),NOT(OR(L274=0,L274=1)),NOT(OR(M274=0,M274=1)),NOT(OR(U274=0,U274=1))),"Yes","No")</f>
        <v>No</v>
      </c>
      <c r="O274" s="0" t="str">
        <f aca="false">IF(OR(AND(M274=1,L274=0),AND(L274=1,K274=0),AND(K274=1,J274=0)),"Yes","No")</f>
        <v>No</v>
      </c>
      <c r="P274" s="0" t="n">
        <v>0</v>
      </c>
      <c r="Q274" s="0" t="str">
        <f aca="false">IF(OR(AND(M274=0,P274&gt;0),AND(M274=1,P274&lt;=0)),"Yes","No")</f>
        <v>No</v>
      </c>
      <c r="R274" s="0" t="str">
        <f aca="false">IF(AND(M274=1,P274&gt;calc_helpers!$B$5),"Yes","No")</f>
        <v>No</v>
      </c>
      <c r="S274" s="0" t="n">
        <v>0</v>
      </c>
      <c r="T274" s="0" t="str">
        <f aca="false">IF(S274&gt;0,"Yes","No")</f>
        <v>No</v>
      </c>
      <c r="U274" s="0" t="n">
        <v>0</v>
      </c>
      <c r="W274" s="0" t="str">
        <f aca="false">IF(OR(AND(M274=1,ISBLANK(V274)),AND(M274=0,NOT(ISBLANK(V274)))),"Yes","No")</f>
        <v>No</v>
      </c>
      <c r="X274" s="0" t="n">
        <v>67.6</v>
      </c>
      <c r="Y274" s="3" t="s">
        <v>30</v>
      </c>
      <c r="Z274" s="0" t="str">
        <f aca="false">IF(M274=1,P274,"")</f>
        <v/>
      </c>
    </row>
    <row r="275" customFormat="false" ht="15" hidden="false" customHeight="false" outlineLevel="0" collapsed="false">
      <c r="A275" s="0" t="s">
        <v>318</v>
      </c>
      <c r="B275" s="2" t="n">
        <v>45784</v>
      </c>
      <c r="C275" s="3" t="s">
        <v>27</v>
      </c>
      <c r="D275" s="3" t="s">
        <v>43</v>
      </c>
      <c r="E275" s="3" t="s">
        <v>35</v>
      </c>
      <c r="F275" s="3" t="s">
        <v>30</v>
      </c>
      <c r="G275" s="3" t="s">
        <v>40</v>
      </c>
      <c r="H275" s="3" t="s">
        <v>30</v>
      </c>
      <c r="I275" s="3" t="s">
        <v>32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str">
        <f aca="false">IF(OR(NOT(OR(J275=0,J275=1)),NOT(OR(K275=0,K275=1)),NOT(OR(L275=0,L275=1)),NOT(OR(M275=0,M275=1)),NOT(OR(U275=0,U275=1))),"Yes","No")</f>
        <v>No</v>
      </c>
      <c r="O275" s="0" t="str">
        <f aca="false">IF(OR(AND(M275=1,L275=0),AND(L275=1,K275=0),AND(K275=1,J275=0)),"Yes","No")</f>
        <v>No</v>
      </c>
      <c r="P275" s="0" t="n">
        <v>0</v>
      </c>
      <c r="Q275" s="0" t="str">
        <f aca="false">IF(OR(AND(M275=0,P275&gt;0),AND(M275=1,P275&lt;=0)),"Yes","No")</f>
        <v>No</v>
      </c>
      <c r="R275" s="0" t="str">
        <f aca="false">IF(AND(M275=1,P275&gt;calc_helpers!$B$5),"Yes","No")</f>
        <v>No</v>
      </c>
      <c r="S275" s="0" t="n">
        <v>0</v>
      </c>
      <c r="T275" s="0" t="str">
        <f aca="false">IF(S275&gt;0,"Yes","No")</f>
        <v>No</v>
      </c>
      <c r="U275" s="0" t="n">
        <v>0</v>
      </c>
      <c r="W275" s="0" t="str">
        <f aca="false">IF(OR(AND(M275=1,ISBLANK(V275)),AND(M275=0,NOT(ISBLANK(V275)))),"Yes","No")</f>
        <v>No</v>
      </c>
      <c r="X275" s="0" t="n">
        <v>67.4</v>
      </c>
      <c r="Y275" s="3" t="s">
        <v>30</v>
      </c>
      <c r="Z275" s="0" t="str">
        <f aca="false">IF(M275=1,P275,"")</f>
        <v/>
      </c>
    </row>
    <row r="276" customFormat="false" ht="15" hidden="false" customHeight="false" outlineLevel="0" collapsed="false">
      <c r="A276" s="0" t="s">
        <v>319</v>
      </c>
      <c r="B276" s="2" t="n">
        <v>45714</v>
      </c>
      <c r="C276" s="3" t="s">
        <v>27</v>
      </c>
      <c r="D276" s="3" t="s">
        <v>34</v>
      </c>
      <c r="E276" s="3" t="s">
        <v>29</v>
      </c>
      <c r="F276" s="3" t="s">
        <v>30</v>
      </c>
      <c r="G276" s="3" t="s">
        <v>40</v>
      </c>
      <c r="H276" s="3" t="s">
        <v>30</v>
      </c>
      <c r="I276" s="3" t="s">
        <v>41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str">
        <f aca="false">IF(OR(NOT(OR(J276=0,J276=1)),NOT(OR(K276=0,K276=1)),NOT(OR(L276=0,L276=1)),NOT(OR(M276=0,M276=1)),NOT(OR(U276=0,U276=1))),"Yes","No")</f>
        <v>No</v>
      </c>
      <c r="O276" s="0" t="str">
        <f aca="false">IF(OR(AND(M276=1,L276=0),AND(L276=1,K276=0),AND(K276=1,J276=0)),"Yes","No")</f>
        <v>No</v>
      </c>
      <c r="P276" s="0" t="n">
        <v>0</v>
      </c>
      <c r="Q276" s="0" t="str">
        <f aca="false">IF(OR(AND(M276=0,P276&gt;0),AND(M276=1,P276&lt;=0)),"Yes","No")</f>
        <v>No</v>
      </c>
      <c r="R276" s="0" t="str">
        <f aca="false">IF(AND(M276=1,P276&gt;calc_helpers!$B$5),"Yes","No")</f>
        <v>No</v>
      </c>
      <c r="S276" s="0" t="n">
        <v>2</v>
      </c>
      <c r="T276" s="0" t="str">
        <f aca="false">IF(S276&gt;0,"Yes","No")</f>
        <v>Yes</v>
      </c>
      <c r="U276" s="0" t="n">
        <v>0</v>
      </c>
      <c r="W276" s="0" t="str">
        <f aca="false">IF(OR(AND(M276=1,ISBLANK(V276)),AND(M276=0,NOT(ISBLANK(V276)))),"Yes","No")</f>
        <v>No</v>
      </c>
      <c r="X276" s="0" t="n">
        <v>53</v>
      </c>
      <c r="Y276" s="3" t="s">
        <v>30</v>
      </c>
      <c r="Z276" s="0" t="str">
        <f aca="false">IF(M276=1,P276,"")</f>
        <v/>
      </c>
    </row>
    <row r="277" customFormat="false" ht="15" hidden="false" customHeight="false" outlineLevel="0" collapsed="false">
      <c r="A277" s="0" t="s">
        <v>320</v>
      </c>
      <c r="B277" s="2" t="n">
        <v>45788</v>
      </c>
      <c r="C277" s="3" t="s">
        <v>27</v>
      </c>
      <c r="D277" s="3" t="s">
        <v>28</v>
      </c>
      <c r="E277" s="3" t="s">
        <v>35</v>
      </c>
      <c r="F277" s="3" t="s">
        <v>30</v>
      </c>
      <c r="G277" s="3" t="s">
        <v>36</v>
      </c>
      <c r="H277" s="3" t="s">
        <v>30</v>
      </c>
      <c r="I277" s="3" t="s">
        <v>32</v>
      </c>
      <c r="J277" s="0" t="n">
        <v>0</v>
      </c>
      <c r="K277" s="0" t="n">
        <v>0</v>
      </c>
      <c r="L277" s="0" t="n">
        <v>0</v>
      </c>
      <c r="M277" s="0" t="n">
        <v>0</v>
      </c>
      <c r="N277" s="0" t="str">
        <f aca="false">IF(OR(NOT(OR(J277=0,J277=1)),NOT(OR(K277=0,K277=1)),NOT(OR(L277=0,L277=1)),NOT(OR(M277=0,M277=1)),NOT(OR(U277=0,U277=1))),"Yes","No")</f>
        <v>No</v>
      </c>
      <c r="O277" s="0" t="str">
        <f aca="false">IF(OR(AND(M277=1,L277=0),AND(L277=1,K277=0),AND(K277=1,J277=0)),"Yes","No")</f>
        <v>No</v>
      </c>
      <c r="P277" s="0" t="n">
        <v>0</v>
      </c>
      <c r="Q277" s="0" t="str">
        <f aca="false">IF(OR(AND(M277=0,P277&gt;0),AND(M277=1,P277&lt;=0)),"Yes","No")</f>
        <v>No</v>
      </c>
      <c r="R277" s="0" t="str">
        <f aca="false">IF(AND(M277=1,P277&gt;calc_helpers!$B$5),"Yes","No")</f>
        <v>No</v>
      </c>
      <c r="S277" s="0" t="n">
        <v>0</v>
      </c>
      <c r="T277" s="0" t="str">
        <f aca="false">IF(S277&gt;0,"Yes","No")</f>
        <v>No</v>
      </c>
      <c r="U277" s="0" t="n">
        <v>0</v>
      </c>
      <c r="W277" s="0" t="str">
        <f aca="false">IF(OR(AND(M277=1,ISBLANK(V277)),AND(M277=0,NOT(ISBLANK(V277)))),"Yes","No")</f>
        <v>No</v>
      </c>
      <c r="X277" s="0" t="n">
        <v>65.5</v>
      </c>
      <c r="Y277" s="3" t="s">
        <v>30</v>
      </c>
      <c r="Z277" s="0" t="str">
        <f aca="false">IF(M277=1,P277,"")</f>
        <v/>
      </c>
    </row>
    <row r="278" customFormat="false" ht="15" hidden="false" customHeight="false" outlineLevel="0" collapsed="false">
      <c r="A278" s="0" t="s">
        <v>321</v>
      </c>
      <c r="B278" s="2" t="n">
        <v>45736</v>
      </c>
      <c r="C278" s="3" t="s">
        <v>27</v>
      </c>
      <c r="D278" s="3" t="s">
        <v>43</v>
      </c>
      <c r="E278" s="3" t="s">
        <v>35</v>
      </c>
      <c r="F278" s="3" t="s">
        <v>30</v>
      </c>
      <c r="G278" s="3" t="s">
        <v>36</v>
      </c>
      <c r="H278" s="3" t="s">
        <v>30</v>
      </c>
      <c r="I278" s="3" t="s">
        <v>32</v>
      </c>
      <c r="J278" s="0" t="n">
        <v>1</v>
      </c>
      <c r="K278" s="0" t="n">
        <v>1</v>
      </c>
      <c r="L278" s="0" t="n">
        <v>0</v>
      </c>
      <c r="M278" s="0" t="n">
        <v>0</v>
      </c>
      <c r="N278" s="0" t="str">
        <f aca="false">IF(OR(NOT(OR(J278=0,J278=1)),NOT(OR(K278=0,K278=1)),NOT(OR(L278=0,L278=1)),NOT(OR(M278=0,M278=1)),NOT(OR(U278=0,U278=1))),"Yes","No")</f>
        <v>No</v>
      </c>
      <c r="O278" s="0" t="str">
        <f aca="false">IF(OR(AND(M278=1,L278=0),AND(L278=1,K278=0),AND(K278=1,J278=0)),"Yes","No")</f>
        <v>No</v>
      </c>
      <c r="P278" s="0" t="n">
        <v>0</v>
      </c>
      <c r="Q278" s="0" t="str">
        <f aca="false">IF(OR(AND(M278=0,P278&gt;0),AND(M278=1,P278&lt;=0)),"Yes","No")</f>
        <v>No</v>
      </c>
      <c r="R278" s="0" t="str">
        <f aca="false">IF(AND(M278=1,P278&gt;calc_helpers!$B$5),"Yes","No")</f>
        <v>No</v>
      </c>
      <c r="S278" s="0" t="n">
        <v>0</v>
      </c>
      <c r="T278" s="0" t="str">
        <f aca="false">IF(S278&gt;0,"Yes","No")</f>
        <v>No</v>
      </c>
      <c r="U278" s="0" t="n">
        <v>0</v>
      </c>
      <c r="W278" s="0" t="str">
        <f aca="false">IF(OR(AND(M278=1,ISBLANK(V278)),AND(M278=0,NOT(ISBLANK(V278)))),"Yes","No")</f>
        <v>No</v>
      </c>
      <c r="X278" s="0" t="n">
        <v>49.6</v>
      </c>
      <c r="Y278" s="3" t="s">
        <v>30</v>
      </c>
      <c r="Z278" s="0" t="str">
        <f aca="false">IF(M278=1,P278,"")</f>
        <v/>
      </c>
    </row>
    <row r="279" customFormat="false" ht="15" hidden="false" customHeight="false" outlineLevel="0" collapsed="false">
      <c r="A279" s="0" t="s">
        <v>322</v>
      </c>
      <c r="B279" s="2" t="n">
        <v>45676</v>
      </c>
      <c r="C279" s="3" t="s">
        <v>27</v>
      </c>
      <c r="D279" s="3" t="s">
        <v>28</v>
      </c>
      <c r="E279" s="3" t="s">
        <v>35</v>
      </c>
      <c r="F279" s="3" t="s">
        <v>30</v>
      </c>
      <c r="G279" s="3" t="s">
        <v>31</v>
      </c>
      <c r="H279" s="3" t="s">
        <v>30</v>
      </c>
      <c r="I279" s="3" t="s">
        <v>37</v>
      </c>
      <c r="J279" s="0" t="n">
        <v>1</v>
      </c>
      <c r="K279" s="0" t="n">
        <v>1</v>
      </c>
      <c r="L279" s="0" t="n">
        <v>0</v>
      </c>
      <c r="M279" s="0" t="n">
        <v>0</v>
      </c>
      <c r="N279" s="0" t="str">
        <f aca="false">IF(OR(NOT(OR(J279=0,J279=1)),NOT(OR(K279=0,K279=1)),NOT(OR(L279=0,L279=1)),NOT(OR(M279=0,M279=1)),NOT(OR(U279=0,U279=1))),"Yes","No")</f>
        <v>No</v>
      </c>
      <c r="O279" s="0" t="str">
        <f aca="false">IF(OR(AND(M279=1,L279=0),AND(L279=1,K279=0),AND(K279=1,J279=0)),"Yes","No")</f>
        <v>No</v>
      </c>
      <c r="P279" s="0" t="n">
        <v>0</v>
      </c>
      <c r="Q279" s="0" t="str">
        <f aca="false">IF(OR(AND(M279=0,P279&gt;0),AND(M279=1,P279&lt;=0)),"Yes","No")</f>
        <v>No</v>
      </c>
      <c r="R279" s="0" t="str">
        <f aca="false">IF(AND(M279=1,P279&gt;calc_helpers!$B$5),"Yes","No")</f>
        <v>No</v>
      </c>
      <c r="S279" s="0" t="n">
        <v>0</v>
      </c>
      <c r="T279" s="0" t="str">
        <f aca="false">IF(S279&gt;0,"Yes","No")</f>
        <v>No</v>
      </c>
      <c r="U279" s="0" t="n">
        <v>0</v>
      </c>
      <c r="W279" s="0" t="str">
        <f aca="false">IF(OR(AND(M279=1,ISBLANK(V279)),AND(M279=0,NOT(ISBLANK(V279)))),"Yes","No")</f>
        <v>No</v>
      </c>
      <c r="X279" s="0" t="n">
        <v>74.5</v>
      </c>
      <c r="Y279" s="3" t="s">
        <v>30</v>
      </c>
      <c r="Z279" s="0" t="str">
        <f aca="false">IF(M279=1,P279,"")</f>
        <v/>
      </c>
    </row>
    <row r="280" customFormat="false" ht="15" hidden="false" customHeight="false" outlineLevel="0" collapsed="false">
      <c r="A280" s="0" t="s">
        <v>323</v>
      </c>
      <c r="B280" s="2" t="n">
        <v>45724</v>
      </c>
      <c r="C280" s="3" t="s">
        <v>27</v>
      </c>
      <c r="D280" s="3" t="s">
        <v>28</v>
      </c>
      <c r="E280" s="3" t="s">
        <v>45</v>
      </c>
      <c r="F280" s="3" t="s">
        <v>30</v>
      </c>
      <c r="G280" s="3" t="s">
        <v>40</v>
      </c>
      <c r="H280" s="3" t="s">
        <v>30</v>
      </c>
      <c r="I280" s="3" t="s">
        <v>41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str">
        <f aca="false">IF(OR(NOT(OR(J280=0,J280=1)),NOT(OR(K280=0,K280=1)),NOT(OR(L280=0,L280=1)),NOT(OR(M280=0,M280=1)),NOT(OR(U280=0,U280=1))),"Yes","No")</f>
        <v>No</v>
      </c>
      <c r="O280" s="0" t="str">
        <f aca="false">IF(OR(AND(M280=1,L280=0),AND(L280=1,K280=0),AND(K280=1,J280=0)),"Yes","No")</f>
        <v>No</v>
      </c>
      <c r="P280" s="0" t="n">
        <v>0</v>
      </c>
      <c r="Q280" s="0" t="str">
        <f aca="false">IF(OR(AND(M280=0,P280&gt;0),AND(M280=1,P280&lt;=0)),"Yes","No")</f>
        <v>No</v>
      </c>
      <c r="R280" s="0" t="str">
        <f aca="false">IF(AND(M280=1,P280&gt;calc_helpers!$B$5),"Yes","No")</f>
        <v>No</v>
      </c>
      <c r="S280" s="0" t="n">
        <v>1</v>
      </c>
      <c r="T280" s="0" t="str">
        <f aca="false">IF(S280&gt;0,"Yes","No")</f>
        <v>Yes</v>
      </c>
      <c r="U280" s="0" t="n">
        <v>0</v>
      </c>
      <c r="W280" s="0" t="str">
        <f aca="false">IF(OR(AND(M280=1,ISBLANK(V280)),AND(M280=0,NOT(ISBLANK(V280)))),"Yes","No")</f>
        <v>No</v>
      </c>
      <c r="X280" s="0" t="n">
        <v>46.9</v>
      </c>
      <c r="Y280" s="3" t="s">
        <v>30</v>
      </c>
      <c r="Z280" s="0" t="str">
        <f aca="false">IF(M280=1,P280,"")</f>
        <v/>
      </c>
    </row>
    <row r="281" customFormat="false" ht="15" hidden="false" customHeight="false" outlineLevel="0" collapsed="false">
      <c r="A281" s="0" t="s">
        <v>324</v>
      </c>
      <c r="B281" s="2" t="n">
        <v>45772</v>
      </c>
      <c r="C281" s="3" t="s">
        <v>27</v>
      </c>
      <c r="D281" s="3" t="s">
        <v>28</v>
      </c>
      <c r="E281" s="3" t="s">
        <v>35</v>
      </c>
      <c r="F281" s="3" t="s">
        <v>30</v>
      </c>
      <c r="G281" s="3" t="s">
        <v>36</v>
      </c>
      <c r="H281" s="3" t="s">
        <v>30</v>
      </c>
      <c r="I281" s="3" t="s">
        <v>37</v>
      </c>
      <c r="J281" s="0" t="n">
        <v>0</v>
      </c>
      <c r="K281" s="0" t="n">
        <v>0</v>
      </c>
      <c r="L281" s="0" t="n">
        <v>0</v>
      </c>
      <c r="M281" s="0" t="n">
        <v>0</v>
      </c>
      <c r="N281" s="0" t="str">
        <f aca="false">IF(OR(NOT(OR(J281=0,J281=1)),NOT(OR(K281=0,K281=1)),NOT(OR(L281=0,L281=1)),NOT(OR(M281=0,M281=1)),NOT(OR(U281=0,U281=1))),"Yes","No")</f>
        <v>No</v>
      </c>
      <c r="O281" s="0" t="str">
        <f aca="false">IF(OR(AND(M281=1,L281=0),AND(L281=1,K281=0),AND(K281=1,J281=0)),"Yes","No")</f>
        <v>No</v>
      </c>
      <c r="P281" s="0" t="n">
        <v>0</v>
      </c>
      <c r="Q281" s="0" t="str">
        <f aca="false">IF(OR(AND(M281=0,P281&gt;0),AND(M281=1,P281&lt;=0)),"Yes","No")</f>
        <v>No</v>
      </c>
      <c r="R281" s="0" t="str">
        <f aca="false">IF(AND(M281=1,P281&gt;calc_helpers!$B$5),"Yes","No")</f>
        <v>No</v>
      </c>
      <c r="S281" s="0" t="n">
        <v>0</v>
      </c>
      <c r="T281" s="0" t="str">
        <f aca="false">IF(S281&gt;0,"Yes","No")</f>
        <v>No</v>
      </c>
      <c r="U281" s="0" t="n">
        <v>0</v>
      </c>
      <c r="W281" s="0" t="str">
        <f aca="false">IF(OR(AND(M281=1,ISBLANK(V281)),AND(M281=0,NOT(ISBLANK(V281)))),"Yes","No")</f>
        <v>No</v>
      </c>
      <c r="X281" s="0" t="n">
        <v>87.1</v>
      </c>
      <c r="Y281" s="3" t="s">
        <v>30</v>
      </c>
      <c r="Z281" s="0" t="str">
        <f aca="false">IF(M281=1,P281,"")</f>
        <v/>
      </c>
    </row>
    <row r="282" customFormat="false" ht="15" hidden="false" customHeight="false" outlineLevel="0" collapsed="false">
      <c r="A282" s="0" t="s">
        <v>325</v>
      </c>
      <c r="B282" s="2" t="n">
        <v>45751</v>
      </c>
      <c r="C282" s="3" t="s">
        <v>27</v>
      </c>
      <c r="D282" s="3" t="s">
        <v>28</v>
      </c>
      <c r="E282" s="3" t="s">
        <v>29</v>
      </c>
      <c r="F282" s="3" t="s">
        <v>30</v>
      </c>
      <c r="G282" s="3" t="s">
        <v>36</v>
      </c>
      <c r="H282" s="3" t="s">
        <v>30</v>
      </c>
      <c r="I282" s="3" t="s">
        <v>37</v>
      </c>
      <c r="J282" s="0" t="n">
        <v>1</v>
      </c>
      <c r="K282" s="0" t="n">
        <v>0</v>
      </c>
      <c r="L282" s="0" t="n">
        <v>0</v>
      </c>
      <c r="M282" s="0" t="n">
        <v>0</v>
      </c>
      <c r="N282" s="0" t="str">
        <f aca="false">IF(OR(NOT(OR(J282=0,J282=1)),NOT(OR(K282=0,K282=1)),NOT(OR(L282=0,L282=1)),NOT(OR(M282=0,M282=1)),NOT(OR(U282=0,U282=1))),"Yes","No")</f>
        <v>No</v>
      </c>
      <c r="O282" s="0" t="str">
        <f aca="false">IF(OR(AND(M282=1,L282=0),AND(L282=1,K282=0),AND(K282=1,J282=0)),"Yes","No")</f>
        <v>No</v>
      </c>
      <c r="P282" s="0" t="n">
        <v>0</v>
      </c>
      <c r="Q282" s="0" t="str">
        <f aca="false">IF(OR(AND(M282=0,P282&gt;0),AND(M282=1,P282&lt;=0)),"Yes","No")</f>
        <v>No</v>
      </c>
      <c r="R282" s="0" t="str">
        <f aca="false">IF(AND(M282=1,P282&gt;calc_helpers!$B$5),"Yes","No")</f>
        <v>No</v>
      </c>
      <c r="S282" s="0" t="n">
        <v>0</v>
      </c>
      <c r="T282" s="0" t="str">
        <f aca="false">IF(S282&gt;0,"Yes","No")</f>
        <v>No</v>
      </c>
      <c r="U282" s="0" t="n">
        <v>0</v>
      </c>
      <c r="W282" s="0" t="str">
        <f aca="false">IF(OR(AND(M282=1,ISBLANK(V282)),AND(M282=0,NOT(ISBLANK(V282)))),"Yes","No")</f>
        <v>No</v>
      </c>
      <c r="X282" s="0" t="n">
        <v>56</v>
      </c>
      <c r="Y282" s="3" t="s">
        <v>30</v>
      </c>
      <c r="Z282" s="0" t="str">
        <f aca="false">IF(M282=1,P282,"")</f>
        <v/>
      </c>
    </row>
    <row r="283" customFormat="false" ht="15" hidden="false" customHeight="false" outlineLevel="0" collapsed="false">
      <c r="A283" s="0" t="s">
        <v>326</v>
      </c>
      <c r="B283" s="2" t="n">
        <v>45778</v>
      </c>
      <c r="C283" s="3" t="s">
        <v>27</v>
      </c>
      <c r="D283" s="3" t="s">
        <v>39</v>
      </c>
      <c r="E283" s="3" t="s">
        <v>35</v>
      </c>
      <c r="F283" s="3" t="s">
        <v>30</v>
      </c>
      <c r="G283" s="3" t="s">
        <v>40</v>
      </c>
      <c r="H283" s="3" t="s">
        <v>30</v>
      </c>
      <c r="I283" s="3" t="s">
        <v>41</v>
      </c>
      <c r="J283" s="0" t="n">
        <v>1</v>
      </c>
      <c r="K283" s="0" t="n">
        <v>0</v>
      </c>
      <c r="L283" s="0" t="n">
        <v>0</v>
      </c>
      <c r="M283" s="0" t="n">
        <v>0</v>
      </c>
      <c r="N283" s="0" t="str">
        <f aca="false">IF(OR(NOT(OR(J283=0,J283=1)),NOT(OR(K283=0,K283=1)),NOT(OR(L283=0,L283=1)),NOT(OR(M283=0,M283=1)),NOT(OR(U283=0,U283=1))),"Yes","No")</f>
        <v>No</v>
      </c>
      <c r="O283" s="0" t="str">
        <f aca="false">IF(OR(AND(M283=1,L283=0),AND(L283=1,K283=0),AND(K283=1,J283=0)),"Yes","No")</f>
        <v>No</v>
      </c>
      <c r="P283" s="0" t="n">
        <v>0</v>
      </c>
      <c r="Q283" s="0" t="str">
        <f aca="false">IF(OR(AND(M283=0,P283&gt;0),AND(M283=1,P283&lt;=0)),"Yes","No")</f>
        <v>No</v>
      </c>
      <c r="R283" s="0" t="str">
        <f aca="false">IF(AND(M283=1,P283&gt;calc_helpers!$B$5),"Yes","No")</f>
        <v>No</v>
      </c>
      <c r="S283" s="0" t="n">
        <v>1</v>
      </c>
      <c r="T283" s="0" t="str">
        <f aca="false">IF(S283&gt;0,"Yes","No")</f>
        <v>Yes</v>
      </c>
      <c r="U283" s="0" t="n">
        <v>0</v>
      </c>
      <c r="W283" s="0" t="str">
        <f aca="false">IF(OR(AND(M283=1,ISBLANK(V283)),AND(M283=0,NOT(ISBLANK(V283)))),"Yes","No")</f>
        <v>No</v>
      </c>
      <c r="X283" s="0" t="n">
        <v>61.7</v>
      </c>
      <c r="Y283" s="3" t="s">
        <v>30</v>
      </c>
      <c r="Z283" s="0" t="str">
        <f aca="false">IF(M283=1,P283,"")</f>
        <v/>
      </c>
    </row>
    <row r="284" customFormat="false" ht="15" hidden="false" customHeight="false" outlineLevel="0" collapsed="false">
      <c r="A284" s="0" t="s">
        <v>327</v>
      </c>
      <c r="B284" s="2" t="n">
        <v>45678</v>
      </c>
      <c r="C284" s="3" t="s">
        <v>27</v>
      </c>
      <c r="D284" s="3" t="s">
        <v>43</v>
      </c>
      <c r="E284" s="3" t="s">
        <v>35</v>
      </c>
      <c r="F284" s="3" t="s">
        <v>30</v>
      </c>
      <c r="G284" s="3" t="s">
        <v>52</v>
      </c>
      <c r="H284" s="3" t="s">
        <v>30</v>
      </c>
      <c r="I284" s="3" t="s">
        <v>37</v>
      </c>
      <c r="J284" s="0" t="n">
        <v>1</v>
      </c>
      <c r="K284" s="0" t="n">
        <v>0</v>
      </c>
      <c r="L284" s="0" t="n">
        <v>0</v>
      </c>
      <c r="M284" s="0" t="n">
        <v>0</v>
      </c>
      <c r="N284" s="0" t="str">
        <f aca="false">IF(OR(NOT(OR(J284=0,J284=1)),NOT(OR(K284=0,K284=1)),NOT(OR(L284=0,L284=1)),NOT(OR(M284=0,M284=1)),NOT(OR(U284=0,U284=1))),"Yes","No")</f>
        <v>No</v>
      </c>
      <c r="O284" s="0" t="str">
        <f aca="false">IF(OR(AND(M284=1,L284=0),AND(L284=1,K284=0),AND(K284=1,J284=0)),"Yes","No")</f>
        <v>No</v>
      </c>
      <c r="P284" s="0" t="n">
        <v>0</v>
      </c>
      <c r="Q284" s="0" t="str">
        <f aca="false">IF(OR(AND(M284=0,P284&gt;0),AND(M284=1,P284&lt;=0)),"Yes","No")</f>
        <v>No</v>
      </c>
      <c r="R284" s="0" t="str">
        <f aca="false">IF(AND(M284=1,P284&gt;calc_helpers!$B$5),"Yes","No")</f>
        <v>No</v>
      </c>
      <c r="S284" s="0" t="n">
        <v>1</v>
      </c>
      <c r="T284" s="0" t="str">
        <f aca="false">IF(S284&gt;0,"Yes","No")</f>
        <v>Yes</v>
      </c>
      <c r="U284" s="0" t="n">
        <v>0</v>
      </c>
      <c r="W284" s="0" t="str">
        <f aca="false">IF(OR(AND(M284=1,ISBLANK(V284)),AND(M284=0,NOT(ISBLANK(V284)))),"Yes","No")</f>
        <v>No</v>
      </c>
      <c r="X284" s="0" t="n">
        <v>70.5</v>
      </c>
      <c r="Y284" s="3" t="s">
        <v>30</v>
      </c>
      <c r="Z284" s="0" t="str">
        <f aca="false">IF(M284=1,P284,"")</f>
        <v/>
      </c>
    </row>
    <row r="285" customFormat="false" ht="15" hidden="false" customHeight="false" outlineLevel="0" collapsed="false">
      <c r="A285" s="0" t="s">
        <v>328</v>
      </c>
      <c r="B285" s="2" t="n">
        <v>45698</v>
      </c>
      <c r="C285" s="3" t="s">
        <v>27</v>
      </c>
      <c r="D285" s="3" t="s">
        <v>28</v>
      </c>
      <c r="E285" s="3" t="s">
        <v>29</v>
      </c>
      <c r="F285" s="3" t="s">
        <v>30</v>
      </c>
      <c r="G285" s="3" t="s">
        <v>50</v>
      </c>
      <c r="H285" s="3" t="s">
        <v>30</v>
      </c>
      <c r="I285" s="3" t="s">
        <v>32</v>
      </c>
      <c r="J285" s="0" t="n">
        <v>1</v>
      </c>
      <c r="K285" s="0" t="n">
        <v>0</v>
      </c>
      <c r="L285" s="0" t="n">
        <v>0</v>
      </c>
      <c r="M285" s="0" t="n">
        <v>0</v>
      </c>
      <c r="N285" s="0" t="str">
        <f aca="false">IF(OR(NOT(OR(J285=0,J285=1)),NOT(OR(K285=0,K285=1)),NOT(OR(L285=0,L285=1)),NOT(OR(M285=0,M285=1)),NOT(OR(U285=0,U285=1))),"Yes","No")</f>
        <v>No</v>
      </c>
      <c r="O285" s="0" t="str">
        <f aca="false">IF(OR(AND(M285=1,L285=0),AND(L285=1,K285=0),AND(K285=1,J285=0)),"Yes","No")</f>
        <v>No</v>
      </c>
      <c r="P285" s="0" t="n">
        <v>0</v>
      </c>
      <c r="Q285" s="0" t="str">
        <f aca="false">IF(OR(AND(M285=0,P285&gt;0),AND(M285=1,P285&lt;=0)),"Yes","No")</f>
        <v>No</v>
      </c>
      <c r="R285" s="0" t="str">
        <f aca="false">IF(AND(M285=1,P285&gt;calc_helpers!$B$5),"Yes","No")</f>
        <v>No</v>
      </c>
      <c r="S285" s="0" t="n">
        <v>0</v>
      </c>
      <c r="T285" s="0" t="str">
        <f aca="false">IF(S285&gt;0,"Yes","No")</f>
        <v>No</v>
      </c>
      <c r="U285" s="0" t="n">
        <v>0</v>
      </c>
      <c r="W285" s="0" t="str">
        <f aca="false">IF(OR(AND(M285=1,ISBLANK(V285)),AND(M285=0,NOT(ISBLANK(V285)))),"Yes","No")</f>
        <v>No</v>
      </c>
      <c r="X285" s="0" t="n">
        <v>33.4</v>
      </c>
      <c r="Y285" s="3" t="s">
        <v>30</v>
      </c>
      <c r="Z285" s="0" t="str">
        <f aca="false">IF(M285=1,P285,"")</f>
        <v/>
      </c>
    </row>
    <row r="286" customFormat="false" ht="15" hidden="false" customHeight="false" outlineLevel="0" collapsed="false">
      <c r="A286" s="0" t="s">
        <v>329</v>
      </c>
      <c r="B286" s="2" t="n">
        <v>45783</v>
      </c>
      <c r="C286" s="3" t="s">
        <v>27</v>
      </c>
      <c r="D286" s="3" t="s">
        <v>43</v>
      </c>
      <c r="E286" s="3" t="s">
        <v>29</v>
      </c>
      <c r="F286" s="3" t="s">
        <v>30</v>
      </c>
      <c r="G286" s="3" t="s">
        <v>36</v>
      </c>
      <c r="H286" s="3" t="s">
        <v>30</v>
      </c>
      <c r="I286" s="3" t="s">
        <v>37</v>
      </c>
      <c r="J286" s="0" t="n">
        <v>1</v>
      </c>
      <c r="K286" s="0" t="n">
        <v>0</v>
      </c>
      <c r="L286" s="0" t="n">
        <v>0</v>
      </c>
      <c r="M286" s="0" t="n">
        <v>0</v>
      </c>
      <c r="N286" s="0" t="str">
        <f aca="false">IF(OR(NOT(OR(J286=0,J286=1)),NOT(OR(K286=0,K286=1)),NOT(OR(L286=0,L286=1)),NOT(OR(M286=0,M286=1)),NOT(OR(U286=0,U286=1))),"Yes","No")</f>
        <v>No</v>
      </c>
      <c r="O286" s="0" t="str">
        <f aca="false">IF(OR(AND(M286=1,L286=0),AND(L286=1,K286=0),AND(K286=1,J286=0)),"Yes","No")</f>
        <v>No</v>
      </c>
      <c r="P286" s="0" t="n">
        <v>0</v>
      </c>
      <c r="Q286" s="0" t="str">
        <f aca="false">IF(OR(AND(M286=0,P286&gt;0),AND(M286=1,P286&lt;=0)),"Yes","No")</f>
        <v>No</v>
      </c>
      <c r="R286" s="0" t="str">
        <f aca="false">IF(AND(M286=1,P286&gt;calc_helpers!$B$5),"Yes","No")</f>
        <v>No</v>
      </c>
      <c r="S286" s="0" t="n">
        <v>0</v>
      </c>
      <c r="T286" s="0" t="str">
        <f aca="false">IF(S286&gt;0,"Yes","No")</f>
        <v>No</v>
      </c>
      <c r="U286" s="0" t="n">
        <v>0</v>
      </c>
      <c r="W286" s="0" t="str">
        <f aca="false">IF(OR(AND(M286=1,ISBLANK(V286)),AND(M286=0,NOT(ISBLANK(V286)))),"Yes","No")</f>
        <v>No</v>
      </c>
      <c r="X286" s="0" t="n">
        <v>57.5</v>
      </c>
      <c r="Y286" s="3" t="s">
        <v>30</v>
      </c>
      <c r="Z286" s="0" t="str">
        <f aca="false">IF(M286=1,P286,"")</f>
        <v/>
      </c>
    </row>
    <row r="287" customFormat="false" ht="15" hidden="false" customHeight="false" outlineLevel="0" collapsed="false">
      <c r="A287" s="0" t="s">
        <v>330</v>
      </c>
      <c r="B287" s="2" t="n">
        <v>45696</v>
      </c>
      <c r="C287" s="3" t="s">
        <v>27</v>
      </c>
      <c r="D287" s="3" t="s">
        <v>28</v>
      </c>
      <c r="E287" s="3" t="s">
        <v>29</v>
      </c>
      <c r="F287" s="3" t="s">
        <v>30</v>
      </c>
      <c r="G287" s="3" t="s">
        <v>40</v>
      </c>
      <c r="H287" s="3" t="s">
        <v>30</v>
      </c>
      <c r="I287" s="3" t="s">
        <v>32</v>
      </c>
      <c r="J287" s="0" t="n">
        <v>1</v>
      </c>
      <c r="K287" s="0" t="n">
        <v>1</v>
      </c>
      <c r="L287" s="0" t="n">
        <v>0</v>
      </c>
      <c r="M287" s="0" t="n">
        <v>0</v>
      </c>
      <c r="N287" s="0" t="str">
        <f aca="false">IF(OR(NOT(OR(J287=0,J287=1)),NOT(OR(K287=0,K287=1)),NOT(OR(L287=0,L287=1)),NOT(OR(M287=0,M287=1)),NOT(OR(U287=0,U287=1))),"Yes","No")</f>
        <v>No</v>
      </c>
      <c r="O287" s="0" t="str">
        <f aca="false">IF(OR(AND(M287=1,L287=0),AND(L287=1,K287=0),AND(K287=1,J287=0)),"Yes","No")</f>
        <v>No</v>
      </c>
      <c r="P287" s="0" t="n">
        <v>0</v>
      </c>
      <c r="Q287" s="0" t="str">
        <f aca="false">IF(OR(AND(M287=0,P287&gt;0),AND(M287=1,P287&lt;=0)),"Yes","No")</f>
        <v>No</v>
      </c>
      <c r="R287" s="0" t="str">
        <f aca="false">IF(AND(M287=1,P287&gt;calc_helpers!$B$5),"Yes","No")</f>
        <v>No</v>
      </c>
      <c r="S287" s="0" t="n">
        <v>0</v>
      </c>
      <c r="T287" s="0" t="str">
        <f aca="false">IF(S287&gt;0,"Yes","No")</f>
        <v>No</v>
      </c>
      <c r="U287" s="0" t="n">
        <v>0</v>
      </c>
      <c r="W287" s="0" t="str">
        <f aca="false">IF(OR(AND(M287=1,ISBLANK(V287)),AND(M287=0,NOT(ISBLANK(V287)))),"Yes","No")</f>
        <v>No</v>
      </c>
      <c r="X287" s="0" t="n">
        <v>85.7</v>
      </c>
      <c r="Y287" s="3" t="s">
        <v>30</v>
      </c>
      <c r="Z287" s="0" t="str">
        <f aca="false">IF(M287=1,P287,"")</f>
        <v/>
      </c>
    </row>
    <row r="288" customFormat="false" ht="15" hidden="false" customHeight="false" outlineLevel="0" collapsed="false">
      <c r="A288" s="0" t="s">
        <v>331</v>
      </c>
      <c r="B288" s="2" t="n">
        <v>45808</v>
      </c>
      <c r="C288" s="3" t="s">
        <v>27</v>
      </c>
      <c r="D288" s="3" t="s">
        <v>39</v>
      </c>
      <c r="E288" s="3" t="s">
        <v>35</v>
      </c>
      <c r="F288" s="3" t="s">
        <v>30</v>
      </c>
      <c r="G288" s="3" t="s">
        <v>52</v>
      </c>
      <c r="H288" s="3" t="s">
        <v>30</v>
      </c>
      <c r="I288" s="3" t="s">
        <v>37</v>
      </c>
      <c r="J288" s="0" t="n">
        <v>1</v>
      </c>
      <c r="K288" s="0" t="n">
        <v>0</v>
      </c>
      <c r="L288" s="0" t="n">
        <v>0</v>
      </c>
      <c r="M288" s="0" t="n">
        <v>0</v>
      </c>
      <c r="N288" s="0" t="str">
        <f aca="false">IF(OR(NOT(OR(J288=0,J288=1)),NOT(OR(K288=0,K288=1)),NOT(OR(L288=0,L288=1)),NOT(OR(M288=0,M288=1)),NOT(OR(U288=0,U288=1))),"Yes","No")</f>
        <v>No</v>
      </c>
      <c r="O288" s="0" t="str">
        <f aca="false">IF(OR(AND(M288=1,L288=0),AND(L288=1,K288=0),AND(K288=1,J288=0)),"Yes","No")</f>
        <v>No</v>
      </c>
      <c r="P288" s="0" t="n">
        <v>0</v>
      </c>
      <c r="Q288" s="0" t="str">
        <f aca="false">IF(OR(AND(M288=0,P288&gt;0),AND(M288=1,P288&lt;=0)),"Yes","No")</f>
        <v>No</v>
      </c>
      <c r="R288" s="0" t="str">
        <f aca="false">IF(AND(M288=1,P288&gt;calc_helpers!$B$5),"Yes","No")</f>
        <v>No</v>
      </c>
      <c r="S288" s="0" t="n">
        <v>0</v>
      </c>
      <c r="T288" s="0" t="str">
        <f aca="false">IF(S288&gt;0,"Yes","No")</f>
        <v>No</v>
      </c>
      <c r="U288" s="0" t="n">
        <v>0</v>
      </c>
      <c r="W288" s="0" t="str">
        <f aca="false">IF(OR(AND(M288=1,ISBLANK(V288)),AND(M288=0,NOT(ISBLANK(V288)))),"Yes","No")</f>
        <v>No</v>
      </c>
      <c r="X288" s="0" t="n">
        <v>41.9</v>
      </c>
      <c r="Y288" s="3" t="s">
        <v>30</v>
      </c>
      <c r="Z288" s="0" t="str">
        <f aca="false">IF(M288=1,P288,"")</f>
        <v/>
      </c>
    </row>
    <row r="289" customFormat="false" ht="15" hidden="false" customHeight="false" outlineLevel="0" collapsed="false">
      <c r="A289" s="0" t="s">
        <v>332</v>
      </c>
      <c r="B289" s="2" t="n">
        <v>45695</v>
      </c>
      <c r="C289" s="3" t="s">
        <v>27</v>
      </c>
      <c r="D289" s="3" t="s">
        <v>34</v>
      </c>
      <c r="E289" s="3" t="s">
        <v>35</v>
      </c>
      <c r="F289" s="3" t="s">
        <v>30</v>
      </c>
      <c r="G289" s="3" t="s">
        <v>31</v>
      </c>
      <c r="H289" s="3" t="s">
        <v>30</v>
      </c>
      <c r="I289" s="3" t="s">
        <v>32</v>
      </c>
      <c r="J289" s="0" t="n">
        <v>1</v>
      </c>
      <c r="K289" s="0" t="n">
        <v>0</v>
      </c>
      <c r="L289" s="0" t="n">
        <v>0</v>
      </c>
      <c r="M289" s="0" t="n">
        <v>0</v>
      </c>
      <c r="N289" s="0" t="str">
        <f aca="false">IF(OR(NOT(OR(J289=0,J289=1)),NOT(OR(K289=0,K289=1)),NOT(OR(L289=0,L289=1)),NOT(OR(M289=0,M289=1)),NOT(OR(U289=0,U289=1))),"Yes","No")</f>
        <v>No</v>
      </c>
      <c r="O289" s="0" t="str">
        <f aca="false">IF(OR(AND(M289=1,L289=0),AND(L289=1,K289=0),AND(K289=1,J289=0)),"Yes","No")</f>
        <v>No</v>
      </c>
      <c r="P289" s="0" t="n">
        <v>0</v>
      </c>
      <c r="Q289" s="0" t="str">
        <f aca="false">IF(OR(AND(M289=0,P289&gt;0),AND(M289=1,P289&lt;=0)),"Yes","No")</f>
        <v>No</v>
      </c>
      <c r="R289" s="0" t="str">
        <f aca="false">IF(AND(M289=1,P289&gt;calc_helpers!$B$5),"Yes","No")</f>
        <v>No</v>
      </c>
      <c r="S289" s="0" t="n">
        <v>0</v>
      </c>
      <c r="T289" s="0" t="str">
        <f aca="false">IF(S289&gt;0,"Yes","No")</f>
        <v>No</v>
      </c>
      <c r="U289" s="0" t="n">
        <v>0</v>
      </c>
      <c r="W289" s="0" t="str">
        <f aca="false">IF(OR(AND(M289=1,ISBLANK(V289)),AND(M289=0,NOT(ISBLANK(V289)))),"Yes","No")</f>
        <v>No</v>
      </c>
      <c r="X289" s="0" t="n">
        <v>70.2</v>
      </c>
      <c r="Y289" s="3" t="s">
        <v>30</v>
      </c>
      <c r="Z289" s="0" t="str">
        <f aca="false">IF(M289=1,P289,"")</f>
        <v/>
      </c>
    </row>
    <row r="290" customFormat="false" ht="15" hidden="false" customHeight="false" outlineLevel="0" collapsed="false">
      <c r="A290" s="0" t="s">
        <v>333</v>
      </c>
      <c r="B290" s="2" t="n">
        <v>45698</v>
      </c>
      <c r="C290" s="3" t="s">
        <v>27</v>
      </c>
      <c r="D290" s="3" t="s">
        <v>28</v>
      </c>
      <c r="E290" s="3" t="s">
        <v>35</v>
      </c>
      <c r="F290" s="3" t="s">
        <v>30</v>
      </c>
      <c r="G290" s="3" t="s">
        <v>52</v>
      </c>
      <c r="H290" s="3" t="s">
        <v>30</v>
      </c>
      <c r="I290" s="3" t="s">
        <v>37</v>
      </c>
      <c r="J290" s="0" t="n">
        <v>1</v>
      </c>
      <c r="K290" s="0" t="n">
        <v>0</v>
      </c>
      <c r="L290" s="0" t="n">
        <v>0</v>
      </c>
      <c r="M290" s="0" t="n">
        <v>0</v>
      </c>
      <c r="N290" s="0" t="str">
        <f aca="false">IF(OR(NOT(OR(J290=0,J290=1)),NOT(OR(K290=0,K290=1)),NOT(OR(L290=0,L290=1)),NOT(OR(M290=0,M290=1)),NOT(OR(U290=0,U290=1))),"Yes","No")</f>
        <v>No</v>
      </c>
      <c r="O290" s="0" t="str">
        <f aca="false">IF(OR(AND(M290=1,L290=0),AND(L290=1,K290=0),AND(K290=1,J290=0)),"Yes","No")</f>
        <v>No</v>
      </c>
      <c r="P290" s="0" t="n">
        <v>0</v>
      </c>
      <c r="Q290" s="0" t="str">
        <f aca="false">IF(OR(AND(M290=0,P290&gt;0),AND(M290=1,P290&lt;=0)),"Yes","No")</f>
        <v>No</v>
      </c>
      <c r="R290" s="0" t="str">
        <f aca="false">IF(AND(M290=1,P290&gt;calc_helpers!$B$5),"Yes","No")</f>
        <v>No</v>
      </c>
      <c r="S290" s="0" t="n">
        <v>0</v>
      </c>
      <c r="T290" s="0" t="str">
        <f aca="false">IF(S290&gt;0,"Yes","No")</f>
        <v>No</v>
      </c>
      <c r="U290" s="0" t="n">
        <v>0</v>
      </c>
      <c r="W290" s="0" t="str">
        <f aca="false">IF(OR(AND(M290=1,ISBLANK(V290)),AND(M290=0,NOT(ISBLANK(V290)))),"Yes","No")</f>
        <v>No</v>
      </c>
      <c r="X290" s="0" t="n">
        <v>42.6</v>
      </c>
      <c r="Y290" s="3" t="s">
        <v>30</v>
      </c>
      <c r="Z290" s="0" t="str">
        <f aca="false">IF(M290=1,P290,"")</f>
        <v/>
      </c>
    </row>
    <row r="291" customFormat="false" ht="15" hidden="false" customHeight="false" outlineLevel="0" collapsed="false">
      <c r="A291" s="0" t="s">
        <v>334</v>
      </c>
      <c r="B291" s="2" t="n">
        <v>45688</v>
      </c>
      <c r="C291" s="3" t="s">
        <v>27</v>
      </c>
      <c r="D291" s="3" t="s">
        <v>34</v>
      </c>
      <c r="E291" s="3" t="s">
        <v>35</v>
      </c>
      <c r="F291" s="3" t="s">
        <v>30</v>
      </c>
      <c r="G291" s="3" t="s">
        <v>52</v>
      </c>
      <c r="H291" s="3" t="s">
        <v>30</v>
      </c>
      <c r="I291" s="3" t="s">
        <v>32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str">
        <f aca="false">IF(OR(NOT(OR(J291=0,J291=1)),NOT(OR(K291=0,K291=1)),NOT(OR(L291=0,L291=1)),NOT(OR(M291=0,M291=1)),NOT(OR(U291=0,U291=1))),"Yes","No")</f>
        <v>No</v>
      </c>
      <c r="O291" s="0" t="str">
        <f aca="false">IF(OR(AND(M291=1,L291=0),AND(L291=1,K291=0),AND(K291=1,J291=0)),"Yes","No")</f>
        <v>No</v>
      </c>
      <c r="P291" s="0" t="n">
        <v>0</v>
      </c>
      <c r="Q291" s="0" t="str">
        <f aca="false">IF(OR(AND(M291=0,P291&gt;0),AND(M291=1,P291&lt;=0)),"Yes","No")</f>
        <v>No</v>
      </c>
      <c r="R291" s="0" t="str">
        <f aca="false">IF(AND(M291=1,P291&gt;calc_helpers!$B$5),"Yes","No")</f>
        <v>No</v>
      </c>
      <c r="S291" s="0" t="n">
        <v>2</v>
      </c>
      <c r="T291" s="0" t="str">
        <f aca="false">IF(S291&gt;0,"Yes","No")</f>
        <v>Yes</v>
      </c>
      <c r="U291" s="0" t="n">
        <v>0</v>
      </c>
      <c r="W291" s="0" t="str">
        <f aca="false">IF(OR(AND(M291=1,ISBLANK(V291)),AND(M291=0,NOT(ISBLANK(V291)))),"Yes","No")</f>
        <v>No</v>
      </c>
      <c r="X291" s="0" t="n">
        <v>30.4</v>
      </c>
      <c r="Y291" s="3" t="s">
        <v>30</v>
      </c>
      <c r="Z291" s="0" t="str">
        <f aca="false">IF(M291=1,P291,"")</f>
        <v/>
      </c>
    </row>
    <row r="292" customFormat="false" ht="15" hidden="false" customHeight="false" outlineLevel="0" collapsed="false">
      <c r="A292" s="0" t="s">
        <v>335</v>
      </c>
      <c r="B292" s="2" t="n">
        <v>45732</v>
      </c>
      <c r="C292" s="3" t="s">
        <v>27</v>
      </c>
      <c r="D292" s="3" t="s">
        <v>39</v>
      </c>
      <c r="E292" s="3" t="s">
        <v>35</v>
      </c>
      <c r="F292" s="3" t="s">
        <v>30</v>
      </c>
      <c r="G292" s="3" t="s">
        <v>40</v>
      </c>
      <c r="H292" s="3" t="s">
        <v>30</v>
      </c>
      <c r="I292" s="3" t="s">
        <v>32</v>
      </c>
      <c r="J292" s="0" t="n">
        <v>1</v>
      </c>
      <c r="K292" s="0" t="n">
        <v>0</v>
      </c>
      <c r="L292" s="0" t="n">
        <v>0</v>
      </c>
      <c r="M292" s="0" t="n">
        <v>0</v>
      </c>
      <c r="N292" s="0" t="str">
        <f aca="false">IF(OR(NOT(OR(J292=0,J292=1)),NOT(OR(K292=0,K292=1)),NOT(OR(L292=0,L292=1)),NOT(OR(M292=0,M292=1)),NOT(OR(U292=0,U292=1))),"Yes","No")</f>
        <v>No</v>
      </c>
      <c r="O292" s="0" t="str">
        <f aca="false">IF(OR(AND(M292=1,L292=0),AND(L292=1,K292=0),AND(K292=1,J292=0)),"Yes","No")</f>
        <v>No</v>
      </c>
      <c r="P292" s="0" t="n">
        <v>0</v>
      </c>
      <c r="Q292" s="0" t="str">
        <f aca="false">IF(OR(AND(M292=0,P292&gt;0),AND(M292=1,P292&lt;=0)),"Yes","No")</f>
        <v>No</v>
      </c>
      <c r="R292" s="0" t="str">
        <f aca="false">IF(AND(M292=1,P292&gt;calc_helpers!$B$5),"Yes","No")</f>
        <v>No</v>
      </c>
      <c r="S292" s="0" t="n">
        <v>0</v>
      </c>
      <c r="T292" s="0" t="str">
        <f aca="false">IF(S292&gt;0,"Yes","No")</f>
        <v>No</v>
      </c>
      <c r="U292" s="0" t="n">
        <v>0</v>
      </c>
      <c r="W292" s="0" t="str">
        <f aca="false">IF(OR(AND(M292=1,ISBLANK(V292)),AND(M292=0,NOT(ISBLANK(V292)))),"Yes","No")</f>
        <v>No</v>
      </c>
      <c r="X292" s="0" t="n">
        <v>63.7</v>
      </c>
      <c r="Y292" s="3" t="s">
        <v>30</v>
      </c>
      <c r="Z292" s="0" t="str">
        <f aca="false">IF(M292=1,P292,"")</f>
        <v/>
      </c>
    </row>
    <row r="293" customFormat="false" ht="15" hidden="false" customHeight="false" outlineLevel="0" collapsed="false">
      <c r="A293" s="0" t="s">
        <v>336</v>
      </c>
      <c r="B293" s="2" t="n">
        <v>45771</v>
      </c>
      <c r="C293" s="3" t="s">
        <v>27</v>
      </c>
      <c r="D293" s="3" t="s">
        <v>43</v>
      </c>
      <c r="E293" s="3" t="s">
        <v>35</v>
      </c>
      <c r="F293" s="3" t="s">
        <v>30</v>
      </c>
      <c r="G293" s="3" t="s">
        <v>52</v>
      </c>
      <c r="H293" s="3" t="s">
        <v>30</v>
      </c>
      <c r="I293" s="3" t="s">
        <v>32</v>
      </c>
      <c r="J293" s="0" t="n">
        <v>0</v>
      </c>
      <c r="K293" s="0" t="n">
        <v>0</v>
      </c>
      <c r="L293" s="0" t="n">
        <v>0</v>
      </c>
      <c r="M293" s="0" t="n">
        <v>0</v>
      </c>
      <c r="N293" s="0" t="str">
        <f aca="false">IF(OR(NOT(OR(J293=0,J293=1)),NOT(OR(K293=0,K293=1)),NOT(OR(L293=0,L293=1)),NOT(OR(M293=0,M293=1)),NOT(OR(U293=0,U293=1))),"Yes","No")</f>
        <v>No</v>
      </c>
      <c r="O293" s="0" t="str">
        <f aca="false">IF(OR(AND(M293=1,L293=0),AND(L293=1,K293=0),AND(K293=1,J293=0)),"Yes","No")</f>
        <v>No</v>
      </c>
      <c r="P293" s="0" t="n">
        <v>0</v>
      </c>
      <c r="Q293" s="0" t="str">
        <f aca="false">IF(OR(AND(M293=0,P293&gt;0),AND(M293=1,P293&lt;=0)),"Yes","No")</f>
        <v>No</v>
      </c>
      <c r="R293" s="0" t="str">
        <f aca="false">IF(AND(M293=1,P293&gt;calc_helpers!$B$5),"Yes","No")</f>
        <v>No</v>
      </c>
      <c r="S293" s="0" t="n">
        <v>0</v>
      </c>
      <c r="T293" s="0" t="str">
        <f aca="false">IF(S293&gt;0,"Yes","No")</f>
        <v>No</v>
      </c>
      <c r="U293" s="0" t="n">
        <v>0</v>
      </c>
      <c r="W293" s="0" t="str">
        <f aca="false">IF(OR(AND(M293=1,ISBLANK(V293)),AND(M293=0,NOT(ISBLANK(V293)))),"Yes","No")</f>
        <v>No</v>
      </c>
      <c r="X293" s="0" t="n">
        <v>42.7</v>
      </c>
      <c r="Y293" s="3" t="s">
        <v>30</v>
      </c>
      <c r="Z293" s="0" t="str">
        <f aca="false">IF(M293=1,P293,"")</f>
        <v/>
      </c>
    </row>
    <row r="294" customFormat="false" ht="15" hidden="false" customHeight="false" outlineLevel="0" collapsed="false">
      <c r="A294" s="0" t="s">
        <v>337</v>
      </c>
      <c r="B294" s="2" t="n">
        <v>45685</v>
      </c>
      <c r="C294" s="3" t="s">
        <v>27</v>
      </c>
      <c r="D294" s="3" t="s">
        <v>28</v>
      </c>
      <c r="E294" s="3" t="s">
        <v>35</v>
      </c>
      <c r="F294" s="3" t="s">
        <v>30</v>
      </c>
      <c r="G294" s="3" t="s">
        <v>36</v>
      </c>
      <c r="H294" s="3" t="s">
        <v>30</v>
      </c>
      <c r="I294" s="3" t="s">
        <v>37</v>
      </c>
      <c r="J294" s="0" t="n">
        <v>0</v>
      </c>
      <c r="K294" s="0" t="n">
        <v>0</v>
      </c>
      <c r="L294" s="0" t="n">
        <v>0</v>
      </c>
      <c r="M294" s="0" t="n">
        <v>0</v>
      </c>
      <c r="N294" s="0" t="str">
        <f aca="false">IF(OR(NOT(OR(J294=0,J294=1)),NOT(OR(K294=0,K294=1)),NOT(OR(L294=0,L294=1)),NOT(OR(M294=0,M294=1)),NOT(OR(U294=0,U294=1))),"Yes","No")</f>
        <v>No</v>
      </c>
      <c r="O294" s="0" t="str">
        <f aca="false">IF(OR(AND(M294=1,L294=0),AND(L294=1,K294=0),AND(K294=1,J294=0)),"Yes","No")</f>
        <v>No</v>
      </c>
      <c r="P294" s="0" t="n">
        <v>0</v>
      </c>
      <c r="Q294" s="0" t="str">
        <f aca="false">IF(OR(AND(M294=0,P294&gt;0),AND(M294=1,P294&lt;=0)),"Yes","No")</f>
        <v>No</v>
      </c>
      <c r="R294" s="0" t="str">
        <f aca="false">IF(AND(M294=1,P294&gt;calc_helpers!$B$5),"Yes","No")</f>
        <v>No</v>
      </c>
      <c r="S294" s="0" t="n">
        <v>0</v>
      </c>
      <c r="T294" s="0" t="str">
        <f aca="false">IF(S294&gt;0,"Yes","No")</f>
        <v>No</v>
      </c>
      <c r="U294" s="0" t="n">
        <v>0</v>
      </c>
      <c r="W294" s="0" t="str">
        <f aca="false">IF(OR(AND(M294=1,ISBLANK(V294)),AND(M294=0,NOT(ISBLANK(V294)))),"Yes","No")</f>
        <v>No</v>
      </c>
      <c r="X294" s="0" t="n">
        <v>74.3</v>
      </c>
      <c r="Y294" s="3" t="s">
        <v>30</v>
      </c>
      <c r="Z294" s="0" t="str">
        <f aca="false">IF(M294=1,P294,"")</f>
        <v/>
      </c>
    </row>
    <row r="295" customFormat="false" ht="15" hidden="false" customHeight="false" outlineLevel="0" collapsed="false">
      <c r="A295" s="0" t="s">
        <v>338</v>
      </c>
      <c r="B295" s="2" t="n">
        <v>45704</v>
      </c>
      <c r="C295" s="3" t="s">
        <v>27</v>
      </c>
      <c r="D295" s="3" t="s">
        <v>34</v>
      </c>
      <c r="E295" s="3" t="s">
        <v>29</v>
      </c>
      <c r="F295" s="3" t="s">
        <v>30</v>
      </c>
      <c r="G295" s="3" t="s">
        <v>31</v>
      </c>
      <c r="H295" s="3" t="s">
        <v>30</v>
      </c>
      <c r="I295" s="3" t="s">
        <v>37</v>
      </c>
      <c r="J295" s="0" t="n">
        <v>1</v>
      </c>
      <c r="K295" s="0" t="n">
        <v>0</v>
      </c>
      <c r="L295" s="0" t="n">
        <v>0</v>
      </c>
      <c r="M295" s="0" t="n">
        <v>0</v>
      </c>
      <c r="N295" s="0" t="str">
        <f aca="false">IF(OR(NOT(OR(J295=0,J295=1)),NOT(OR(K295=0,K295=1)),NOT(OR(L295=0,L295=1)),NOT(OR(M295=0,M295=1)),NOT(OR(U295=0,U295=1))),"Yes","No")</f>
        <v>No</v>
      </c>
      <c r="O295" s="0" t="str">
        <f aca="false">IF(OR(AND(M295=1,L295=0),AND(L295=1,K295=0),AND(K295=1,J295=0)),"Yes","No")</f>
        <v>No</v>
      </c>
      <c r="P295" s="0" t="n">
        <v>0</v>
      </c>
      <c r="Q295" s="0" t="str">
        <f aca="false">IF(OR(AND(M295=0,P295&gt;0),AND(M295=1,P295&lt;=0)),"Yes","No")</f>
        <v>No</v>
      </c>
      <c r="R295" s="0" t="str">
        <f aca="false">IF(AND(M295=1,P295&gt;calc_helpers!$B$5),"Yes","No")</f>
        <v>No</v>
      </c>
      <c r="S295" s="0" t="n">
        <v>0</v>
      </c>
      <c r="T295" s="0" t="str">
        <f aca="false">IF(S295&gt;0,"Yes","No")</f>
        <v>No</v>
      </c>
      <c r="U295" s="0" t="n">
        <v>0</v>
      </c>
      <c r="W295" s="0" t="str">
        <f aca="false">IF(OR(AND(M295=1,ISBLANK(V295)),AND(M295=0,NOT(ISBLANK(V295)))),"Yes","No")</f>
        <v>No</v>
      </c>
      <c r="X295" s="0" t="n">
        <v>40.6</v>
      </c>
      <c r="Y295" s="3" t="s">
        <v>30</v>
      </c>
      <c r="Z295" s="0" t="str">
        <f aca="false">IF(M295=1,P295,"")</f>
        <v/>
      </c>
    </row>
    <row r="296" customFormat="false" ht="15" hidden="false" customHeight="false" outlineLevel="0" collapsed="false">
      <c r="A296" s="0" t="s">
        <v>339</v>
      </c>
      <c r="B296" s="2" t="n">
        <v>45739</v>
      </c>
      <c r="C296" s="3" t="s">
        <v>27</v>
      </c>
      <c r="D296" s="3" t="s">
        <v>39</v>
      </c>
      <c r="E296" s="3" t="s">
        <v>35</v>
      </c>
      <c r="F296" s="3" t="s">
        <v>30</v>
      </c>
      <c r="G296" s="3" t="s">
        <v>36</v>
      </c>
      <c r="H296" s="3" t="s">
        <v>30</v>
      </c>
      <c r="I296" s="3" t="s">
        <v>41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str">
        <f aca="false">IF(OR(NOT(OR(J296=0,J296=1)),NOT(OR(K296=0,K296=1)),NOT(OR(L296=0,L296=1)),NOT(OR(M296=0,M296=1)),NOT(OR(U296=0,U296=1))),"Yes","No")</f>
        <v>No</v>
      </c>
      <c r="O296" s="0" t="str">
        <f aca="false">IF(OR(AND(M296=1,L296=0),AND(L296=1,K296=0),AND(K296=1,J296=0)),"Yes","No")</f>
        <v>No</v>
      </c>
      <c r="P296" s="0" t="n">
        <v>0</v>
      </c>
      <c r="Q296" s="0" t="str">
        <f aca="false">IF(OR(AND(M296=0,P296&gt;0),AND(M296=1,P296&lt;=0)),"Yes","No")</f>
        <v>No</v>
      </c>
      <c r="R296" s="0" t="str">
        <f aca="false">IF(AND(M296=1,P296&gt;calc_helpers!$B$5),"Yes","No")</f>
        <v>No</v>
      </c>
      <c r="S296" s="0" t="n">
        <v>0</v>
      </c>
      <c r="T296" s="0" t="str">
        <f aca="false">IF(S296&gt;0,"Yes","No")</f>
        <v>No</v>
      </c>
      <c r="U296" s="0" t="n">
        <v>0</v>
      </c>
      <c r="W296" s="0" t="str">
        <f aca="false">IF(OR(AND(M296=1,ISBLANK(V296)),AND(M296=0,NOT(ISBLANK(V296)))),"Yes","No")</f>
        <v>No</v>
      </c>
      <c r="X296" s="0" t="n">
        <v>67</v>
      </c>
      <c r="Y296" s="3" t="s">
        <v>30</v>
      </c>
      <c r="Z296" s="0" t="str">
        <f aca="false">IF(M296=1,P296,"")</f>
        <v/>
      </c>
    </row>
    <row r="297" customFormat="false" ht="15" hidden="false" customHeight="false" outlineLevel="0" collapsed="false">
      <c r="A297" s="0" t="s">
        <v>340</v>
      </c>
      <c r="B297" s="2" t="n">
        <v>45808</v>
      </c>
      <c r="C297" s="3" t="s">
        <v>27</v>
      </c>
      <c r="D297" s="3" t="s">
        <v>39</v>
      </c>
      <c r="E297" s="3" t="s">
        <v>35</v>
      </c>
      <c r="F297" s="3" t="s">
        <v>30</v>
      </c>
      <c r="G297" s="3" t="s">
        <v>40</v>
      </c>
      <c r="H297" s="3" t="s">
        <v>30</v>
      </c>
      <c r="I297" s="3" t="s">
        <v>41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str">
        <f aca="false">IF(OR(NOT(OR(J297=0,J297=1)),NOT(OR(K297=0,K297=1)),NOT(OR(L297=0,L297=1)),NOT(OR(M297=0,M297=1)),NOT(OR(U297=0,U297=1))),"Yes","No")</f>
        <v>No</v>
      </c>
      <c r="O297" s="0" t="str">
        <f aca="false">IF(OR(AND(M297=1,L297=0),AND(L297=1,K297=0),AND(K297=1,J297=0)),"Yes","No")</f>
        <v>No</v>
      </c>
      <c r="P297" s="0" t="n">
        <v>0</v>
      </c>
      <c r="Q297" s="0" t="str">
        <f aca="false">IF(OR(AND(M297=0,P297&gt;0),AND(M297=1,P297&lt;=0)),"Yes","No")</f>
        <v>No</v>
      </c>
      <c r="R297" s="0" t="str">
        <f aca="false">IF(AND(M297=1,P297&gt;calc_helpers!$B$5),"Yes","No")</f>
        <v>No</v>
      </c>
      <c r="S297" s="0" t="n">
        <v>0</v>
      </c>
      <c r="T297" s="0" t="str">
        <f aca="false">IF(S297&gt;0,"Yes","No")</f>
        <v>No</v>
      </c>
      <c r="U297" s="0" t="n">
        <v>0</v>
      </c>
      <c r="W297" s="0" t="str">
        <f aca="false">IF(OR(AND(M297=1,ISBLANK(V297)),AND(M297=0,NOT(ISBLANK(V297)))),"Yes","No")</f>
        <v>No</v>
      </c>
      <c r="X297" s="0" t="n">
        <v>51</v>
      </c>
      <c r="Y297" s="3" t="s">
        <v>30</v>
      </c>
      <c r="Z297" s="0" t="str">
        <f aca="false">IF(M297=1,P297,"")</f>
        <v/>
      </c>
    </row>
    <row r="298" customFormat="false" ht="15" hidden="false" customHeight="false" outlineLevel="0" collapsed="false">
      <c r="A298" s="0" t="s">
        <v>341</v>
      </c>
      <c r="B298" s="2" t="n">
        <v>45760</v>
      </c>
      <c r="C298" s="3" t="s">
        <v>27</v>
      </c>
      <c r="D298" s="3" t="s">
        <v>34</v>
      </c>
      <c r="E298" s="3" t="s">
        <v>35</v>
      </c>
      <c r="F298" s="3" t="s">
        <v>30</v>
      </c>
      <c r="G298" s="3" t="s">
        <v>52</v>
      </c>
      <c r="H298" s="3" t="s">
        <v>30</v>
      </c>
      <c r="I298" s="3" t="s">
        <v>32</v>
      </c>
      <c r="J298" s="0" t="n">
        <v>1</v>
      </c>
      <c r="K298" s="0" t="n">
        <v>1</v>
      </c>
      <c r="L298" s="0" t="n">
        <v>0</v>
      </c>
      <c r="M298" s="0" t="n">
        <v>0</v>
      </c>
      <c r="N298" s="0" t="str">
        <f aca="false">IF(OR(NOT(OR(J298=0,J298=1)),NOT(OR(K298=0,K298=1)),NOT(OR(L298=0,L298=1)),NOT(OR(M298=0,M298=1)),NOT(OR(U298=0,U298=1))),"Yes","No")</f>
        <v>No</v>
      </c>
      <c r="O298" s="0" t="str">
        <f aca="false">IF(OR(AND(M298=1,L298=0),AND(L298=1,K298=0),AND(K298=1,J298=0)),"Yes","No")</f>
        <v>No</v>
      </c>
      <c r="P298" s="0" t="n">
        <v>0</v>
      </c>
      <c r="Q298" s="0" t="str">
        <f aca="false">IF(OR(AND(M298=0,P298&gt;0),AND(M298=1,P298&lt;=0)),"Yes","No")</f>
        <v>No</v>
      </c>
      <c r="R298" s="0" t="str">
        <f aca="false">IF(AND(M298=1,P298&gt;calc_helpers!$B$5),"Yes","No")</f>
        <v>No</v>
      </c>
      <c r="S298" s="0" t="n">
        <v>1</v>
      </c>
      <c r="T298" s="0" t="str">
        <f aca="false">IF(S298&gt;0,"Yes","No")</f>
        <v>Yes</v>
      </c>
      <c r="U298" s="0" t="n">
        <v>0</v>
      </c>
      <c r="W298" s="0" t="str">
        <f aca="false">IF(OR(AND(M298=1,ISBLANK(V298)),AND(M298=0,NOT(ISBLANK(V298)))),"Yes","No")</f>
        <v>No</v>
      </c>
      <c r="X298" s="0" t="n">
        <v>54.8</v>
      </c>
      <c r="Y298" s="3" t="s">
        <v>30</v>
      </c>
      <c r="Z298" s="0" t="str">
        <f aca="false">IF(M298=1,P298,"")</f>
        <v/>
      </c>
    </row>
    <row r="299" customFormat="false" ht="15" hidden="false" customHeight="false" outlineLevel="0" collapsed="false">
      <c r="A299" s="0" t="s">
        <v>342</v>
      </c>
      <c r="B299" s="2" t="n">
        <v>45791</v>
      </c>
      <c r="C299" s="3" t="s">
        <v>27</v>
      </c>
      <c r="D299" s="3" t="s">
        <v>28</v>
      </c>
      <c r="E299" s="3" t="s">
        <v>45</v>
      </c>
      <c r="F299" s="3" t="s">
        <v>30</v>
      </c>
      <c r="G299" s="3" t="s">
        <v>31</v>
      </c>
      <c r="H299" s="3" t="s">
        <v>30</v>
      </c>
      <c r="I299" s="3" t="s">
        <v>32</v>
      </c>
      <c r="J299" s="0" t="n">
        <v>0</v>
      </c>
      <c r="K299" s="0" t="n">
        <v>0</v>
      </c>
      <c r="L299" s="0" t="n">
        <v>0</v>
      </c>
      <c r="M299" s="0" t="n">
        <v>0</v>
      </c>
      <c r="N299" s="0" t="str">
        <f aca="false">IF(OR(NOT(OR(J299=0,J299=1)),NOT(OR(K299=0,K299=1)),NOT(OR(L299=0,L299=1)),NOT(OR(M299=0,M299=1)),NOT(OR(U299=0,U299=1))),"Yes","No")</f>
        <v>No</v>
      </c>
      <c r="O299" s="0" t="str">
        <f aca="false">IF(OR(AND(M299=1,L299=0),AND(L299=1,K299=0),AND(K299=1,J299=0)),"Yes","No")</f>
        <v>No</v>
      </c>
      <c r="P299" s="0" t="n">
        <v>0</v>
      </c>
      <c r="Q299" s="0" t="str">
        <f aca="false">IF(OR(AND(M299=0,P299&gt;0),AND(M299=1,P299&lt;=0)),"Yes","No")</f>
        <v>No</v>
      </c>
      <c r="R299" s="0" t="str">
        <f aca="false">IF(AND(M299=1,P299&gt;calc_helpers!$B$5),"Yes","No")</f>
        <v>No</v>
      </c>
      <c r="S299" s="0" t="n">
        <v>0</v>
      </c>
      <c r="T299" s="0" t="str">
        <f aca="false">IF(S299&gt;0,"Yes","No")</f>
        <v>No</v>
      </c>
      <c r="U299" s="0" t="n">
        <v>0</v>
      </c>
      <c r="W299" s="0" t="str">
        <f aca="false">IF(OR(AND(M299=1,ISBLANK(V299)),AND(M299=0,NOT(ISBLANK(V299)))),"Yes","No")</f>
        <v>No</v>
      </c>
      <c r="X299" s="0" t="n">
        <v>40.8</v>
      </c>
      <c r="Y299" s="3" t="s">
        <v>30</v>
      </c>
      <c r="Z299" s="0" t="str">
        <f aca="false">IF(M299=1,P299,"")</f>
        <v/>
      </c>
    </row>
    <row r="300" customFormat="false" ht="15" hidden="false" customHeight="false" outlineLevel="0" collapsed="false">
      <c r="A300" s="0" t="s">
        <v>343</v>
      </c>
      <c r="B300" s="2" t="n">
        <v>45707</v>
      </c>
      <c r="C300" s="3" t="s">
        <v>27</v>
      </c>
      <c r="D300" s="3" t="s">
        <v>39</v>
      </c>
      <c r="E300" s="3" t="s">
        <v>35</v>
      </c>
      <c r="F300" s="3" t="s">
        <v>30</v>
      </c>
      <c r="G300" s="3" t="s">
        <v>40</v>
      </c>
      <c r="H300" s="3" t="s">
        <v>30</v>
      </c>
      <c r="I300" s="3" t="s">
        <v>37</v>
      </c>
      <c r="J300" s="0" t="n">
        <v>0</v>
      </c>
      <c r="K300" s="0" t="n">
        <v>0</v>
      </c>
      <c r="L300" s="0" t="n">
        <v>0</v>
      </c>
      <c r="M300" s="0" t="n">
        <v>0</v>
      </c>
      <c r="N300" s="0" t="str">
        <f aca="false">IF(OR(NOT(OR(J300=0,J300=1)),NOT(OR(K300=0,K300=1)),NOT(OR(L300=0,L300=1)),NOT(OR(M300=0,M300=1)),NOT(OR(U300=0,U300=1))),"Yes","No")</f>
        <v>No</v>
      </c>
      <c r="O300" s="0" t="str">
        <f aca="false">IF(OR(AND(M300=1,L300=0),AND(L300=1,K300=0),AND(K300=1,J300=0)),"Yes","No")</f>
        <v>No</v>
      </c>
      <c r="P300" s="0" t="n">
        <v>0</v>
      </c>
      <c r="Q300" s="0" t="str">
        <f aca="false">IF(OR(AND(M300=0,P300&gt;0),AND(M300=1,P300&lt;=0)),"Yes","No")</f>
        <v>No</v>
      </c>
      <c r="R300" s="0" t="str">
        <f aca="false">IF(AND(M300=1,P300&gt;calc_helpers!$B$5),"Yes","No")</f>
        <v>No</v>
      </c>
      <c r="S300" s="0" t="n">
        <v>0</v>
      </c>
      <c r="T300" s="0" t="str">
        <f aca="false">IF(S300&gt;0,"Yes","No")</f>
        <v>No</v>
      </c>
      <c r="U300" s="0" t="n">
        <v>0</v>
      </c>
      <c r="W300" s="0" t="str">
        <f aca="false">IF(OR(AND(M300=1,ISBLANK(V300)),AND(M300=0,NOT(ISBLANK(V300)))),"Yes","No")</f>
        <v>No</v>
      </c>
      <c r="X300" s="0" t="n">
        <v>48.8</v>
      </c>
      <c r="Y300" s="3" t="s">
        <v>30</v>
      </c>
      <c r="Z300" s="0" t="str">
        <f aca="false">IF(M300=1,P300,"")</f>
        <v/>
      </c>
    </row>
    <row r="301" customFormat="false" ht="15" hidden="false" customHeight="false" outlineLevel="0" collapsed="false">
      <c r="A301" s="0" t="s">
        <v>344</v>
      </c>
      <c r="B301" s="2" t="n">
        <v>45681</v>
      </c>
      <c r="C301" s="3" t="s">
        <v>27</v>
      </c>
      <c r="D301" s="3" t="s">
        <v>43</v>
      </c>
      <c r="E301" s="3" t="s">
        <v>35</v>
      </c>
      <c r="F301" s="3" t="s">
        <v>30</v>
      </c>
      <c r="G301" s="3" t="s">
        <v>167</v>
      </c>
      <c r="H301" s="3" t="s">
        <v>168</v>
      </c>
      <c r="I301" s="3" t="s">
        <v>32</v>
      </c>
      <c r="J301" s="0" t="n">
        <v>1</v>
      </c>
      <c r="K301" s="0" t="n">
        <v>1</v>
      </c>
      <c r="L301" s="0" t="n">
        <v>1</v>
      </c>
      <c r="M301" s="0" t="n">
        <v>1</v>
      </c>
      <c r="N301" s="0" t="str">
        <f aca="false">IF(OR(NOT(OR(J301=0,J301=1)),NOT(OR(K301=0,K301=1)),NOT(OR(L301=0,L301=1)),NOT(OR(M301=0,M301=1)),NOT(OR(U301=0,U301=1))),"Yes","No")</f>
        <v>No</v>
      </c>
      <c r="O301" s="0" t="str">
        <f aca="false">IF(OR(AND(M301=1,L301=0),AND(L301=1,K301=0),AND(K301=1,J301=0)),"Yes","No")</f>
        <v>No</v>
      </c>
      <c r="P301" s="0" t="n">
        <v>1198.69</v>
      </c>
      <c r="Q301" s="0" t="str">
        <f aca="false">IF(OR(AND(M301=0,P301&gt;0),AND(M301=1,P301&lt;=0)),"Yes","No")</f>
        <v>No</v>
      </c>
      <c r="R301" s="0" t="str">
        <f aca="false">IF(AND(M301=1,P301&gt;calc_helpers!$B$5),"Yes","No")</f>
        <v>No</v>
      </c>
      <c r="S301" s="0" t="n">
        <v>1</v>
      </c>
      <c r="T301" s="0" t="str">
        <f aca="false">IF(S301&gt;0,"Yes","No")</f>
        <v>Yes</v>
      </c>
      <c r="U301" s="0" t="n">
        <v>0</v>
      </c>
      <c r="V301" s="0" t="n">
        <v>6</v>
      </c>
      <c r="W301" s="0" t="str">
        <f aca="false">IF(OR(AND(M301=1,ISBLANK(V301)),AND(M301=0,NOT(ISBLANK(V301)))),"Yes","No")</f>
        <v>No</v>
      </c>
      <c r="X301" s="0" t="n">
        <v>88.9</v>
      </c>
      <c r="Y301" s="3" t="s">
        <v>30</v>
      </c>
      <c r="Z301" s="3" t="n">
        <f aca="false">IF(M301=1,P301,"")</f>
        <v>1198.69</v>
      </c>
    </row>
    <row r="302" customFormat="false" ht="15" hidden="false" customHeight="false" outlineLevel="0" collapsed="false">
      <c r="A302" s="0" t="s">
        <v>345</v>
      </c>
      <c r="B302" s="2" t="n">
        <v>45786</v>
      </c>
      <c r="C302" s="3" t="s">
        <v>27</v>
      </c>
      <c r="D302" s="3" t="s">
        <v>28</v>
      </c>
      <c r="E302" s="3" t="s">
        <v>35</v>
      </c>
      <c r="F302" s="3" t="s">
        <v>30</v>
      </c>
      <c r="G302" s="3" t="s">
        <v>31</v>
      </c>
      <c r="H302" s="3" t="s">
        <v>30</v>
      </c>
      <c r="I302" s="3" t="s">
        <v>32</v>
      </c>
      <c r="J302" s="0" t="n">
        <v>1</v>
      </c>
      <c r="K302" s="0" t="n">
        <v>1</v>
      </c>
      <c r="L302" s="0" t="n">
        <v>1</v>
      </c>
      <c r="M302" s="0" t="n">
        <v>0</v>
      </c>
      <c r="N302" s="0" t="str">
        <f aca="false">IF(OR(NOT(OR(J302=0,J302=1)),NOT(OR(K302=0,K302=1)),NOT(OR(L302=0,L302=1)),NOT(OR(M302=0,M302=1)),NOT(OR(U302=0,U302=1))),"Yes","No")</f>
        <v>No</v>
      </c>
      <c r="O302" s="0" t="str">
        <f aca="false">IF(OR(AND(M302=1,L302=0),AND(L302=1,K302=0),AND(K302=1,J302=0)),"Yes","No")</f>
        <v>No</v>
      </c>
      <c r="P302" s="0" t="n">
        <v>0</v>
      </c>
      <c r="Q302" s="0" t="str">
        <f aca="false">IF(OR(AND(M302=0,P302&gt;0),AND(M302=1,P302&lt;=0)),"Yes","No")</f>
        <v>No</v>
      </c>
      <c r="R302" s="0" t="str">
        <f aca="false">IF(AND(M302=1,P302&gt;calc_helpers!$B$5),"Yes","No")</f>
        <v>No</v>
      </c>
      <c r="S302" s="0" t="n">
        <v>1</v>
      </c>
      <c r="T302" s="0" t="str">
        <f aca="false">IF(S302&gt;0,"Yes","No")</f>
        <v>Yes</v>
      </c>
      <c r="U302" s="0" t="n">
        <v>0</v>
      </c>
      <c r="W302" s="0" t="str">
        <f aca="false">IF(OR(AND(M302=1,ISBLANK(V302)),AND(M302=0,NOT(ISBLANK(V302)))),"Yes","No")</f>
        <v>No</v>
      </c>
      <c r="X302" s="0" t="n">
        <v>60.5</v>
      </c>
      <c r="Y302" s="3" t="s">
        <v>30</v>
      </c>
      <c r="Z302" s="0" t="str">
        <f aca="false">IF(M302=1,P302,"")</f>
        <v/>
      </c>
    </row>
    <row r="303" customFormat="false" ht="15" hidden="false" customHeight="false" outlineLevel="0" collapsed="false">
      <c r="A303" s="0" t="s">
        <v>346</v>
      </c>
      <c r="B303" s="2" t="n">
        <v>45699</v>
      </c>
      <c r="C303" s="3" t="s">
        <v>27</v>
      </c>
      <c r="D303" s="3" t="s">
        <v>28</v>
      </c>
      <c r="E303" s="3" t="s">
        <v>35</v>
      </c>
      <c r="F303" s="3" t="s">
        <v>30</v>
      </c>
      <c r="G303" s="3" t="s">
        <v>36</v>
      </c>
      <c r="H303" s="3" t="s">
        <v>30</v>
      </c>
      <c r="I303" s="3" t="s">
        <v>32</v>
      </c>
      <c r="J303" s="0" t="n">
        <v>1</v>
      </c>
      <c r="K303" s="0" t="n">
        <v>0</v>
      </c>
      <c r="L303" s="0" t="n">
        <v>0</v>
      </c>
      <c r="M303" s="0" t="n">
        <v>0</v>
      </c>
      <c r="N303" s="0" t="str">
        <f aca="false">IF(OR(NOT(OR(J303=0,J303=1)),NOT(OR(K303=0,K303=1)),NOT(OR(L303=0,L303=1)),NOT(OR(M303=0,M303=1)),NOT(OR(U303=0,U303=1))),"Yes","No")</f>
        <v>No</v>
      </c>
      <c r="O303" s="0" t="str">
        <f aca="false">IF(OR(AND(M303=1,L303=0),AND(L303=1,K303=0),AND(K303=1,J303=0)),"Yes","No")</f>
        <v>No</v>
      </c>
      <c r="P303" s="0" t="n">
        <v>0</v>
      </c>
      <c r="Q303" s="0" t="str">
        <f aca="false">IF(OR(AND(M303=0,P303&gt;0),AND(M303=1,P303&lt;=0)),"Yes","No")</f>
        <v>No</v>
      </c>
      <c r="R303" s="0" t="str">
        <f aca="false">IF(AND(M303=1,P303&gt;calc_helpers!$B$5),"Yes","No")</f>
        <v>No</v>
      </c>
      <c r="S303" s="0" t="n">
        <v>0</v>
      </c>
      <c r="T303" s="0" t="str">
        <f aca="false">IF(S303&gt;0,"Yes","No")</f>
        <v>No</v>
      </c>
      <c r="U303" s="0" t="n">
        <v>0</v>
      </c>
      <c r="W303" s="0" t="str">
        <f aca="false">IF(OR(AND(M303=1,ISBLANK(V303)),AND(M303=0,NOT(ISBLANK(V303)))),"Yes","No")</f>
        <v>No</v>
      </c>
      <c r="X303" s="0" t="n">
        <v>63.6</v>
      </c>
      <c r="Y303" s="3" t="s">
        <v>30</v>
      </c>
      <c r="Z303" s="0" t="str">
        <f aca="false">IF(M303=1,P303,"")</f>
        <v/>
      </c>
    </row>
    <row r="304" customFormat="false" ht="15" hidden="false" customHeight="false" outlineLevel="0" collapsed="false">
      <c r="A304" s="0" t="s">
        <v>347</v>
      </c>
      <c r="B304" s="2" t="n">
        <v>45714</v>
      </c>
      <c r="C304" s="3" t="s">
        <v>27</v>
      </c>
      <c r="D304" s="3" t="s">
        <v>28</v>
      </c>
      <c r="E304" s="3" t="s">
        <v>29</v>
      </c>
      <c r="F304" s="3" t="s">
        <v>30</v>
      </c>
      <c r="G304" s="3" t="s">
        <v>36</v>
      </c>
      <c r="H304" s="3" t="s">
        <v>30</v>
      </c>
      <c r="I304" s="3" t="s">
        <v>32</v>
      </c>
      <c r="J304" s="0" t="n">
        <v>1</v>
      </c>
      <c r="K304" s="0" t="n">
        <v>1</v>
      </c>
      <c r="L304" s="0" t="n">
        <v>1</v>
      </c>
      <c r="M304" s="0" t="n">
        <v>1</v>
      </c>
      <c r="N304" s="0" t="str">
        <f aca="false">IF(OR(NOT(OR(J304=0,J304=1)),NOT(OR(K304=0,K304=1)),NOT(OR(L304=0,L304=1)),NOT(OR(M304=0,M304=1)),NOT(OR(U304=0,U304=1))),"Yes","No")</f>
        <v>No</v>
      </c>
      <c r="O304" s="0" t="str">
        <f aca="false">IF(OR(AND(M304=1,L304=0),AND(L304=1,K304=0),AND(K304=1,J304=0)),"Yes","No")</f>
        <v>No</v>
      </c>
      <c r="P304" s="0" t="n">
        <v>6788.95</v>
      </c>
      <c r="Q304" s="0" t="str">
        <f aca="false">IF(OR(AND(M304=0,P304&gt;0),AND(M304=1,P304&lt;=0)),"Yes","No")</f>
        <v>No</v>
      </c>
      <c r="R304" s="0" t="str">
        <f aca="false">IF(AND(M304=1,P304&gt;calc_helpers!$B$5),"Yes","No")</f>
        <v>Yes</v>
      </c>
      <c r="S304" s="0" t="n">
        <v>0</v>
      </c>
      <c r="T304" s="0" t="str">
        <f aca="false">IF(S304&gt;0,"Yes","No")</f>
        <v>No</v>
      </c>
      <c r="U304" s="0" t="n">
        <v>0</v>
      </c>
      <c r="V304" s="0" t="n">
        <v>17</v>
      </c>
      <c r="W304" s="0" t="str">
        <f aca="false">IF(OR(AND(M304=1,ISBLANK(V304)),AND(M304=0,NOT(ISBLANK(V304)))),"Yes","No")</f>
        <v>No</v>
      </c>
      <c r="X304" s="0" t="n">
        <v>58.4</v>
      </c>
      <c r="Y304" s="3" t="s">
        <v>30</v>
      </c>
      <c r="Z304" s="3" t="n">
        <f aca="false">IF(M304=1,P304,"")</f>
        <v>6788.95</v>
      </c>
    </row>
    <row r="305" customFormat="false" ht="15" hidden="false" customHeight="false" outlineLevel="0" collapsed="false">
      <c r="A305" s="0" t="s">
        <v>348</v>
      </c>
      <c r="B305" s="2" t="n">
        <v>45700</v>
      </c>
      <c r="C305" s="3" t="s">
        <v>27</v>
      </c>
      <c r="D305" s="3" t="s">
        <v>43</v>
      </c>
      <c r="E305" s="3" t="s">
        <v>35</v>
      </c>
      <c r="F305" s="3" t="s">
        <v>30</v>
      </c>
      <c r="G305" s="3" t="s">
        <v>52</v>
      </c>
      <c r="H305" s="3" t="s">
        <v>30</v>
      </c>
      <c r="I305" s="3" t="s">
        <v>41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str">
        <f aca="false">IF(OR(NOT(OR(J305=0,J305=1)),NOT(OR(K305=0,K305=1)),NOT(OR(L305=0,L305=1)),NOT(OR(M305=0,M305=1)),NOT(OR(U305=0,U305=1))),"Yes","No")</f>
        <v>No</v>
      </c>
      <c r="O305" s="0" t="str">
        <f aca="false">IF(OR(AND(M305=1,L305=0),AND(L305=1,K305=0),AND(K305=1,J305=0)),"Yes","No")</f>
        <v>No</v>
      </c>
      <c r="P305" s="0" t="n">
        <v>0</v>
      </c>
      <c r="Q305" s="0" t="str">
        <f aca="false">IF(OR(AND(M305=0,P305&gt;0),AND(M305=1,P305&lt;=0)),"Yes","No")</f>
        <v>No</v>
      </c>
      <c r="R305" s="0" t="str">
        <f aca="false">IF(AND(M305=1,P305&gt;calc_helpers!$B$5),"Yes","No")</f>
        <v>No</v>
      </c>
      <c r="S305" s="0" t="n">
        <v>0</v>
      </c>
      <c r="T305" s="0" t="str">
        <f aca="false">IF(S305&gt;0,"Yes","No")</f>
        <v>No</v>
      </c>
      <c r="U305" s="0" t="n">
        <v>0</v>
      </c>
      <c r="W305" s="0" t="str">
        <f aca="false">IF(OR(AND(M305=1,ISBLANK(V305)),AND(M305=0,NOT(ISBLANK(V305)))),"Yes","No")</f>
        <v>No</v>
      </c>
      <c r="X305" s="0" t="n">
        <v>52.7</v>
      </c>
      <c r="Y305" s="3" t="s">
        <v>30</v>
      </c>
      <c r="Z305" s="0" t="str">
        <f aca="false">IF(M305=1,P305,"")</f>
        <v/>
      </c>
    </row>
    <row r="306" customFormat="false" ht="15" hidden="false" customHeight="false" outlineLevel="0" collapsed="false">
      <c r="A306" s="0" t="s">
        <v>349</v>
      </c>
      <c r="B306" s="2" t="n">
        <v>45662</v>
      </c>
      <c r="C306" s="3" t="s">
        <v>27</v>
      </c>
      <c r="D306" s="3" t="s">
        <v>43</v>
      </c>
      <c r="E306" s="3" t="s">
        <v>45</v>
      </c>
      <c r="F306" s="3" t="s">
        <v>30</v>
      </c>
      <c r="G306" s="3" t="s">
        <v>52</v>
      </c>
      <c r="H306" s="3" t="s">
        <v>30</v>
      </c>
      <c r="I306" s="3" t="s">
        <v>41</v>
      </c>
      <c r="J306" s="0" t="n">
        <v>1</v>
      </c>
      <c r="K306" s="0" t="n">
        <v>1</v>
      </c>
      <c r="L306" s="0" t="n">
        <v>1</v>
      </c>
      <c r="M306" s="0" t="n">
        <v>0</v>
      </c>
      <c r="N306" s="0" t="str">
        <f aca="false">IF(OR(NOT(OR(J306=0,J306=1)),NOT(OR(K306=0,K306=1)),NOT(OR(L306=0,L306=1)),NOT(OR(M306=0,M306=1)),NOT(OR(U306=0,U306=1))),"Yes","No")</f>
        <v>No</v>
      </c>
      <c r="O306" s="0" t="str">
        <f aca="false">IF(OR(AND(M306=1,L306=0),AND(L306=1,K306=0),AND(K306=1,J306=0)),"Yes","No")</f>
        <v>No</v>
      </c>
      <c r="P306" s="0" t="n">
        <v>0</v>
      </c>
      <c r="Q306" s="0" t="str">
        <f aca="false">IF(OR(AND(M306=0,P306&gt;0),AND(M306=1,P306&lt;=0)),"Yes","No")</f>
        <v>No</v>
      </c>
      <c r="R306" s="0" t="str">
        <f aca="false">IF(AND(M306=1,P306&gt;calc_helpers!$B$5),"Yes","No")</f>
        <v>No</v>
      </c>
      <c r="S306" s="0" t="n">
        <v>2</v>
      </c>
      <c r="T306" s="0" t="str">
        <f aca="false">IF(S306&gt;0,"Yes","No")</f>
        <v>Yes</v>
      </c>
      <c r="U306" s="0" t="n">
        <v>0</v>
      </c>
      <c r="W306" s="0" t="str">
        <f aca="false">IF(OR(AND(M306=1,ISBLANK(V306)),AND(M306=0,NOT(ISBLANK(V306)))),"Yes","No")</f>
        <v>No</v>
      </c>
      <c r="X306" s="0" t="n">
        <v>48.9</v>
      </c>
      <c r="Y306" s="3" t="s">
        <v>30</v>
      </c>
      <c r="Z306" s="0" t="str">
        <f aca="false">IF(M306=1,P306,"")</f>
        <v/>
      </c>
    </row>
    <row r="307" customFormat="false" ht="15" hidden="false" customHeight="false" outlineLevel="0" collapsed="false">
      <c r="A307" s="0" t="s">
        <v>350</v>
      </c>
      <c r="B307" s="2" t="n">
        <v>45796</v>
      </c>
      <c r="C307" s="3" t="s">
        <v>27</v>
      </c>
      <c r="D307" s="3" t="s">
        <v>34</v>
      </c>
      <c r="E307" s="3" t="s">
        <v>35</v>
      </c>
      <c r="F307" s="3" t="s">
        <v>30</v>
      </c>
      <c r="G307" s="3" t="s">
        <v>36</v>
      </c>
      <c r="H307" s="3" t="s">
        <v>30</v>
      </c>
      <c r="I307" s="3" t="s">
        <v>41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str">
        <f aca="false">IF(OR(NOT(OR(J307=0,J307=1)),NOT(OR(K307=0,K307=1)),NOT(OR(L307=0,L307=1)),NOT(OR(M307=0,M307=1)),NOT(OR(U307=0,U307=1))),"Yes","No")</f>
        <v>No</v>
      </c>
      <c r="O307" s="0" t="str">
        <f aca="false">IF(OR(AND(M307=1,L307=0),AND(L307=1,K307=0),AND(K307=1,J307=0)),"Yes","No")</f>
        <v>No</v>
      </c>
      <c r="P307" s="0" t="n">
        <v>0</v>
      </c>
      <c r="Q307" s="0" t="str">
        <f aca="false">IF(OR(AND(M307=0,P307&gt;0),AND(M307=1,P307&lt;=0)),"Yes","No")</f>
        <v>No</v>
      </c>
      <c r="R307" s="0" t="str">
        <f aca="false">IF(AND(M307=1,P307&gt;calc_helpers!$B$5),"Yes","No")</f>
        <v>No</v>
      </c>
      <c r="S307" s="0" t="n">
        <v>0</v>
      </c>
      <c r="T307" s="0" t="str">
        <f aca="false">IF(S307&gt;0,"Yes","No")</f>
        <v>No</v>
      </c>
      <c r="U307" s="0" t="n">
        <v>0</v>
      </c>
      <c r="W307" s="0" t="str">
        <f aca="false">IF(OR(AND(M307=1,ISBLANK(V307)),AND(M307=0,NOT(ISBLANK(V307)))),"Yes","No")</f>
        <v>No</v>
      </c>
      <c r="X307" s="0" t="n">
        <v>79.7</v>
      </c>
      <c r="Y307" s="3" t="s">
        <v>30</v>
      </c>
      <c r="Z307" s="0" t="str">
        <f aca="false">IF(M307=1,P307,"")</f>
        <v/>
      </c>
    </row>
    <row r="308" customFormat="false" ht="15" hidden="false" customHeight="false" outlineLevel="0" collapsed="false">
      <c r="A308" s="0" t="s">
        <v>351</v>
      </c>
      <c r="B308" s="2" t="n">
        <v>45690</v>
      </c>
      <c r="C308" s="3" t="s">
        <v>27</v>
      </c>
      <c r="D308" s="3" t="s">
        <v>28</v>
      </c>
      <c r="E308" s="3" t="s">
        <v>35</v>
      </c>
      <c r="F308" s="3" t="s">
        <v>30</v>
      </c>
      <c r="G308" s="3" t="s">
        <v>52</v>
      </c>
      <c r="H308" s="3" t="s">
        <v>30</v>
      </c>
      <c r="I308" s="3" t="s">
        <v>37</v>
      </c>
      <c r="J308" s="0" t="n">
        <v>1</v>
      </c>
      <c r="K308" s="0" t="n">
        <v>0</v>
      </c>
      <c r="L308" s="0" t="n">
        <v>0</v>
      </c>
      <c r="M308" s="0" t="n">
        <v>0</v>
      </c>
      <c r="N308" s="0" t="str">
        <f aca="false">IF(OR(NOT(OR(J308=0,J308=1)),NOT(OR(K308=0,K308=1)),NOT(OR(L308=0,L308=1)),NOT(OR(M308=0,M308=1)),NOT(OR(U308=0,U308=1))),"Yes","No")</f>
        <v>No</v>
      </c>
      <c r="O308" s="0" t="str">
        <f aca="false">IF(OR(AND(M308=1,L308=0),AND(L308=1,K308=0),AND(K308=1,J308=0)),"Yes","No")</f>
        <v>No</v>
      </c>
      <c r="P308" s="0" t="n">
        <v>0</v>
      </c>
      <c r="Q308" s="0" t="str">
        <f aca="false">IF(OR(AND(M308=0,P308&gt;0),AND(M308=1,P308&lt;=0)),"Yes","No")</f>
        <v>No</v>
      </c>
      <c r="R308" s="0" t="str">
        <f aca="false">IF(AND(M308=1,P308&gt;calc_helpers!$B$5),"Yes","No")</f>
        <v>No</v>
      </c>
      <c r="S308" s="0" t="n">
        <v>0</v>
      </c>
      <c r="T308" s="0" t="str">
        <f aca="false">IF(S308&gt;0,"Yes","No")</f>
        <v>No</v>
      </c>
      <c r="U308" s="0" t="n">
        <v>0</v>
      </c>
      <c r="W308" s="0" t="str">
        <f aca="false">IF(OR(AND(M308=1,ISBLANK(V308)),AND(M308=0,NOT(ISBLANK(V308)))),"Yes","No")</f>
        <v>No</v>
      </c>
      <c r="X308" s="0" t="n">
        <v>44.9</v>
      </c>
      <c r="Y308" s="3" t="s">
        <v>30</v>
      </c>
      <c r="Z308" s="0" t="str">
        <f aca="false">IF(M308=1,P308,"")</f>
        <v/>
      </c>
    </row>
    <row r="309" customFormat="false" ht="15" hidden="false" customHeight="false" outlineLevel="0" collapsed="false">
      <c r="A309" s="0" t="s">
        <v>352</v>
      </c>
      <c r="B309" s="2" t="n">
        <v>45687</v>
      </c>
      <c r="C309" s="3" t="s">
        <v>27</v>
      </c>
      <c r="D309" s="3" t="s">
        <v>34</v>
      </c>
      <c r="E309" s="3" t="s">
        <v>45</v>
      </c>
      <c r="F309" s="3" t="s">
        <v>30</v>
      </c>
      <c r="G309" s="3" t="s">
        <v>40</v>
      </c>
      <c r="H309" s="3" t="s">
        <v>30</v>
      </c>
      <c r="I309" s="3" t="s">
        <v>37</v>
      </c>
      <c r="J309" s="0" t="n">
        <v>1</v>
      </c>
      <c r="K309" s="0" t="n">
        <v>1</v>
      </c>
      <c r="L309" s="0" t="n">
        <v>1</v>
      </c>
      <c r="M309" s="0" t="n">
        <v>1</v>
      </c>
      <c r="N309" s="0" t="str">
        <f aca="false">IF(OR(NOT(OR(J309=0,J309=1)),NOT(OR(K309=0,K309=1)),NOT(OR(L309=0,L309=1)),NOT(OR(M309=0,M309=1)),NOT(OR(U309=0,U309=1))),"Yes","No")</f>
        <v>No</v>
      </c>
      <c r="O309" s="0" t="str">
        <f aca="false">IF(OR(AND(M309=1,L309=0),AND(L309=1,K309=0),AND(K309=1,J309=0)),"Yes","No")</f>
        <v>No</v>
      </c>
      <c r="P309" s="0" t="n">
        <v>409.39</v>
      </c>
      <c r="Q309" s="0" t="str">
        <f aca="false">IF(OR(AND(M309=0,P309&gt;0),AND(M309=1,P309&lt;=0)),"Yes","No")</f>
        <v>No</v>
      </c>
      <c r="R309" s="0" t="str">
        <f aca="false">IF(AND(M309=1,P309&gt;calc_helpers!$B$5),"Yes","No")</f>
        <v>No</v>
      </c>
      <c r="S309" s="0" t="n">
        <v>0</v>
      </c>
      <c r="T309" s="0" t="str">
        <f aca="false">IF(S309&gt;0,"Yes","No")</f>
        <v>No</v>
      </c>
      <c r="U309" s="0" t="n">
        <v>0</v>
      </c>
      <c r="V309" s="0" t="n">
        <v>10</v>
      </c>
      <c r="W309" s="0" t="str">
        <f aca="false">IF(OR(AND(M309=1,ISBLANK(V309)),AND(M309=0,NOT(ISBLANK(V309)))),"Yes","No")</f>
        <v>No</v>
      </c>
      <c r="X309" s="0" t="n">
        <v>38.8</v>
      </c>
      <c r="Y309" s="3" t="s">
        <v>30</v>
      </c>
      <c r="Z309" s="3" t="n">
        <f aca="false">IF(M309=1,P309,"")</f>
        <v>409.39</v>
      </c>
    </row>
    <row r="310" customFormat="false" ht="15" hidden="false" customHeight="false" outlineLevel="0" collapsed="false">
      <c r="A310" s="0" t="s">
        <v>353</v>
      </c>
      <c r="B310" s="2" t="n">
        <v>45778</v>
      </c>
      <c r="C310" s="3" t="s">
        <v>27</v>
      </c>
      <c r="D310" s="3" t="s">
        <v>43</v>
      </c>
      <c r="E310" s="3" t="s">
        <v>29</v>
      </c>
      <c r="F310" s="3" t="s">
        <v>30</v>
      </c>
      <c r="G310" s="3" t="s">
        <v>31</v>
      </c>
      <c r="H310" s="3" t="s">
        <v>30</v>
      </c>
      <c r="I310" s="3" t="s">
        <v>37</v>
      </c>
      <c r="J310" s="0" t="n">
        <v>0</v>
      </c>
      <c r="K310" s="0" t="n">
        <v>0</v>
      </c>
      <c r="L310" s="0" t="n">
        <v>0</v>
      </c>
      <c r="M310" s="0" t="n">
        <v>0</v>
      </c>
      <c r="N310" s="0" t="str">
        <f aca="false">IF(OR(NOT(OR(J310=0,J310=1)),NOT(OR(K310=0,K310=1)),NOT(OR(L310=0,L310=1)),NOT(OR(M310=0,M310=1)),NOT(OR(U310=0,U310=1))),"Yes","No")</f>
        <v>No</v>
      </c>
      <c r="O310" s="0" t="str">
        <f aca="false">IF(OR(AND(M310=1,L310=0),AND(L310=1,K310=0),AND(K310=1,J310=0)),"Yes","No")</f>
        <v>No</v>
      </c>
      <c r="P310" s="0" t="n">
        <v>0</v>
      </c>
      <c r="Q310" s="0" t="str">
        <f aca="false">IF(OR(AND(M310=0,P310&gt;0),AND(M310=1,P310&lt;=0)),"Yes","No")</f>
        <v>No</v>
      </c>
      <c r="R310" s="0" t="str">
        <f aca="false">IF(AND(M310=1,P310&gt;calc_helpers!$B$5),"Yes","No")</f>
        <v>No</v>
      </c>
      <c r="S310" s="0" t="n">
        <v>0</v>
      </c>
      <c r="T310" s="0" t="str">
        <f aca="false">IF(S310&gt;0,"Yes","No")</f>
        <v>No</v>
      </c>
      <c r="U310" s="0" t="n">
        <v>0</v>
      </c>
      <c r="W310" s="0" t="str">
        <f aca="false">IF(OR(AND(M310=1,ISBLANK(V310)),AND(M310=0,NOT(ISBLANK(V310)))),"Yes","No")</f>
        <v>No</v>
      </c>
      <c r="X310" s="0" t="n">
        <v>70</v>
      </c>
      <c r="Y310" s="3" t="s">
        <v>30</v>
      </c>
      <c r="Z310" s="0" t="str">
        <f aca="false">IF(M310=1,P310,"")</f>
        <v/>
      </c>
    </row>
    <row r="311" customFormat="false" ht="15" hidden="false" customHeight="false" outlineLevel="0" collapsed="false">
      <c r="A311" s="0" t="s">
        <v>354</v>
      </c>
      <c r="B311" s="2" t="n">
        <v>45793</v>
      </c>
      <c r="C311" s="3" t="s">
        <v>27</v>
      </c>
      <c r="D311" s="3" t="s">
        <v>43</v>
      </c>
      <c r="E311" s="3" t="s">
        <v>29</v>
      </c>
      <c r="F311" s="3" t="s">
        <v>30</v>
      </c>
      <c r="G311" s="3" t="s">
        <v>50</v>
      </c>
      <c r="H311" s="3" t="s">
        <v>30</v>
      </c>
      <c r="I311" s="3" t="s">
        <v>32</v>
      </c>
      <c r="J311" s="0" t="n">
        <v>1</v>
      </c>
      <c r="K311" s="0" t="n">
        <v>0</v>
      </c>
      <c r="L311" s="0" t="n">
        <v>0</v>
      </c>
      <c r="M311" s="0" t="n">
        <v>0</v>
      </c>
      <c r="N311" s="0" t="str">
        <f aca="false">IF(OR(NOT(OR(J311=0,J311=1)),NOT(OR(K311=0,K311=1)),NOT(OR(L311=0,L311=1)),NOT(OR(M311=0,M311=1)),NOT(OR(U311=0,U311=1))),"Yes","No")</f>
        <v>No</v>
      </c>
      <c r="O311" s="0" t="str">
        <f aca="false">IF(OR(AND(M311=1,L311=0),AND(L311=1,K311=0),AND(K311=1,J311=0)),"Yes","No")</f>
        <v>No</v>
      </c>
      <c r="P311" s="0" t="n">
        <v>0</v>
      </c>
      <c r="Q311" s="0" t="str">
        <f aca="false">IF(OR(AND(M311=0,P311&gt;0),AND(M311=1,P311&lt;=0)),"Yes","No")</f>
        <v>No</v>
      </c>
      <c r="R311" s="0" t="str">
        <f aca="false">IF(AND(M311=1,P311&gt;calc_helpers!$B$5),"Yes","No")</f>
        <v>No</v>
      </c>
      <c r="S311" s="0" t="n">
        <v>0</v>
      </c>
      <c r="T311" s="0" t="str">
        <f aca="false">IF(S311&gt;0,"Yes","No")</f>
        <v>No</v>
      </c>
      <c r="U311" s="0" t="n">
        <v>0</v>
      </c>
      <c r="W311" s="0" t="str">
        <f aca="false">IF(OR(AND(M311=1,ISBLANK(V311)),AND(M311=0,NOT(ISBLANK(V311)))),"Yes","No")</f>
        <v>No</v>
      </c>
      <c r="X311" s="0" t="n">
        <v>77.7</v>
      </c>
      <c r="Y311" s="3" t="s">
        <v>30</v>
      </c>
      <c r="Z311" s="0" t="str">
        <f aca="false">IF(M311=1,P311,"")</f>
        <v/>
      </c>
    </row>
    <row r="312" customFormat="false" ht="15" hidden="false" customHeight="false" outlineLevel="0" collapsed="false">
      <c r="A312" s="0" t="s">
        <v>355</v>
      </c>
      <c r="B312" s="2" t="n">
        <v>45724</v>
      </c>
      <c r="C312" s="3" t="s">
        <v>27</v>
      </c>
      <c r="D312" s="3" t="s">
        <v>34</v>
      </c>
      <c r="E312" s="3" t="s">
        <v>35</v>
      </c>
      <c r="F312" s="3" t="s">
        <v>30</v>
      </c>
      <c r="G312" s="3" t="s">
        <v>36</v>
      </c>
      <c r="H312" s="3" t="s">
        <v>30</v>
      </c>
      <c r="I312" s="3" t="s">
        <v>37</v>
      </c>
      <c r="J312" s="0" t="n">
        <v>0</v>
      </c>
      <c r="K312" s="0" t="n">
        <v>0</v>
      </c>
      <c r="L312" s="0" t="n">
        <v>0</v>
      </c>
      <c r="M312" s="0" t="n">
        <v>0</v>
      </c>
      <c r="N312" s="0" t="str">
        <f aca="false">IF(OR(NOT(OR(J312=0,J312=1)),NOT(OR(K312=0,K312=1)),NOT(OR(L312=0,L312=1)),NOT(OR(M312=0,M312=1)),NOT(OR(U312=0,U312=1))),"Yes","No")</f>
        <v>No</v>
      </c>
      <c r="O312" s="0" t="str">
        <f aca="false">IF(OR(AND(M312=1,L312=0),AND(L312=1,K312=0),AND(K312=1,J312=0)),"Yes","No")</f>
        <v>No</v>
      </c>
      <c r="P312" s="0" t="n">
        <v>0</v>
      </c>
      <c r="Q312" s="0" t="str">
        <f aca="false">IF(OR(AND(M312=0,P312&gt;0),AND(M312=1,P312&lt;=0)),"Yes","No")</f>
        <v>No</v>
      </c>
      <c r="R312" s="0" t="str">
        <f aca="false">IF(AND(M312=1,P312&gt;calc_helpers!$B$5),"Yes","No")</f>
        <v>No</v>
      </c>
      <c r="S312" s="0" t="n">
        <v>0</v>
      </c>
      <c r="T312" s="0" t="str">
        <f aca="false">IF(S312&gt;0,"Yes","No")</f>
        <v>No</v>
      </c>
      <c r="U312" s="0" t="n">
        <v>0</v>
      </c>
      <c r="W312" s="0" t="str">
        <f aca="false">IF(OR(AND(M312=1,ISBLANK(V312)),AND(M312=0,NOT(ISBLANK(V312)))),"Yes","No")</f>
        <v>No</v>
      </c>
      <c r="X312" s="0" t="n">
        <v>71.2</v>
      </c>
      <c r="Y312" s="3" t="s">
        <v>30</v>
      </c>
      <c r="Z312" s="0" t="str">
        <f aca="false">IF(M312=1,P312,"")</f>
        <v/>
      </c>
    </row>
    <row r="313" customFormat="false" ht="15" hidden="false" customHeight="false" outlineLevel="0" collapsed="false">
      <c r="A313" s="0" t="s">
        <v>356</v>
      </c>
      <c r="B313" s="2" t="n">
        <v>45751</v>
      </c>
      <c r="C313" s="3" t="s">
        <v>27</v>
      </c>
      <c r="D313" s="3" t="s">
        <v>28</v>
      </c>
      <c r="E313" s="3" t="s">
        <v>35</v>
      </c>
      <c r="F313" s="3" t="s">
        <v>30</v>
      </c>
      <c r="G313" s="3" t="s">
        <v>36</v>
      </c>
      <c r="H313" s="3" t="s">
        <v>30</v>
      </c>
      <c r="I313" s="3" t="s">
        <v>32</v>
      </c>
      <c r="J313" s="0" t="n">
        <v>1</v>
      </c>
      <c r="K313" s="0" t="n">
        <v>0</v>
      </c>
      <c r="L313" s="0" t="n">
        <v>0</v>
      </c>
      <c r="M313" s="0" t="n">
        <v>0</v>
      </c>
      <c r="N313" s="0" t="str">
        <f aca="false">IF(OR(NOT(OR(J313=0,J313=1)),NOT(OR(K313=0,K313=1)),NOT(OR(L313=0,L313=1)),NOT(OR(M313=0,M313=1)),NOT(OR(U313=0,U313=1))),"Yes","No")</f>
        <v>No</v>
      </c>
      <c r="O313" s="0" t="str">
        <f aca="false">IF(OR(AND(M313=1,L313=0),AND(L313=1,K313=0),AND(K313=1,J313=0)),"Yes","No")</f>
        <v>No</v>
      </c>
      <c r="P313" s="0" t="n">
        <v>0</v>
      </c>
      <c r="Q313" s="0" t="str">
        <f aca="false">IF(OR(AND(M313=0,P313&gt;0),AND(M313=1,P313&lt;=0)),"Yes","No")</f>
        <v>No</v>
      </c>
      <c r="R313" s="0" t="str">
        <f aca="false">IF(AND(M313=1,P313&gt;calc_helpers!$B$5),"Yes","No")</f>
        <v>No</v>
      </c>
      <c r="S313" s="0" t="n">
        <v>0</v>
      </c>
      <c r="T313" s="0" t="str">
        <f aca="false">IF(S313&gt;0,"Yes","No")</f>
        <v>No</v>
      </c>
      <c r="U313" s="0" t="n">
        <v>0</v>
      </c>
      <c r="W313" s="0" t="str">
        <f aca="false">IF(OR(AND(M313=1,ISBLANK(V313)),AND(M313=0,NOT(ISBLANK(V313)))),"Yes","No")</f>
        <v>No</v>
      </c>
      <c r="X313" s="0" t="n">
        <v>43.8</v>
      </c>
      <c r="Y313" s="3" t="s">
        <v>30</v>
      </c>
      <c r="Z313" s="0" t="str">
        <f aca="false">IF(M313=1,P313,"")</f>
        <v/>
      </c>
    </row>
    <row r="314" customFormat="false" ht="15" hidden="false" customHeight="false" outlineLevel="0" collapsed="false">
      <c r="A314" s="0" t="s">
        <v>357</v>
      </c>
      <c r="B314" s="2" t="n">
        <v>45807</v>
      </c>
      <c r="C314" s="3" t="s">
        <v>27</v>
      </c>
      <c r="D314" s="3" t="s">
        <v>43</v>
      </c>
      <c r="E314" s="3" t="s">
        <v>45</v>
      </c>
      <c r="F314" s="3" t="s">
        <v>30</v>
      </c>
      <c r="G314" s="3" t="s">
        <v>36</v>
      </c>
      <c r="H314" s="3" t="s">
        <v>30</v>
      </c>
      <c r="I314" s="3" t="s">
        <v>37</v>
      </c>
      <c r="J314" s="0" t="n">
        <v>1</v>
      </c>
      <c r="K314" s="0" t="n">
        <v>0</v>
      </c>
      <c r="L314" s="0" t="n">
        <v>0</v>
      </c>
      <c r="M314" s="0" t="n">
        <v>0</v>
      </c>
      <c r="N314" s="0" t="str">
        <f aca="false">IF(OR(NOT(OR(J314=0,J314=1)),NOT(OR(K314=0,K314=1)),NOT(OR(L314=0,L314=1)),NOT(OR(M314=0,M314=1)),NOT(OR(U314=0,U314=1))),"Yes","No")</f>
        <v>No</v>
      </c>
      <c r="O314" s="0" t="str">
        <f aca="false">IF(OR(AND(M314=1,L314=0),AND(L314=1,K314=0),AND(K314=1,J314=0)),"Yes","No")</f>
        <v>No</v>
      </c>
      <c r="P314" s="0" t="n">
        <v>0</v>
      </c>
      <c r="Q314" s="0" t="str">
        <f aca="false">IF(OR(AND(M314=0,P314&gt;0),AND(M314=1,P314&lt;=0)),"Yes","No")</f>
        <v>No</v>
      </c>
      <c r="R314" s="0" t="str">
        <f aca="false">IF(AND(M314=1,P314&gt;calc_helpers!$B$5),"Yes","No")</f>
        <v>No</v>
      </c>
      <c r="S314" s="0" t="n">
        <v>0</v>
      </c>
      <c r="T314" s="0" t="str">
        <f aca="false">IF(S314&gt;0,"Yes","No")</f>
        <v>No</v>
      </c>
      <c r="U314" s="0" t="n">
        <v>0</v>
      </c>
      <c r="W314" s="0" t="str">
        <f aca="false">IF(OR(AND(M314=1,ISBLANK(V314)),AND(M314=0,NOT(ISBLANK(V314)))),"Yes","No")</f>
        <v>No</v>
      </c>
      <c r="X314" s="0" t="n">
        <v>50.9</v>
      </c>
      <c r="Y314" s="3" t="s">
        <v>30</v>
      </c>
      <c r="Z314" s="0" t="str">
        <f aca="false">IF(M314=1,P314,"")</f>
        <v/>
      </c>
    </row>
    <row r="315" customFormat="false" ht="15" hidden="false" customHeight="false" outlineLevel="0" collapsed="false">
      <c r="A315" s="0" t="s">
        <v>358</v>
      </c>
      <c r="B315" s="2" t="n">
        <v>45662</v>
      </c>
      <c r="C315" s="3" t="s">
        <v>27</v>
      </c>
      <c r="D315" s="3" t="s">
        <v>34</v>
      </c>
      <c r="E315" s="3" t="s">
        <v>35</v>
      </c>
      <c r="F315" s="3" t="s">
        <v>30</v>
      </c>
      <c r="G315" s="3" t="s">
        <v>36</v>
      </c>
      <c r="H315" s="3" t="s">
        <v>30</v>
      </c>
      <c r="I315" s="3" t="s">
        <v>41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str">
        <f aca="false">IF(OR(NOT(OR(J315=0,J315=1)),NOT(OR(K315=0,K315=1)),NOT(OR(L315=0,L315=1)),NOT(OR(M315=0,M315=1)),NOT(OR(U315=0,U315=1))),"Yes","No")</f>
        <v>No</v>
      </c>
      <c r="O315" s="0" t="str">
        <f aca="false">IF(OR(AND(M315=1,L315=0),AND(L315=1,K315=0),AND(K315=1,J315=0)),"Yes","No")</f>
        <v>No</v>
      </c>
      <c r="P315" s="0" t="n">
        <v>0</v>
      </c>
      <c r="Q315" s="0" t="str">
        <f aca="false">IF(OR(AND(M315=0,P315&gt;0),AND(M315=1,P315&lt;=0)),"Yes","No")</f>
        <v>No</v>
      </c>
      <c r="R315" s="0" t="str">
        <f aca="false">IF(AND(M315=1,P315&gt;calc_helpers!$B$5),"Yes","No")</f>
        <v>No</v>
      </c>
      <c r="S315" s="0" t="n">
        <v>0</v>
      </c>
      <c r="T315" s="0" t="str">
        <f aca="false">IF(S315&gt;0,"Yes","No")</f>
        <v>No</v>
      </c>
      <c r="U315" s="0" t="n">
        <v>0</v>
      </c>
      <c r="W315" s="0" t="str">
        <f aca="false">IF(OR(AND(M315=1,ISBLANK(V315)),AND(M315=0,NOT(ISBLANK(V315)))),"Yes","No")</f>
        <v>No</v>
      </c>
      <c r="X315" s="0" t="n">
        <v>58.5</v>
      </c>
      <c r="Y315" s="3" t="s">
        <v>30</v>
      </c>
      <c r="Z315" s="0" t="str">
        <f aca="false">IF(M315=1,P315,"")</f>
        <v/>
      </c>
    </row>
    <row r="316" customFormat="false" ht="15" hidden="false" customHeight="false" outlineLevel="0" collapsed="false">
      <c r="A316" s="0" t="s">
        <v>359</v>
      </c>
      <c r="B316" s="2" t="n">
        <v>45677</v>
      </c>
      <c r="C316" s="3" t="s">
        <v>27</v>
      </c>
      <c r="D316" s="3" t="s">
        <v>39</v>
      </c>
      <c r="E316" s="3" t="s">
        <v>35</v>
      </c>
      <c r="F316" s="3" t="s">
        <v>30</v>
      </c>
      <c r="G316" s="3" t="s">
        <v>36</v>
      </c>
      <c r="H316" s="3" t="s">
        <v>30</v>
      </c>
      <c r="I316" s="3" t="s">
        <v>37</v>
      </c>
      <c r="J316" s="0" t="n">
        <v>1</v>
      </c>
      <c r="K316" s="0" t="n">
        <v>1</v>
      </c>
      <c r="L316" s="0" t="n">
        <v>1</v>
      </c>
      <c r="M316" s="0" t="n">
        <v>0</v>
      </c>
      <c r="N316" s="0" t="str">
        <f aca="false">IF(OR(NOT(OR(J316=0,J316=1)),NOT(OR(K316=0,K316=1)),NOT(OR(L316=0,L316=1)),NOT(OR(M316=0,M316=1)),NOT(OR(U316=0,U316=1))),"Yes","No")</f>
        <v>No</v>
      </c>
      <c r="O316" s="0" t="str">
        <f aca="false">IF(OR(AND(M316=1,L316=0),AND(L316=1,K316=0),AND(K316=1,J316=0)),"Yes","No")</f>
        <v>No</v>
      </c>
      <c r="P316" s="0" t="n">
        <v>0</v>
      </c>
      <c r="Q316" s="0" t="str">
        <f aca="false">IF(OR(AND(M316=0,P316&gt;0),AND(M316=1,P316&lt;=0)),"Yes","No")</f>
        <v>No</v>
      </c>
      <c r="R316" s="0" t="str">
        <f aca="false">IF(AND(M316=1,P316&gt;calc_helpers!$B$5),"Yes","No")</f>
        <v>No</v>
      </c>
      <c r="S316" s="0" t="n">
        <v>0</v>
      </c>
      <c r="T316" s="0" t="str">
        <f aca="false">IF(S316&gt;0,"Yes","No")</f>
        <v>No</v>
      </c>
      <c r="U316" s="0" t="n">
        <v>0</v>
      </c>
      <c r="W316" s="0" t="str">
        <f aca="false">IF(OR(AND(M316=1,ISBLANK(V316)),AND(M316=0,NOT(ISBLANK(V316)))),"Yes","No")</f>
        <v>No</v>
      </c>
      <c r="X316" s="0" t="n">
        <v>53.6</v>
      </c>
      <c r="Y316" s="3" t="s">
        <v>30</v>
      </c>
      <c r="Z316" s="0" t="str">
        <f aca="false">IF(M316=1,P316,"")</f>
        <v/>
      </c>
    </row>
    <row r="317" customFormat="false" ht="15" hidden="false" customHeight="false" outlineLevel="0" collapsed="false">
      <c r="A317" s="0" t="s">
        <v>360</v>
      </c>
      <c r="B317" s="2" t="n">
        <v>45778</v>
      </c>
      <c r="C317" s="3" t="s">
        <v>27</v>
      </c>
      <c r="D317" s="3" t="s">
        <v>39</v>
      </c>
      <c r="E317" s="3" t="s">
        <v>35</v>
      </c>
      <c r="F317" s="3" t="s">
        <v>30</v>
      </c>
      <c r="G317" s="3" t="s">
        <v>31</v>
      </c>
      <c r="H317" s="3" t="s">
        <v>30</v>
      </c>
      <c r="I317" s="3" t="s">
        <v>37</v>
      </c>
      <c r="J317" s="0" t="n">
        <v>0</v>
      </c>
      <c r="K317" s="0" t="n">
        <v>0</v>
      </c>
      <c r="L317" s="0" t="n">
        <v>0</v>
      </c>
      <c r="M317" s="0" t="n">
        <v>0</v>
      </c>
      <c r="N317" s="0" t="str">
        <f aca="false">IF(OR(NOT(OR(J317=0,J317=1)),NOT(OR(K317=0,K317=1)),NOT(OR(L317=0,L317=1)),NOT(OR(M317=0,M317=1)),NOT(OR(U317=0,U317=1))),"Yes","No")</f>
        <v>No</v>
      </c>
      <c r="O317" s="0" t="str">
        <f aca="false">IF(OR(AND(M317=1,L317=0),AND(L317=1,K317=0),AND(K317=1,J317=0)),"Yes","No")</f>
        <v>No</v>
      </c>
      <c r="P317" s="0" t="n">
        <v>0</v>
      </c>
      <c r="Q317" s="0" t="str">
        <f aca="false">IF(OR(AND(M317=0,P317&gt;0),AND(M317=1,P317&lt;=0)),"Yes","No")</f>
        <v>No</v>
      </c>
      <c r="R317" s="0" t="str">
        <f aca="false">IF(AND(M317=1,P317&gt;calc_helpers!$B$5),"Yes","No")</f>
        <v>No</v>
      </c>
      <c r="S317" s="0" t="n">
        <v>0</v>
      </c>
      <c r="T317" s="0" t="str">
        <f aca="false">IF(S317&gt;0,"Yes","No")</f>
        <v>No</v>
      </c>
      <c r="U317" s="0" t="n">
        <v>0</v>
      </c>
      <c r="W317" s="0" t="str">
        <f aca="false">IF(OR(AND(M317=1,ISBLANK(V317)),AND(M317=0,NOT(ISBLANK(V317)))),"Yes","No")</f>
        <v>No</v>
      </c>
      <c r="X317" s="0" t="n">
        <v>54.9</v>
      </c>
      <c r="Y317" s="3" t="s">
        <v>30</v>
      </c>
      <c r="Z317" s="0" t="str">
        <f aca="false">IF(M317=1,P317,"")</f>
        <v/>
      </c>
    </row>
    <row r="318" customFormat="false" ht="15" hidden="false" customHeight="false" outlineLevel="0" collapsed="false">
      <c r="A318" s="0" t="s">
        <v>361</v>
      </c>
      <c r="B318" s="2" t="n">
        <v>45721</v>
      </c>
      <c r="C318" s="3" t="s">
        <v>27</v>
      </c>
      <c r="D318" s="3" t="s">
        <v>28</v>
      </c>
      <c r="E318" s="3" t="s">
        <v>29</v>
      </c>
      <c r="F318" s="3" t="s">
        <v>30</v>
      </c>
      <c r="G318" s="3" t="s">
        <v>36</v>
      </c>
      <c r="H318" s="3" t="s">
        <v>30</v>
      </c>
      <c r="I318" s="3" t="s">
        <v>41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str">
        <f aca="false">IF(OR(NOT(OR(J318=0,J318=1)),NOT(OR(K318=0,K318=1)),NOT(OR(L318=0,L318=1)),NOT(OR(M318=0,M318=1)),NOT(OR(U318=0,U318=1))),"Yes","No")</f>
        <v>No</v>
      </c>
      <c r="O318" s="0" t="str">
        <f aca="false">IF(OR(AND(M318=1,L318=0),AND(L318=1,K318=0),AND(K318=1,J318=0)),"Yes","No")</f>
        <v>No</v>
      </c>
      <c r="P318" s="0" t="n">
        <v>0</v>
      </c>
      <c r="Q318" s="0" t="str">
        <f aca="false">IF(OR(AND(M318=0,P318&gt;0),AND(M318=1,P318&lt;=0)),"Yes","No")</f>
        <v>No</v>
      </c>
      <c r="R318" s="0" t="str">
        <f aca="false">IF(AND(M318=1,P318&gt;calc_helpers!$B$5),"Yes","No")</f>
        <v>No</v>
      </c>
      <c r="S318" s="0" t="n">
        <v>0</v>
      </c>
      <c r="T318" s="0" t="str">
        <f aca="false">IF(S318&gt;0,"Yes","No")</f>
        <v>No</v>
      </c>
      <c r="U318" s="0" t="n">
        <v>0</v>
      </c>
      <c r="W318" s="0" t="str">
        <f aca="false">IF(OR(AND(M318=1,ISBLANK(V318)),AND(M318=0,NOT(ISBLANK(V318)))),"Yes","No")</f>
        <v>No</v>
      </c>
      <c r="X318" s="0" t="n">
        <v>57.3</v>
      </c>
      <c r="Y318" s="3" t="s">
        <v>30</v>
      </c>
      <c r="Z318" s="0" t="str">
        <f aca="false">IF(M318=1,P318,"")</f>
        <v/>
      </c>
    </row>
    <row r="319" customFormat="false" ht="15" hidden="false" customHeight="false" outlineLevel="0" collapsed="false">
      <c r="A319" s="0" t="s">
        <v>362</v>
      </c>
      <c r="B319" s="2" t="n">
        <v>45748</v>
      </c>
      <c r="C319" s="3" t="s">
        <v>27</v>
      </c>
      <c r="D319" s="3" t="s">
        <v>39</v>
      </c>
      <c r="E319" s="3" t="s">
        <v>29</v>
      </c>
      <c r="F319" s="3" t="s">
        <v>30</v>
      </c>
      <c r="G319" s="3" t="s">
        <v>50</v>
      </c>
      <c r="H319" s="3" t="s">
        <v>30</v>
      </c>
      <c r="I319" s="3" t="s">
        <v>37</v>
      </c>
      <c r="J319" s="0" t="n">
        <v>1</v>
      </c>
      <c r="K319" s="0" t="n">
        <v>0</v>
      </c>
      <c r="L319" s="0" t="n">
        <v>0</v>
      </c>
      <c r="M319" s="0" t="n">
        <v>0</v>
      </c>
      <c r="N319" s="0" t="str">
        <f aca="false">IF(OR(NOT(OR(J319=0,J319=1)),NOT(OR(K319=0,K319=1)),NOT(OR(L319=0,L319=1)),NOT(OR(M319=0,M319=1)),NOT(OR(U319=0,U319=1))),"Yes","No")</f>
        <v>No</v>
      </c>
      <c r="O319" s="0" t="str">
        <f aca="false">IF(OR(AND(M319=1,L319=0),AND(L319=1,K319=0),AND(K319=1,J319=0)),"Yes","No")</f>
        <v>No</v>
      </c>
      <c r="P319" s="0" t="n">
        <v>0</v>
      </c>
      <c r="Q319" s="0" t="str">
        <f aca="false">IF(OR(AND(M319=0,P319&gt;0),AND(M319=1,P319&lt;=0)),"Yes","No")</f>
        <v>No</v>
      </c>
      <c r="R319" s="0" t="str">
        <f aca="false">IF(AND(M319=1,P319&gt;calc_helpers!$B$5),"Yes","No")</f>
        <v>No</v>
      </c>
      <c r="S319" s="0" t="n">
        <v>0</v>
      </c>
      <c r="T319" s="0" t="str">
        <f aca="false">IF(S319&gt;0,"Yes","No")</f>
        <v>No</v>
      </c>
      <c r="U319" s="0" t="n">
        <v>0</v>
      </c>
      <c r="W319" s="0" t="str">
        <f aca="false">IF(OR(AND(M319=1,ISBLANK(V319)),AND(M319=0,NOT(ISBLANK(V319)))),"Yes","No")</f>
        <v>No</v>
      </c>
      <c r="X319" s="0" t="n">
        <v>52.1</v>
      </c>
      <c r="Y319" s="3" t="s">
        <v>30</v>
      </c>
      <c r="Z319" s="0" t="str">
        <f aca="false">IF(M319=1,P319,"")</f>
        <v/>
      </c>
    </row>
    <row r="320" customFormat="false" ht="15" hidden="false" customHeight="false" outlineLevel="0" collapsed="false">
      <c r="A320" s="0" t="s">
        <v>363</v>
      </c>
      <c r="B320" s="2" t="n">
        <v>45780</v>
      </c>
      <c r="C320" s="3" t="s">
        <v>27</v>
      </c>
      <c r="D320" s="3" t="s">
        <v>28</v>
      </c>
      <c r="E320" s="3" t="s">
        <v>35</v>
      </c>
      <c r="F320" s="3" t="s">
        <v>30</v>
      </c>
      <c r="G320" s="3" t="s">
        <v>36</v>
      </c>
      <c r="H320" s="3" t="s">
        <v>30</v>
      </c>
      <c r="I320" s="3" t="s">
        <v>37</v>
      </c>
      <c r="J320" s="0" t="n">
        <v>1</v>
      </c>
      <c r="K320" s="0" t="n">
        <v>0</v>
      </c>
      <c r="L320" s="0" t="n">
        <v>0</v>
      </c>
      <c r="M320" s="0" t="n">
        <v>0</v>
      </c>
      <c r="N320" s="0" t="str">
        <f aca="false">IF(OR(NOT(OR(J320=0,J320=1)),NOT(OR(K320=0,K320=1)),NOT(OR(L320=0,L320=1)),NOT(OR(M320=0,M320=1)),NOT(OR(U320=0,U320=1))),"Yes","No")</f>
        <v>No</v>
      </c>
      <c r="O320" s="0" t="str">
        <f aca="false">IF(OR(AND(M320=1,L320=0),AND(L320=1,K320=0),AND(K320=1,J320=0)),"Yes","No")</f>
        <v>No</v>
      </c>
      <c r="P320" s="0" t="n">
        <v>0</v>
      </c>
      <c r="Q320" s="0" t="str">
        <f aca="false">IF(OR(AND(M320=0,P320&gt;0),AND(M320=1,P320&lt;=0)),"Yes","No")</f>
        <v>No</v>
      </c>
      <c r="R320" s="0" t="str">
        <f aca="false">IF(AND(M320=1,P320&gt;calc_helpers!$B$5),"Yes","No")</f>
        <v>No</v>
      </c>
      <c r="S320" s="0" t="n">
        <v>0</v>
      </c>
      <c r="T320" s="0" t="str">
        <f aca="false">IF(S320&gt;0,"Yes","No")</f>
        <v>No</v>
      </c>
      <c r="U320" s="0" t="n">
        <v>0</v>
      </c>
      <c r="W320" s="0" t="str">
        <f aca="false">IF(OR(AND(M320=1,ISBLANK(V320)),AND(M320=0,NOT(ISBLANK(V320)))),"Yes","No")</f>
        <v>No</v>
      </c>
      <c r="X320" s="0" t="n">
        <v>80</v>
      </c>
      <c r="Y320" s="3" t="s">
        <v>30</v>
      </c>
      <c r="Z320" s="0" t="str">
        <f aca="false">IF(M320=1,P320,"")</f>
        <v/>
      </c>
    </row>
    <row r="321" customFormat="false" ht="15" hidden="false" customHeight="false" outlineLevel="0" collapsed="false">
      <c r="A321" s="0" t="s">
        <v>364</v>
      </c>
      <c r="B321" s="2" t="n">
        <v>45722</v>
      </c>
      <c r="C321" s="3" t="s">
        <v>27</v>
      </c>
      <c r="D321" s="3" t="s">
        <v>43</v>
      </c>
      <c r="E321" s="3" t="s">
        <v>29</v>
      </c>
      <c r="F321" s="3" t="s">
        <v>30</v>
      </c>
      <c r="G321" s="3" t="s">
        <v>40</v>
      </c>
      <c r="H321" s="3" t="s">
        <v>30</v>
      </c>
      <c r="I321" s="3" t="s">
        <v>41</v>
      </c>
      <c r="J321" s="0" t="n">
        <v>1</v>
      </c>
      <c r="K321" s="0" t="n">
        <v>0</v>
      </c>
      <c r="L321" s="0" t="n">
        <v>0</v>
      </c>
      <c r="M321" s="0" t="n">
        <v>0</v>
      </c>
      <c r="N321" s="0" t="str">
        <f aca="false">IF(OR(NOT(OR(J321=0,J321=1)),NOT(OR(K321=0,K321=1)),NOT(OR(L321=0,L321=1)),NOT(OR(M321=0,M321=1)),NOT(OR(U321=0,U321=1))),"Yes","No")</f>
        <v>No</v>
      </c>
      <c r="O321" s="0" t="str">
        <f aca="false">IF(OR(AND(M321=1,L321=0),AND(L321=1,K321=0),AND(K321=1,J321=0)),"Yes","No")</f>
        <v>No</v>
      </c>
      <c r="P321" s="0" t="n">
        <v>0</v>
      </c>
      <c r="Q321" s="0" t="str">
        <f aca="false">IF(OR(AND(M321=0,P321&gt;0),AND(M321=1,P321&lt;=0)),"Yes","No")</f>
        <v>No</v>
      </c>
      <c r="R321" s="0" t="str">
        <f aca="false">IF(AND(M321=1,P321&gt;calc_helpers!$B$5),"Yes","No")</f>
        <v>No</v>
      </c>
      <c r="S321" s="0" t="n">
        <v>0</v>
      </c>
      <c r="T321" s="0" t="str">
        <f aca="false">IF(S321&gt;0,"Yes","No")</f>
        <v>No</v>
      </c>
      <c r="U321" s="0" t="n">
        <v>0</v>
      </c>
      <c r="W321" s="0" t="str">
        <f aca="false">IF(OR(AND(M321=1,ISBLANK(V321)),AND(M321=0,NOT(ISBLANK(V321)))),"Yes","No")</f>
        <v>No</v>
      </c>
      <c r="X321" s="0" t="n">
        <v>39.3</v>
      </c>
      <c r="Y321" s="3" t="s">
        <v>30</v>
      </c>
      <c r="Z321" s="0" t="str">
        <f aca="false">IF(M321=1,P321,"")</f>
        <v/>
      </c>
    </row>
    <row r="322" customFormat="false" ht="15" hidden="false" customHeight="false" outlineLevel="0" collapsed="false">
      <c r="A322" s="0" t="s">
        <v>365</v>
      </c>
      <c r="B322" s="2" t="n">
        <v>45748</v>
      </c>
      <c r="C322" s="3" t="s">
        <v>27</v>
      </c>
      <c r="D322" s="3" t="s">
        <v>28</v>
      </c>
      <c r="E322" s="3" t="s">
        <v>29</v>
      </c>
      <c r="F322" s="3" t="s">
        <v>30</v>
      </c>
      <c r="G322" s="3" t="s">
        <v>50</v>
      </c>
      <c r="H322" s="3" t="s">
        <v>30</v>
      </c>
      <c r="I322" s="3" t="s">
        <v>41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str">
        <f aca="false">IF(OR(NOT(OR(J322=0,J322=1)),NOT(OR(K322=0,K322=1)),NOT(OR(L322=0,L322=1)),NOT(OR(M322=0,M322=1)),NOT(OR(U322=0,U322=1))),"Yes","No")</f>
        <v>No</v>
      </c>
      <c r="O322" s="0" t="str">
        <f aca="false">IF(OR(AND(M322=1,L322=0),AND(L322=1,K322=0),AND(K322=1,J322=0)),"Yes","No")</f>
        <v>No</v>
      </c>
      <c r="P322" s="0" t="n">
        <v>0</v>
      </c>
      <c r="Q322" s="0" t="str">
        <f aca="false">IF(OR(AND(M322=0,P322&gt;0),AND(M322=1,P322&lt;=0)),"Yes","No")</f>
        <v>No</v>
      </c>
      <c r="R322" s="0" t="str">
        <f aca="false">IF(AND(M322=1,P322&gt;calc_helpers!$B$5),"Yes","No")</f>
        <v>No</v>
      </c>
      <c r="S322" s="0" t="n">
        <v>0</v>
      </c>
      <c r="T322" s="0" t="str">
        <f aca="false">IF(S322&gt;0,"Yes","No")</f>
        <v>No</v>
      </c>
      <c r="U322" s="0" t="n">
        <v>0</v>
      </c>
      <c r="W322" s="0" t="str">
        <f aca="false">IF(OR(AND(M322=1,ISBLANK(V322)),AND(M322=0,NOT(ISBLANK(V322)))),"Yes","No")</f>
        <v>No</v>
      </c>
      <c r="X322" s="0" t="n">
        <v>45.7</v>
      </c>
      <c r="Y322" s="3" t="s">
        <v>30</v>
      </c>
      <c r="Z322" s="0" t="str">
        <f aca="false">IF(M322=1,P322,"")</f>
        <v/>
      </c>
    </row>
    <row r="323" customFormat="false" ht="15" hidden="false" customHeight="false" outlineLevel="0" collapsed="false">
      <c r="A323" s="0" t="s">
        <v>366</v>
      </c>
      <c r="B323" s="2" t="n">
        <v>45697</v>
      </c>
      <c r="C323" s="3" t="s">
        <v>27</v>
      </c>
      <c r="D323" s="3" t="s">
        <v>28</v>
      </c>
      <c r="E323" s="3" t="s">
        <v>29</v>
      </c>
      <c r="F323" s="3" t="s">
        <v>30</v>
      </c>
      <c r="G323" s="3" t="s">
        <v>52</v>
      </c>
      <c r="H323" s="3" t="s">
        <v>30</v>
      </c>
      <c r="I323" s="3" t="s">
        <v>32</v>
      </c>
      <c r="J323" s="0" t="n">
        <v>1</v>
      </c>
      <c r="K323" s="0" t="n">
        <v>0</v>
      </c>
      <c r="L323" s="0" t="n">
        <v>0</v>
      </c>
      <c r="M323" s="0" t="n">
        <v>0</v>
      </c>
      <c r="N323" s="0" t="str">
        <f aca="false">IF(OR(NOT(OR(J323=0,J323=1)),NOT(OR(K323=0,K323=1)),NOT(OR(L323=0,L323=1)),NOT(OR(M323=0,M323=1)),NOT(OR(U323=0,U323=1))),"Yes","No")</f>
        <v>No</v>
      </c>
      <c r="O323" s="0" t="str">
        <f aca="false">IF(OR(AND(M323=1,L323=0),AND(L323=1,K323=0),AND(K323=1,J323=0)),"Yes","No")</f>
        <v>No</v>
      </c>
      <c r="P323" s="0" t="n">
        <v>0</v>
      </c>
      <c r="Q323" s="0" t="str">
        <f aca="false">IF(OR(AND(M323=0,P323&gt;0),AND(M323=1,P323&lt;=0)),"Yes","No")</f>
        <v>No</v>
      </c>
      <c r="R323" s="0" t="str">
        <f aca="false">IF(AND(M323=1,P323&gt;calc_helpers!$B$5),"Yes","No")</f>
        <v>No</v>
      </c>
      <c r="S323" s="0" t="n">
        <v>2</v>
      </c>
      <c r="T323" s="0" t="str">
        <f aca="false">IF(S323&gt;0,"Yes","No")</f>
        <v>Yes</v>
      </c>
      <c r="U323" s="0" t="n">
        <v>0</v>
      </c>
      <c r="W323" s="0" t="str">
        <f aca="false">IF(OR(AND(M323=1,ISBLANK(V323)),AND(M323=0,NOT(ISBLANK(V323)))),"Yes","No")</f>
        <v>No</v>
      </c>
      <c r="X323" s="0" t="n">
        <v>61.2</v>
      </c>
      <c r="Y323" s="3" t="s">
        <v>30</v>
      </c>
      <c r="Z323" s="0" t="str">
        <f aca="false">IF(M323=1,P323,"")</f>
        <v/>
      </c>
    </row>
    <row r="324" customFormat="false" ht="15" hidden="false" customHeight="false" outlineLevel="0" collapsed="false">
      <c r="A324" s="0" t="s">
        <v>367</v>
      </c>
      <c r="B324" s="2" t="n">
        <v>45759</v>
      </c>
      <c r="C324" s="3" t="s">
        <v>27</v>
      </c>
      <c r="D324" s="3" t="s">
        <v>34</v>
      </c>
      <c r="E324" s="3" t="s">
        <v>35</v>
      </c>
      <c r="F324" s="3" t="s">
        <v>30</v>
      </c>
      <c r="G324" s="3" t="s">
        <v>36</v>
      </c>
      <c r="H324" s="3" t="s">
        <v>30</v>
      </c>
      <c r="I324" s="3" t="s">
        <v>32</v>
      </c>
      <c r="J324" s="0" t="n">
        <v>1</v>
      </c>
      <c r="K324" s="0" t="n">
        <v>1</v>
      </c>
      <c r="L324" s="0" t="n">
        <v>0</v>
      </c>
      <c r="M324" s="0" t="n">
        <v>0</v>
      </c>
      <c r="N324" s="0" t="str">
        <f aca="false">IF(OR(NOT(OR(J324=0,J324=1)),NOT(OR(K324=0,K324=1)),NOT(OR(L324=0,L324=1)),NOT(OR(M324=0,M324=1)),NOT(OR(U324=0,U324=1))),"Yes","No")</f>
        <v>No</v>
      </c>
      <c r="O324" s="0" t="str">
        <f aca="false">IF(OR(AND(M324=1,L324=0),AND(L324=1,K324=0),AND(K324=1,J324=0)),"Yes","No")</f>
        <v>No</v>
      </c>
      <c r="P324" s="0" t="n">
        <v>0</v>
      </c>
      <c r="Q324" s="0" t="str">
        <f aca="false">IF(OR(AND(M324=0,P324&gt;0),AND(M324=1,P324&lt;=0)),"Yes","No")</f>
        <v>No</v>
      </c>
      <c r="R324" s="0" t="str">
        <f aca="false">IF(AND(M324=1,P324&gt;calc_helpers!$B$5),"Yes","No")</f>
        <v>No</v>
      </c>
      <c r="S324" s="0" t="n">
        <v>0</v>
      </c>
      <c r="T324" s="0" t="str">
        <f aca="false">IF(S324&gt;0,"Yes","No")</f>
        <v>No</v>
      </c>
      <c r="U324" s="0" t="n">
        <v>0</v>
      </c>
      <c r="W324" s="0" t="str">
        <f aca="false">IF(OR(AND(M324=1,ISBLANK(V324)),AND(M324=0,NOT(ISBLANK(V324)))),"Yes","No")</f>
        <v>No</v>
      </c>
      <c r="X324" s="0" t="n">
        <v>66.2</v>
      </c>
      <c r="Y324" s="3" t="s">
        <v>30</v>
      </c>
      <c r="Z324" s="0" t="str">
        <f aca="false">IF(M324=1,P324,"")</f>
        <v/>
      </c>
    </row>
    <row r="325" customFormat="false" ht="15" hidden="false" customHeight="false" outlineLevel="0" collapsed="false">
      <c r="A325" s="0" t="s">
        <v>368</v>
      </c>
      <c r="B325" s="2" t="n">
        <v>45734</v>
      </c>
      <c r="C325" s="3" t="s">
        <v>27</v>
      </c>
      <c r="D325" s="3" t="s">
        <v>39</v>
      </c>
      <c r="E325" s="3" t="s">
        <v>35</v>
      </c>
      <c r="F325" s="3" t="s">
        <v>30</v>
      </c>
      <c r="G325" s="3" t="s">
        <v>52</v>
      </c>
      <c r="H325" s="3" t="s">
        <v>30</v>
      </c>
      <c r="I325" s="3" t="s">
        <v>37</v>
      </c>
      <c r="J325" s="0" t="n">
        <v>1</v>
      </c>
      <c r="K325" s="0" t="n">
        <v>1</v>
      </c>
      <c r="L325" s="0" t="n">
        <v>1</v>
      </c>
      <c r="M325" s="0" t="n">
        <v>0</v>
      </c>
      <c r="N325" s="0" t="str">
        <f aca="false">IF(OR(NOT(OR(J325=0,J325=1)),NOT(OR(K325=0,K325=1)),NOT(OR(L325=0,L325=1)),NOT(OR(M325=0,M325=1)),NOT(OR(U325=0,U325=1))),"Yes","No")</f>
        <v>No</v>
      </c>
      <c r="O325" s="0" t="str">
        <f aca="false">IF(OR(AND(M325=1,L325=0),AND(L325=1,K325=0),AND(K325=1,J325=0)),"Yes","No")</f>
        <v>No</v>
      </c>
      <c r="P325" s="0" t="n">
        <v>0</v>
      </c>
      <c r="Q325" s="0" t="str">
        <f aca="false">IF(OR(AND(M325=0,P325&gt;0),AND(M325=1,P325&lt;=0)),"Yes","No")</f>
        <v>No</v>
      </c>
      <c r="R325" s="0" t="str">
        <f aca="false">IF(AND(M325=1,P325&gt;calc_helpers!$B$5),"Yes","No")</f>
        <v>No</v>
      </c>
      <c r="S325" s="0" t="n">
        <v>0</v>
      </c>
      <c r="T325" s="0" t="str">
        <f aca="false">IF(S325&gt;0,"Yes","No")</f>
        <v>No</v>
      </c>
      <c r="U325" s="0" t="n">
        <v>0</v>
      </c>
      <c r="W325" s="0" t="str">
        <f aca="false">IF(OR(AND(M325=1,ISBLANK(V325)),AND(M325=0,NOT(ISBLANK(V325)))),"Yes","No")</f>
        <v>No</v>
      </c>
      <c r="X325" s="0" t="n">
        <v>61.3</v>
      </c>
      <c r="Y325" s="3" t="s">
        <v>30</v>
      </c>
      <c r="Z325" s="0" t="str">
        <f aca="false">IF(M325=1,P325,"")</f>
        <v/>
      </c>
    </row>
    <row r="326" customFormat="false" ht="15" hidden="false" customHeight="false" outlineLevel="0" collapsed="false">
      <c r="A326" s="0" t="s">
        <v>369</v>
      </c>
      <c r="B326" s="2" t="n">
        <v>45750</v>
      </c>
      <c r="C326" s="3" t="s">
        <v>27</v>
      </c>
      <c r="D326" s="3" t="s">
        <v>39</v>
      </c>
      <c r="E326" s="3" t="s">
        <v>35</v>
      </c>
      <c r="F326" s="3" t="s">
        <v>30</v>
      </c>
      <c r="G326" s="3" t="s">
        <v>40</v>
      </c>
      <c r="H326" s="3" t="s">
        <v>30</v>
      </c>
      <c r="I326" s="3" t="s">
        <v>37</v>
      </c>
      <c r="J326" s="0" t="n">
        <v>1</v>
      </c>
      <c r="K326" s="0" t="n">
        <v>0</v>
      </c>
      <c r="L326" s="0" t="n">
        <v>0</v>
      </c>
      <c r="M326" s="0" t="n">
        <v>0</v>
      </c>
      <c r="N326" s="0" t="str">
        <f aca="false">IF(OR(NOT(OR(J326=0,J326=1)),NOT(OR(K326=0,K326=1)),NOT(OR(L326=0,L326=1)),NOT(OR(M326=0,M326=1)),NOT(OR(U326=0,U326=1))),"Yes","No")</f>
        <v>No</v>
      </c>
      <c r="O326" s="0" t="str">
        <f aca="false">IF(OR(AND(M326=1,L326=0),AND(L326=1,K326=0),AND(K326=1,J326=0)),"Yes","No")</f>
        <v>No</v>
      </c>
      <c r="P326" s="0" t="n">
        <v>0</v>
      </c>
      <c r="Q326" s="0" t="str">
        <f aca="false">IF(OR(AND(M326=0,P326&gt;0),AND(M326=1,P326&lt;=0)),"Yes","No")</f>
        <v>No</v>
      </c>
      <c r="R326" s="0" t="str">
        <f aca="false">IF(AND(M326=1,P326&gt;calc_helpers!$B$5),"Yes","No")</f>
        <v>No</v>
      </c>
      <c r="S326" s="0" t="n">
        <v>0</v>
      </c>
      <c r="T326" s="0" t="str">
        <f aca="false">IF(S326&gt;0,"Yes","No")</f>
        <v>No</v>
      </c>
      <c r="U326" s="0" t="n">
        <v>0</v>
      </c>
      <c r="W326" s="0" t="str">
        <f aca="false">IF(OR(AND(M326=1,ISBLANK(V326)),AND(M326=0,NOT(ISBLANK(V326)))),"Yes","No")</f>
        <v>No</v>
      </c>
      <c r="X326" s="0" t="n">
        <v>72.2</v>
      </c>
      <c r="Y326" s="3" t="s">
        <v>30</v>
      </c>
      <c r="Z326" s="0" t="str">
        <f aca="false">IF(M326=1,P326,"")</f>
        <v/>
      </c>
    </row>
    <row r="327" customFormat="false" ht="15" hidden="false" customHeight="false" outlineLevel="0" collapsed="false">
      <c r="A327" s="0" t="s">
        <v>370</v>
      </c>
      <c r="B327" s="2" t="n">
        <v>45749</v>
      </c>
      <c r="C327" s="3" t="s">
        <v>27</v>
      </c>
      <c r="D327" s="3" t="s">
        <v>34</v>
      </c>
      <c r="E327" s="3" t="s">
        <v>35</v>
      </c>
      <c r="F327" s="3" t="s">
        <v>30</v>
      </c>
      <c r="G327" s="3" t="s">
        <v>31</v>
      </c>
      <c r="H327" s="3" t="s">
        <v>30</v>
      </c>
      <c r="I327" s="3" t="s">
        <v>41</v>
      </c>
      <c r="J327" s="0" t="n">
        <v>1</v>
      </c>
      <c r="K327" s="0" t="n">
        <v>1</v>
      </c>
      <c r="L327" s="0" t="n">
        <v>1</v>
      </c>
      <c r="M327" s="0" t="n">
        <v>0</v>
      </c>
      <c r="N327" s="0" t="str">
        <f aca="false">IF(OR(NOT(OR(J327=0,J327=1)),NOT(OR(K327=0,K327=1)),NOT(OR(L327=0,L327=1)),NOT(OR(M327=0,M327=1)),NOT(OR(U327=0,U327=1))),"Yes","No")</f>
        <v>No</v>
      </c>
      <c r="O327" s="0" t="str">
        <f aca="false">IF(OR(AND(M327=1,L327=0),AND(L327=1,K327=0),AND(K327=1,J327=0)),"Yes","No")</f>
        <v>No</v>
      </c>
      <c r="P327" s="0" t="n">
        <v>0</v>
      </c>
      <c r="Q327" s="0" t="str">
        <f aca="false">IF(OR(AND(M327=0,P327&gt;0),AND(M327=1,P327&lt;=0)),"Yes","No")</f>
        <v>No</v>
      </c>
      <c r="R327" s="0" t="str">
        <f aca="false">IF(AND(M327=1,P327&gt;calc_helpers!$B$5),"Yes","No")</f>
        <v>No</v>
      </c>
      <c r="S327" s="0" t="n">
        <v>0</v>
      </c>
      <c r="T327" s="0" t="str">
        <f aca="false">IF(S327&gt;0,"Yes","No")</f>
        <v>No</v>
      </c>
      <c r="U327" s="0" t="n">
        <v>0</v>
      </c>
      <c r="W327" s="0" t="str">
        <f aca="false">IF(OR(AND(M327=1,ISBLANK(V327)),AND(M327=0,NOT(ISBLANK(V327)))),"Yes","No")</f>
        <v>No</v>
      </c>
      <c r="X327" s="0" t="n">
        <v>84</v>
      </c>
      <c r="Y327" s="3" t="s">
        <v>30</v>
      </c>
      <c r="Z327" s="0" t="str">
        <f aca="false">IF(M327=1,P327,"")</f>
        <v/>
      </c>
    </row>
    <row r="328" customFormat="false" ht="15" hidden="false" customHeight="false" outlineLevel="0" collapsed="false">
      <c r="A328" s="0" t="s">
        <v>371</v>
      </c>
      <c r="B328" s="2" t="n">
        <v>45787</v>
      </c>
      <c r="C328" s="3" t="s">
        <v>27</v>
      </c>
      <c r="D328" s="3" t="s">
        <v>34</v>
      </c>
      <c r="E328" s="3" t="s">
        <v>29</v>
      </c>
      <c r="F328" s="3" t="s">
        <v>30</v>
      </c>
      <c r="G328" s="3" t="s">
        <v>31</v>
      </c>
      <c r="H328" s="3" t="s">
        <v>30</v>
      </c>
      <c r="I328" s="3" t="s">
        <v>32</v>
      </c>
      <c r="J328" s="0" t="n">
        <v>0</v>
      </c>
      <c r="K328" s="0" t="n">
        <v>0</v>
      </c>
      <c r="L328" s="0" t="n">
        <v>0</v>
      </c>
      <c r="M328" s="0" t="n">
        <v>0</v>
      </c>
      <c r="N328" s="0" t="str">
        <f aca="false">IF(OR(NOT(OR(J328=0,J328=1)),NOT(OR(K328=0,K328=1)),NOT(OR(L328=0,L328=1)),NOT(OR(M328=0,M328=1)),NOT(OR(U328=0,U328=1))),"Yes","No")</f>
        <v>No</v>
      </c>
      <c r="O328" s="0" t="str">
        <f aca="false">IF(OR(AND(M328=1,L328=0),AND(L328=1,K328=0),AND(K328=1,J328=0)),"Yes","No")</f>
        <v>No</v>
      </c>
      <c r="P328" s="0" t="n">
        <v>0</v>
      </c>
      <c r="Q328" s="0" t="str">
        <f aca="false">IF(OR(AND(M328=0,P328&gt;0),AND(M328=1,P328&lt;=0)),"Yes","No")</f>
        <v>No</v>
      </c>
      <c r="R328" s="0" t="str">
        <f aca="false">IF(AND(M328=1,P328&gt;calc_helpers!$B$5),"Yes","No")</f>
        <v>No</v>
      </c>
      <c r="S328" s="0" t="n">
        <v>0</v>
      </c>
      <c r="T328" s="0" t="str">
        <f aca="false">IF(S328&gt;0,"Yes","No")</f>
        <v>No</v>
      </c>
      <c r="U328" s="0" t="n">
        <v>0</v>
      </c>
      <c r="W328" s="0" t="str">
        <f aca="false">IF(OR(AND(M328=1,ISBLANK(V328)),AND(M328=0,NOT(ISBLANK(V328)))),"Yes","No")</f>
        <v>No</v>
      </c>
      <c r="X328" s="0" t="n">
        <v>59.8</v>
      </c>
      <c r="Y328" s="3" t="s">
        <v>30</v>
      </c>
      <c r="Z328" s="0" t="str">
        <f aca="false">IF(M328=1,P328,"")</f>
        <v/>
      </c>
    </row>
    <row r="329" customFormat="false" ht="15" hidden="false" customHeight="false" outlineLevel="0" collapsed="false">
      <c r="A329" s="0" t="s">
        <v>372</v>
      </c>
      <c r="B329" s="2" t="n">
        <v>45776</v>
      </c>
      <c r="C329" s="3" t="s">
        <v>27</v>
      </c>
      <c r="D329" s="3" t="s">
        <v>34</v>
      </c>
      <c r="E329" s="3" t="s">
        <v>29</v>
      </c>
      <c r="F329" s="3" t="s">
        <v>30</v>
      </c>
      <c r="G329" s="3" t="s">
        <v>40</v>
      </c>
      <c r="H329" s="3" t="s">
        <v>30</v>
      </c>
      <c r="I329" s="3" t="s">
        <v>37</v>
      </c>
      <c r="J329" s="0" t="n">
        <v>1</v>
      </c>
      <c r="K329" s="0" t="n">
        <v>0</v>
      </c>
      <c r="L329" s="0" t="n">
        <v>0</v>
      </c>
      <c r="M329" s="0" t="n">
        <v>0</v>
      </c>
      <c r="N329" s="0" t="str">
        <f aca="false">IF(OR(NOT(OR(J329=0,J329=1)),NOT(OR(K329=0,K329=1)),NOT(OR(L329=0,L329=1)),NOT(OR(M329=0,M329=1)),NOT(OR(U329=0,U329=1))),"Yes","No")</f>
        <v>No</v>
      </c>
      <c r="O329" s="0" t="str">
        <f aca="false">IF(OR(AND(M329=1,L329=0),AND(L329=1,K329=0),AND(K329=1,J329=0)),"Yes","No")</f>
        <v>No</v>
      </c>
      <c r="P329" s="0" t="n">
        <v>0</v>
      </c>
      <c r="Q329" s="0" t="str">
        <f aca="false">IF(OR(AND(M329=0,P329&gt;0),AND(M329=1,P329&lt;=0)),"Yes","No")</f>
        <v>No</v>
      </c>
      <c r="R329" s="0" t="str">
        <f aca="false">IF(AND(M329=1,P329&gt;calc_helpers!$B$5),"Yes","No")</f>
        <v>No</v>
      </c>
      <c r="S329" s="0" t="n">
        <v>0</v>
      </c>
      <c r="T329" s="0" t="str">
        <f aca="false">IF(S329&gt;0,"Yes","No")</f>
        <v>No</v>
      </c>
      <c r="U329" s="0" t="n">
        <v>0</v>
      </c>
      <c r="W329" s="0" t="str">
        <f aca="false">IF(OR(AND(M329=1,ISBLANK(V329)),AND(M329=0,NOT(ISBLANK(V329)))),"Yes","No")</f>
        <v>No</v>
      </c>
      <c r="X329" s="0" t="n">
        <v>64.9</v>
      </c>
      <c r="Y329" s="3" t="s">
        <v>30</v>
      </c>
      <c r="Z329" s="0" t="str">
        <f aca="false">IF(M329=1,P329,"")</f>
        <v/>
      </c>
    </row>
    <row r="330" customFormat="false" ht="15" hidden="false" customHeight="false" outlineLevel="0" collapsed="false">
      <c r="A330" s="0" t="s">
        <v>373</v>
      </c>
      <c r="B330" s="2" t="n">
        <v>45715</v>
      </c>
      <c r="C330" s="3" t="s">
        <v>27</v>
      </c>
      <c r="D330" s="3" t="s">
        <v>43</v>
      </c>
      <c r="E330" s="3" t="s">
        <v>35</v>
      </c>
      <c r="F330" s="3" t="s">
        <v>30</v>
      </c>
      <c r="G330" s="3" t="s">
        <v>40</v>
      </c>
      <c r="H330" s="3" t="s">
        <v>30</v>
      </c>
      <c r="I330" s="3" t="s">
        <v>37</v>
      </c>
      <c r="J330" s="0" t="n">
        <v>1</v>
      </c>
      <c r="K330" s="0" t="n">
        <v>0</v>
      </c>
      <c r="L330" s="0" t="n">
        <v>0</v>
      </c>
      <c r="M330" s="0" t="n">
        <v>0</v>
      </c>
      <c r="N330" s="0" t="str">
        <f aca="false">IF(OR(NOT(OR(J330=0,J330=1)),NOT(OR(K330=0,K330=1)),NOT(OR(L330=0,L330=1)),NOT(OR(M330=0,M330=1)),NOT(OR(U330=0,U330=1))),"Yes","No")</f>
        <v>No</v>
      </c>
      <c r="O330" s="0" t="str">
        <f aca="false">IF(OR(AND(M330=1,L330=0),AND(L330=1,K330=0),AND(K330=1,J330=0)),"Yes","No")</f>
        <v>No</v>
      </c>
      <c r="P330" s="0" t="n">
        <v>0</v>
      </c>
      <c r="Q330" s="0" t="str">
        <f aca="false">IF(OR(AND(M330=0,P330&gt;0),AND(M330=1,P330&lt;=0)),"Yes","No")</f>
        <v>No</v>
      </c>
      <c r="R330" s="0" t="str">
        <f aca="false">IF(AND(M330=1,P330&gt;calc_helpers!$B$5),"Yes","No")</f>
        <v>No</v>
      </c>
      <c r="S330" s="0" t="n">
        <v>0</v>
      </c>
      <c r="T330" s="0" t="str">
        <f aca="false">IF(S330&gt;0,"Yes","No")</f>
        <v>No</v>
      </c>
      <c r="U330" s="0" t="n">
        <v>0</v>
      </c>
      <c r="W330" s="0" t="str">
        <f aca="false">IF(OR(AND(M330=1,ISBLANK(V330)),AND(M330=0,NOT(ISBLANK(V330)))),"Yes","No")</f>
        <v>No</v>
      </c>
      <c r="X330" s="0" t="n">
        <v>66.8</v>
      </c>
      <c r="Y330" s="3" t="s">
        <v>30</v>
      </c>
      <c r="Z330" s="0" t="str">
        <f aca="false">IF(M330=1,P330,"")</f>
        <v/>
      </c>
    </row>
    <row r="331" customFormat="false" ht="15" hidden="false" customHeight="false" outlineLevel="0" collapsed="false">
      <c r="A331" s="0" t="s">
        <v>374</v>
      </c>
      <c r="B331" s="2" t="n">
        <v>45757</v>
      </c>
      <c r="C331" s="3" t="s">
        <v>27</v>
      </c>
      <c r="D331" s="3" t="s">
        <v>28</v>
      </c>
      <c r="E331" s="3" t="s">
        <v>29</v>
      </c>
      <c r="F331" s="3" t="s">
        <v>30</v>
      </c>
      <c r="G331" s="3" t="s">
        <v>36</v>
      </c>
      <c r="H331" s="3" t="s">
        <v>30</v>
      </c>
      <c r="I331" s="3" t="s">
        <v>41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str">
        <f aca="false">IF(OR(NOT(OR(J331=0,J331=1)),NOT(OR(K331=0,K331=1)),NOT(OR(L331=0,L331=1)),NOT(OR(M331=0,M331=1)),NOT(OR(U331=0,U331=1))),"Yes","No")</f>
        <v>No</v>
      </c>
      <c r="O331" s="0" t="str">
        <f aca="false">IF(OR(AND(M331=1,L331=0),AND(L331=1,K331=0),AND(K331=1,J331=0)),"Yes","No")</f>
        <v>No</v>
      </c>
      <c r="P331" s="0" t="n">
        <v>0</v>
      </c>
      <c r="Q331" s="0" t="str">
        <f aca="false">IF(OR(AND(M331=0,P331&gt;0),AND(M331=1,P331&lt;=0)),"Yes","No")</f>
        <v>No</v>
      </c>
      <c r="R331" s="0" t="str">
        <f aca="false">IF(AND(M331=1,P331&gt;calc_helpers!$B$5),"Yes","No")</f>
        <v>No</v>
      </c>
      <c r="S331" s="0" t="n">
        <v>0</v>
      </c>
      <c r="T331" s="0" t="str">
        <f aca="false">IF(S331&gt;0,"Yes","No")</f>
        <v>No</v>
      </c>
      <c r="U331" s="0" t="n">
        <v>0</v>
      </c>
      <c r="W331" s="0" t="str">
        <f aca="false">IF(OR(AND(M331=1,ISBLANK(V331)),AND(M331=0,NOT(ISBLANK(V331)))),"Yes","No")</f>
        <v>No</v>
      </c>
      <c r="X331" s="0" t="n">
        <v>70.9</v>
      </c>
      <c r="Y331" s="3" t="s">
        <v>30</v>
      </c>
      <c r="Z331" s="0" t="str">
        <f aca="false">IF(M331=1,P331,"")</f>
        <v/>
      </c>
    </row>
    <row r="332" customFormat="false" ht="15" hidden="false" customHeight="false" outlineLevel="0" collapsed="false">
      <c r="A332" s="0" t="s">
        <v>375</v>
      </c>
      <c r="B332" s="2" t="n">
        <v>45701</v>
      </c>
      <c r="C332" s="3" t="s">
        <v>27</v>
      </c>
      <c r="D332" s="3" t="s">
        <v>39</v>
      </c>
      <c r="E332" s="3" t="s">
        <v>35</v>
      </c>
      <c r="F332" s="3" t="s">
        <v>30</v>
      </c>
      <c r="G332" s="3" t="s">
        <v>36</v>
      </c>
      <c r="H332" s="3" t="s">
        <v>30</v>
      </c>
      <c r="I332" s="3" t="s">
        <v>37</v>
      </c>
      <c r="J332" s="0" t="n">
        <v>1</v>
      </c>
      <c r="K332" s="0" t="n">
        <v>1</v>
      </c>
      <c r="L332" s="0" t="n">
        <v>1</v>
      </c>
      <c r="M332" s="0" t="n">
        <v>1</v>
      </c>
      <c r="N332" s="0" t="str">
        <f aca="false">IF(OR(NOT(OR(J332=0,J332=1)),NOT(OR(K332=0,K332=1)),NOT(OR(L332=0,L332=1)),NOT(OR(M332=0,M332=1)),NOT(OR(U332=0,U332=1))),"Yes","No")</f>
        <v>No</v>
      </c>
      <c r="O332" s="0" t="str">
        <f aca="false">IF(OR(AND(M332=1,L332=0),AND(L332=1,K332=0),AND(K332=1,J332=0)),"Yes","No")</f>
        <v>No</v>
      </c>
      <c r="P332" s="0" t="n">
        <v>426.82</v>
      </c>
      <c r="Q332" s="0" t="str">
        <f aca="false">IF(OR(AND(M332=0,P332&gt;0),AND(M332=1,P332&lt;=0)),"Yes","No")</f>
        <v>No</v>
      </c>
      <c r="R332" s="0" t="str">
        <f aca="false">IF(AND(M332=1,P332&gt;calc_helpers!$B$5),"Yes","No")</f>
        <v>No</v>
      </c>
      <c r="S332" s="0" t="n">
        <v>1</v>
      </c>
      <c r="T332" s="0" t="str">
        <f aca="false">IF(S332&gt;0,"Yes","No")</f>
        <v>Yes</v>
      </c>
      <c r="U332" s="0" t="n">
        <v>0</v>
      </c>
      <c r="V332" s="0" t="n">
        <v>14</v>
      </c>
      <c r="W332" s="0" t="str">
        <f aca="false">IF(OR(AND(M332=1,ISBLANK(V332)),AND(M332=0,NOT(ISBLANK(V332)))),"Yes","No")</f>
        <v>No</v>
      </c>
      <c r="X332" s="0" t="n">
        <v>68.8</v>
      </c>
      <c r="Y332" s="3" t="s">
        <v>30</v>
      </c>
      <c r="Z332" s="3" t="n">
        <f aca="false">IF(M332=1,P332,"")</f>
        <v>426.82</v>
      </c>
    </row>
    <row r="333" customFormat="false" ht="15" hidden="false" customHeight="false" outlineLevel="0" collapsed="false">
      <c r="A333" s="0" t="s">
        <v>376</v>
      </c>
      <c r="B333" s="2" t="n">
        <v>45780</v>
      </c>
      <c r="C333" s="3" t="s">
        <v>27</v>
      </c>
      <c r="D333" s="3" t="s">
        <v>28</v>
      </c>
      <c r="E333" s="3" t="s">
        <v>35</v>
      </c>
      <c r="F333" s="3" t="s">
        <v>30</v>
      </c>
      <c r="G333" s="3" t="s">
        <v>36</v>
      </c>
      <c r="H333" s="3" t="s">
        <v>30</v>
      </c>
      <c r="I333" s="3" t="s">
        <v>32</v>
      </c>
      <c r="J333" s="0" t="n">
        <v>1</v>
      </c>
      <c r="K333" s="0" t="n">
        <v>0</v>
      </c>
      <c r="L333" s="0" t="n">
        <v>0</v>
      </c>
      <c r="M333" s="0" t="n">
        <v>0</v>
      </c>
      <c r="N333" s="0" t="str">
        <f aca="false">IF(OR(NOT(OR(J333=0,J333=1)),NOT(OR(K333=0,K333=1)),NOT(OR(L333=0,L333=1)),NOT(OR(M333=0,M333=1)),NOT(OR(U333=0,U333=1))),"Yes","No")</f>
        <v>No</v>
      </c>
      <c r="O333" s="0" t="str">
        <f aca="false">IF(OR(AND(M333=1,L333=0),AND(L333=1,K333=0),AND(K333=1,J333=0)),"Yes","No")</f>
        <v>No</v>
      </c>
      <c r="P333" s="0" t="n">
        <v>0</v>
      </c>
      <c r="Q333" s="0" t="str">
        <f aca="false">IF(OR(AND(M333=0,P333&gt;0),AND(M333=1,P333&lt;=0)),"Yes","No")</f>
        <v>No</v>
      </c>
      <c r="R333" s="0" t="str">
        <f aca="false">IF(AND(M333=1,P333&gt;calc_helpers!$B$5),"Yes","No")</f>
        <v>No</v>
      </c>
      <c r="S333" s="0" t="n">
        <v>0</v>
      </c>
      <c r="T333" s="0" t="str">
        <f aca="false">IF(S333&gt;0,"Yes","No")</f>
        <v>No</v>
      </c>
      <c r="U333" s="0" t="n">
        <v>0</v>
      </c>
      <c r="W333" s="0" t="str">
        <f aca="false">IF(OR(AND(M333=1,ISBLANK(V333)),AND(M333=0,NOT(ISBLANK(V333)))),"Yes","No")</f>
        <v>No</v>
      </c>
      <c r="X333" s="0" t="n">
        <v>72.4</v>
      </c>
      <c r="Y333" s="3" t="s">
        <v>30</v>
      </c>
      <c r="Z333" s="0" t="str">
        <f aca="false">IF(M333=1,P333,"")</f>
        <v/>
      </c>
    </row>
    <row r="334" customFormat="false" ht="15" hidden="false" customHeight="false" outlineLevel="0" collapsed="false">
      <c r="A334" s="0" t="s">
        <v>377</v>
      </c>
      <c r="B334" s="2" t="n">
        <v>45726</v>
      </c>
      <c r="C334" s="3" t="s">
        <v>27</v>
      </c>
      <c r="D334" s="3" t="s">
        <v>39</v>
      </c>
      <c r="E334" s="3" t="s">
        <v>35</v>
      </c>
      <c r="F334" s="3" t="s">
        <v>30</v>
      </c>
      <c r="G334" s="3" t="s">
        <v>36</v>
      </c>
      <c r="H334" s="3" t="s">
        <v>30</v>
      </c>
      <c r="I334" s="3" t="s">
        <v>32</v>
      </c>
      <c r="J334" s="0" t="n">
        <v>0</v>
      </c>
      <c r="K334" s="0" t="n">
        <v>0</v>
      </c>
      <c r="L334" s="0" t="n">
        <v>0</v>
      </c>
      <c r="M334" s="0" t="n">
        <v>0</v>
      </c>
      <c r="N334" s="0" t="str">
        <f aca="false">IF(OR(NOT(OR(J334=0,J334=1)),NOT(OR(K334=0,K334=1)),NOT(OR(L334=0,L334=1)),NOT(OR(M334=0,M334=1)),NOT(OR(U334=0,U334=1))),"Yes","No")</f>
        <v>No</v>
      </c>
      <c r="O334" s="0" t="str">
        <f aca="false">IF(OR(AND(M334=1,L334=0),AND(L334=1,K334=0),AND(K334=1,J334=0)),"Yes","No")</f>
        <v>No</v>
      </c>
      <c r="P334" s="0" t="n">
        <v>0</v>
      </c>
      <c r="Q334" s="0" t="str">
        <f aca="false">IF(OR(AND(M334=0,P334&gt;0),AND(M334=1,P334&lt;=0)),"Yes","No")</f>
        <v>No</v>
      </c>
      <c r="R334" s="0" t="str">
        <f aca="false">IF(AND(M334=1,P334&gt;calc_helpers!$B$5),"Yes","No")</f>
        <v>No</v>
      </c>
      <c r="S334" s="0" t="n">
        <v>0</v>
      </c>
      <c r="T334" s="0" t="str">
        <f aca="false">IF(S334&gt;0,"Yes","No")</f>
        <v>No</v>
      </c>
      <c r="U334" s="0" t="n">
        <v>0</v>
      </c>
      <c r="W334" s="0" t="str">
        <f aca="false">IF(OR(AND(M334=1,ISBLANK(V334)),AND(M334=0,NOT(ISBLANK(V334)))),"Yes","No")</f>
        <v>No</v>
      </c>
      <c r="X334" s="0" t="n">
        <v>63.3</v>
      </c>
      <c r="Y334" s="3" t="s">
        <v>30</v>
      </c>
      <c r="Z334" s="0" t="str">
        <f aca="false">IF(M334=1,P334,"")</f>
        <v/>
      </c>
    </row>
    <row r="335" customFormat="false" ht="15" hidden="false" customHeight="false" outlineLevel="0" collapsed="false">
      <c r="A335" s="0" t="s">
        <v>378</v>
      </c>
      <c r="B335" s="2" t="n">
        <v>45667</v>
      </c>
      <c r="C335" s="3" t="s">
        <v>27</v>
      </c>
      <c r="D335" s="3" t="s">
        <v>34</v>
      </c>
      <c r="E335" s="3" t="s">
        <v>45</v>
      </c>
      <c r="F335" s="3" t="s">
        <v>30</v>
      </c>
      <c r="G335" s="3" t="s">
        <v>52</v>
      </c>
      <c r="H335" s="3" t="s">
        <v>30</v>
      </c>
      <c r="I335" s="3" t="s">
        <v>37</v>
      </c>
      <c r="J335" s="0" t="n">
        <v>1</v>
      </c>
      <c r="K335" s="0" t="n">
        <v>0</v>
      </c>
      <c r="L335" s="0" t="n">
        <v>0</v>
      </c>
      <c r="M335" s="0" t="n">
        <v>0</v>
      </c>
      <c r="N335" s="0" t="str">
        <f aca="false">IF(OR(NOT(OR(J335=0,J335=1)),NOT(OR(K335=0,K335=1)),NOT(OR(L335=0,L335=1)),NOT(OR(M335=0,M335=1)),NOT(OR(U335=0,U335=1))),"Yes","No")</f>
        <v>No</v>
      </c>
      <c r="O335" s="0" t="str">
        <f aca="false">IF(OR(AND(M335=1,L335=0),AND(L335=1,K335=0),AND(K335=1,J335=0)),"Yes","No")</f>
        <v>No</v>
      </c>
      <c r="P335" s="0" t="n">
        <v>0</v>
      </c>
      <c r="Q335" s="0" t="str">
        <f aca="false">IF(OR(AND(M335=0,P335&gt;0),AND(M335=1,P335&lt;=0)),"Yes","No")</f>
        <v>No</v>
      </c>
      <c r="R335" s="0" t="str">
        <f aca="false">IF(AND(M335=1,P335&gt;calc_helpers!$B$5),"Yes","No")</f>
        <v>No</v>
      </c>
      <c r="S335" s="0" t="n">
        <v>0</v>
      </c>
      <c r="T335" s="0" t="str">
        <f aca="false">IF(S335&gt;0,"Yes","No")</f>
        <v>No</v>
      </c>
      <c r="U335" s="0" t="n">
        <v>0</v>
      </c>
      <c r="W335" s="0" t="str">
        <f aca="false">IF(OR(AND(M335=1,ISBLANK(V335)),AND(M335=0,NOT(ISBLANK(V335)))),"Yes","No")</f>
        <v>No</v>
      </c>
      <c r="X335" s="0" t="n">
        <v>30.8</v>
      </c>
      <c r="Y335" s="3" t="s">
        <v>30</v>
      </c>
      <c r="Z335" s="0" t="str">
        <f aca="false">IF(M335=1,P335,"")</f>
        <v/>
      </c>
    </row>
    <row r="336" customFormat="false" ht="15" hidden="false" customHeight="false" outlineLevel="0" collapsed="false">
      <c r="A336" s="0" t="s">
        <v>379</v>
      </c>
      <c r="B336" s="2" t="n">
        <v>45673</v>
      </c>
      <c r="C336" s="3" t="s">
        <v>27</v>
      </c>
      <c r="D336" s="3" t="s">
        <v>43</v>
      </c>
      <c r="E336" s="3" t="s">
        <v>35</v>
      </c>
      <c r="F336" s="3" t="s">
        <v>30</v>
      </c>
      <c r="G336" s="3" t="s">
        <v>31</v>
      </c>
      <c r="H336" s="3" t="s">
        <v>30</v>
      </c>
      <c r="I336" s="3" t="s">
        <v>32</v>
      </c>
      <c r="J336" s="0" t="n">
        <v>1</v>
      </c>
      <c r="K336" s="0" t="n">
        <v>1</v>
      </c>
      <c r="L336" s="0" t="n">
        <v>1</v>
      </c>
      <c r="M336" s="0" t="n">
        <v>1</v>
      </c>
      <c r="N336" s="0" t="str">
        <f aca="false">IF(OR(NOT(OR(J336=0,J336=1)),NOT(OR(K336=0,K336=1)),NOT(OR(L336=0,L336=1)),NOT(OR(M336=0,M336=1)),NOT(OR(U336=0,U336=1))),"Yes","No")</f>
        <v>No</v>
      </c>
      <c r="O336" s="0" t="str">
        <f aca="false">IF(OR(AND(M336=1,L336=0),AND(L336=1,K336=0),AND(K336=1,J336=0)),"Yes","No")</f>
        <v>No</v>
      </c>
      <c r="P336" s="0" t="n">
        <v>874.55</v>
      </c>
      <c r="Q336" s="0" t="str">
        <f aca="false">IF(OR(AND(M336=0,P336&gt;0),AND(M336=1,P336&lt;=0)),"Yes","No")</f>
        <v>No</v>
      </c>
      <c r="R336" s="0" t="str">
        <f aca="false">IF(AND(M336=1,P336&gt;calc_helpers!$B$5),"Yes","No")</f>
        <v>No</v>
      </c>
      <c r="S336" s="0" t="n">
        <v>0</v>
      </c>
      <c r="T336" s="0" t="str">
        <f aca="false">IF(S336&gt;0,"Yes","No")</f>
        <v>No</v>
      </c>
      <c r="U336" s="0" t="n">
        <v>0</v>
      </c>
      <c r="V336" s="0" t="n">
        <v>9</v>
      </c>
      <c r="W336" s="0" t="str">
        <f aca="false">IF(OR(AND(M336=1,ISBLANK(V336)),AND(M336=0,NOT(ISBLANK(V336)))),"Yes","No")</f>
        <v>No</v>
      </c>
      <c r="X336" s="0" t="n">
        <v>44.2</v>
      </c>
      <c r="Y336" s="3" t="s">
        <v>30</v>
      </c>
      <c r="Z336" s="3" t="n">
        <f aca="false">IF(M336=1,P336,"")</f>
        <v>874.55</v>
      </c>
    </row>
    <row r="337" customFormat="false" ht="15" hidden="false" customHeight="false" outlineLevel="0" collapsed="false">
      <c r="A337" s="0" t="s">
        <v>380</v>
      </c>
      <c r="B337" s="2" t="n">
        <v>45699</v>
      </c>
      <c r="C337" s="3" t="s">
        <v>27</v>
      </c>
      <c r="D337" s="3" t="s">
        <v>43</v>
      </c>
      <c r="E337" s="3" t="s">
        <v>29</v>
      </c>
      <c r="F337" s="3" t="s">
        <v>30</v>
      </c>
      <c r="G337" s="3" t="s">
        <v>36</v>
      </c>
      <c r="H337" s="3" t="s">
        <v>30</v>
      </c>
      <c r="I337" s="3" t="s">
        <v>41</v>
      </c>
      <c r="J337" s="0" t="n">
        <v>1</v>
      </c>
      <c r="K337" s="0" t="n">
        <v>1</v>
      </c>
      <c r="L337" s="0" t="n">
        <v>1</v>
      </c>
      <c r="M337" s="0" t="n">
        <v>1</v>
      </c>
      <c r="N337" s="0" t="str">
        <f aca="false">IF(OR(NOT(OR(J337=0,J337=1)),NOT(OR(K337=0,K337=1)),NOT(OR(L337=0,L337=1)),NOT(OR(M337=0,M337=1)),NOT(OR(U337=0,U337=1))),"Yes","No")</f>
        <v>No</v>
      </c>
      <c r="O337" s="0" t="str">
        <f aca="false">IF(OR(AND(M337=1,L337=0),AND(L337=1,K337=0),AND(K337=1,J337=0)),"Yes","No")</f>
        <v>No</v>
      </c>
      <c r="P337" s="0" t="n">
        <v>2206.88</v>
      </c>
      <c r="Q337" s="0" t="str">
        <f aca="false">IF(OR(AND(M337=0,P337&gt;0),AND(M337=1,P337&lt;=0)),"Yes","No")</f>
        <v>No</v>
      </c>
      <c r="R337" s="0" t="str">
        <f aca="false">IF(AND(M337=1,P337&gt;calc_helpers!$B$5),"Yes","No")</f>
        <v>No</v>
      </c>
      <c r="S337" s="0" t="n">
        <v>0</v>
      </c>
      <c r="T337" s="0" t="str">
        <f aca="false">IF(S337&gt;0,"Yes","No")</f>
        <v>No</v>
      </c>
      <c r="U337" s="0" t="n">
        <v>0</v>
      </c>
      <c r="V337" s="0" t="n">
        <v>10</v>
      </c>
      <c r="W337" s="0" t="str">
        <f aca="false">IF(OR(AND(M337=1,ISBLANK(V337)),AND(M337=0,NOT(ISBLANK(V337)))),"Yes","No")</f>
        <v>No</v>
      </c>
      <c r="X337" s="0" t="n">
        <v>56.2</v>
      </c>
      <c r="Y337" s="3" t="s">
        <v>30</v>
      </c>
      <c r="Z337" s="3" t="n">
        <f aca="false">IF(M337=1,P337,"")</f>
        <v>2206.88</v>
      </c>
    </row>
    <row r="338" customFormat="false" ht="15" hidden="false" customHeight="false" outlineLevel="0" collapsed="false">
      <c r="A338" s="0" t="s">
        <v>381</v>
      </c>
      <c r="B338" s="2" t="n">
        <v>45760</v>
      </c>
      <c r="C338" s="3" t="s">
        <v>27</v>
      </c>
      <c r="D338" s="3" t="s">
        <v>34</v>
      </c>
      <c r="E338" s="3" t="s">
        <v>35</v>
      </c>
      <c r="F338" s="3" t="s">
        <v>30</v>
      </c>
      <c r="G338" s="3" t="s">
        <v>36</v>
      </c>
      <c r="H338" s="3" t="s">
        <v>30</v>
      </c>
      <c r="I338" s="3" t="s">
        <v>37</v>
      </c>
      <c r="J338" s="0" t="n">
        <v>0</v>
      </c>
      <c r="K338" s="0" t="n">
        <v>0</v>
      </c>
      <c r="L338" s="0" t="n">
        <v>0</v>
      </c>
      <c r="M338" s="0" t="n">
        <v>0</v>
      </c>
      <c r="N338" s="0" t="str">
        <f aca="false">IF(OR(NOT(OR(J338=0,J338=1)),NOT(OR(K338=0,K338=1)),NOT(OR(L338=0,L338=1)),NOT(OR(M338=0,M338=1)),NOT(OR(U338=0,U338=1))),"Yes","No")</f>
        <v>No</v>
      </c>
      <c r="O338" s="0" t="str">
        <f aca="false">IF(OR(AND(M338=1,L338=0),AND(L338=1,K338=0),AND(K338=1,J338=0)),"Yes","No")</f>
        <v>No</v>
      </c>
      <c r="P338" s="0" t="n">
        <v>0</v>
      </c>
      <c r="Q338" s="0" t="str">
        <f aca="false">IF(OR(AND(M338=0,P338&gt;0),AND(M338=1,P338&lt;=0)),"Yes","No")</f>
        <v>No</v>
      </c>
      <c r="R338" s="0" t="str">
        <f aca="false">IF(AND(M338=1,P338&gt;calc_helpers!$B$5),"Yes","No")</f>
        <v>No</v>
      </c>
      <c r="S338" s="0" t="n">
        <v>0</v>
      </c>
      <c r="T338" s="0" t="str">
        <f aca="false">IF(S338&gt;0,"Yes","No")</f>
        <v>No</v>
      </c>
      <c r="U338" s="0" t="n">
        <v>0</v>
      </c>
      <c r="W338" s="0" t="str">
        <f aca="false">IF(OR(AND(M338=1,ISBLANK(V338)),AND(M338=0,NOT(ISBLANK(V338)))),"Yes","No")</f>
        <v>No</v>
      </c>
      <c r="X338" s="0" t="n">
        <v>40.4</v>
      </c>
      <c r="Y338" s="3" t="s">
        <v>30</v>
      </c>
      <c r="Z338" s="0" t="str">
        <f aca="false">IF(M338=1,P338,"")</f>
        <v/>
      </c>
    </row>
    <row r="339" customFormat="false" ht="15" hidden="false" customHeight="false" outlineLevel="0" collapsed="false">
      <c r="A339" s="0" t="s">
        <v>382</v>
      </c>
      <c r="B339" s="2" t="n">
        <v>45696</v>
      </c>
      <c r="C339" s="3" t="s">
        <v>27</v>
      </c>
      <c r="D339" s="3" t="s">
        <v>39</v>
      </c>
      <c r="E339" s="3" t="s">
        <v>35</v>
      </c>
      <c r="F339" s="3" t="s">
        <v>30</v>
      </c>
      <c r="G339" s="3" t="s">
        <v>40</v>
      </c>
      <c r="H339" s="3" t="s">
        <v>30</v>
      </c>
      <c r="I339" s="3" t="s">
        <v>37</v>
      </c>
      <c r="J339" s="0" t="n">
        <v>1</v>
      </c>
      <c r="K339" s="0" t="n">
        <v>1</v>
      </c>
      <c r="L339" s="0" t="n">
        <v>1</v>
      </c>
      <c r="M339" s="0" t="n">
        <v>0</v>
      </c>
      <c r="N339" s="0" t="str">
        <f aca="false">IF(OR(NOT(OR(J339=0,J339=1)),NOT(OR(K339=0,K339=1)),NOT(OR(L339=0,L339=1)),NOT(OR(M339=0,M339=1)),NOT(OR(U339=0,U339=1))),"Yes","No")</f>
        <v>No</v>
      </c>
      <c r="O339" s="0" t="str">
        <f aca="false">IF(OR(AND(M339=1,L339=0),AND(L339=1,K339=0),AND(K339=1,J339=0)),"Yes","No")</f>
        <v>No</v>
      </c>
      <c r="P339" s="0" t="n">
        <v>0</v>
      </c>
      <c r="Q339" s="0" t="str">
        <f aca="false">IF(OR(AND(M339=0,P339&gt;0),AND(M339=1,P339&lt;=0)),"Yes","No")</f>
        <v>No</v>
      </c>
      <c r="R339" s="0" t="str">
        <f aca="false">IF(AND(M339=1,P339&gt;calc_helpers!$B$5),"Yes","No")</f>
        <v>No</v>
      </c>
      <c r="S339" s="0" t="n">
        <v>0</v>
      </c>
      <c r="T339" s="0" t="str">
        <f aca="false">IF(S339&gt;0,"Yes","No")</f>
        <v>No</v>
      </c>
      <c r="U339" s="0" t="n">
        <v>0</v>
      </c>
      <c r="W339" s="0" t="str">
        <f aca="false">IF(OR(AND(M339=1,ISBLANK(V339)),AND(M339=0,NOT(ISBLANK(V339)))),"Yes","No")</f>
        <v>No</v>
      </c>
      <c r="X339" s="0" t="n">
        <v>68.1</v>
      </c>
      <c r="Y339" s="3" t="s">
        <v>30</v>
      </c>
      <c r="Z339" s="0" t="str">
        <f aca="false">IF(M339=1,P339,"")</f>
        <v/>
      </c>
    </row>
    <row r="340" customFormat="false" ht="15" hidden="false" customHeight="false" outlineLevel="0" collapsed="false">
      <c r="A340" s="0" t="s">
        <v>383</v>
      </c>
      <c r="B340" s="2" t="n">
        <v>45747</v>
      </c>
      <c r="C340" s="3" t="s">
        <v>27</v>
      </c>
      <c r="D340" s="3" t="s">
        <v>34</v>
      </c>
      <c r="E340" s="3" t="s">
        <v>29</v>
      </c>
      <c r="F340" s="3" t="s">
        <v>30</v>
      </c>
      <c r="G340" s="3" t="s">
        <v>50</v>
      </c>
      <c r="H340" s="3" t="s">
        <v>30</v>
      </c>
      <c r="I340" s="3" t="s">
        <v>37</v>
      </c>
      <c r="J340" s="0" t="n">
        <v>1</v>
      </c>
      <c r="K340" s="0" t="n">
        <v>0</v>
      </c>
      <c r="L340" s="0" t="n">
        <v>0</v>
      </c>
      <c r="M340" s="0" t="n">
        <v>0</v>
      </c>
      <c r="N340" s="0" t="str">
        <f aca="false">IF(OR(NOT(OR(J340=0,J340=1)),NOT(OR(K340=0,K340=1)),NOT(OR(L340=0,L340=1)),NOT(OR(M340=0,M340=1)),NOT(OR(U340=0,U340=1))),"Yes","No")</f>
        <v>No</v>
      </c>
      <c r="O340" s="0" t="str">
        <f aca="false">IF(OR(AND(M340=1,L340=0),AND(L340=1,K340=0),AND(K340=1,J340=0)),"Yes","No")</f>
        <v>No</v>
      </c>
      <c r="P340" s="0" t="n">
        <v>0</v>
      </c>
      <c r="Q340" s="0" t="str">
        <f aca="false">IF(OR(AND(M340=0,P340&gt;0),AND(M340=1,P340&lt;=0)),"Yes","No")</f>
        <v>No</v>
      </c>
      <c r="R340" s="0" t="str">
        <f aca="false">IF(AND(M340=1,P340&gt;calc_helpers!$B$5),"Yes","No")</f>
        <v>No</v>
      </c>
      <c r="S340" s="0" t="n">
        <v>0</v>
      </c>
      <c r="T340" s="0" t="str">
        <f aca="false">IF(S340&gt;0,"Yes","No")</f>
        <v>No</v>
      </c>
      <c r="U340" s="0" t="n">
        <v>0</v>
      </c>
      <c r="W340" s="0" t="str">
        <f aca="false">IF(OR(AND(M340=1,ISBLANK(V340)),AND(M340=0,NOT(ISBLANK(V340)))),"Yes","No")</f>
        <v>No</v>
      </c>
      <c r="X340" s="0" t="n">
        <v>86.3</v>
      </c>
      <c r="Y340" s="3" t="s">
        <v>30</v>
      </c>
      <c r="Z340" s="0" t="str">
        <f aca="false">IF(M340=1,P340,"")</f>
        <v/>
      </c>
    </row>
    <row r="341" customFormat="false" ht="15" hidden="false" customHeight="false" outlineLevel="0" collapsed="false">
      <c r="A341" s="0" t="s">
        <v>384</v>
      </c>
      <c r="B341" s="2" t="n">
        <v>45688</v>
      </c>
      <c r="C341" s="3" t="s">
        <v>27</v>
      </c>
      <c r="D341" s="3" t="s">
        <v>34</v>
      </c>
      <c r="E341" s="3" t="s">
        <v>29</v>
      </c>
      <c r="F341" s="3" t="s">
        <v>30</v>
      </c>
      <c r="G341" s="3" t="s">
        <v>50</v>
      </c>
      <c r="H341" s="3" t="s">
        <v>30</v>
      </c>
      <c r="I341" s="3" t="s">
        <v>37</v>
      </c>
      <c r="J341" s="0" t="n">
        <v>1</v>
      </c>
      <c r="K341" s="0" t="n">
        <v>1</v>
      </c>
      <c r="L341" s="0" t="n">
        <v>0</v>
      </c>
      <c r="M341" s="0" t="n">
        <v>0</v>
      </c>
      <c r="N341" s="0" t="str">
        <f aca="false">IF(OR(NOT(OR(J341=0,J341=1)),NOT(OR(K341=0,K341=1)),NOT(OR(L341=0,L341=1)),NOT(OR(M341=0,M341=1)),NOT(OR(U341=0,U341=1))),"Yes","No")</f>
        <v>No</v>
      </c>
      <c r="O341" s="0" t="str">
        <f aca="false">IF(OR(AND(M341=1,L341=0),AND(L341=1,K341=0),AND(K341=1,J341=0)),"Yes","No")</f>
        <v>No</v>
      </c>
      <c r="P341" s="0" t="n">
        <v>0</v>
      </c>
      <c r="Q341" s="0" t="str">
        <f aca="false">IF(OR(AND(M341=0,P341&gt;0),AND(M341=1,P341&lt;=0)),"Yes","No")</f>
        <v>No</v>
      </c>
      <c r="R341" s="0" t="str">
        <f aca="false">IF(AND(M341=1,P341&gt;calc_helpers!$B$5),"Yes","No")</f>
        <v>No</v>
      </c>
      <c r="S341" s="0" t="n">
        <v>0</v>
      </c>
      <c r="T341" s="0" t="str">
        <f aca="false">IF(S341&gt;0,"Yes","No")</f>
        <v>No</v>
      </c>
      <c r="U341" s="0" t="n">
        <v>0</v>
      </c>
      <c r="W341" s="0" t="str">
        <f aca="false">IF(OR(AND(M341=1,ISBLANK(V341)),AND(M341=0,NOT(ISBLANK(V341)))),"Yes","No")</f>
        <v>No</v>
      </c>
      <c r="X341" s="0" t="n">
        <v>42.9</v>
      </c>
      <c r="Y341" s="3" t="s">
        <v>30</v>
      </c>
      <c r="Z341" s="0" t="str">
        <f aca="false">IF(M341=1,P341,"")</f>
        <v/>
      </c>
    </row>
    <row r="342" customFormat="false" ht="15" hidden="false" customHeight="false" outlineLevel="0" collapsed="false">
      <c r="A342" s="0" t="s">
        <v>385</v>
      </c>
      <c r="B342" s="2" t="n">
        <v>45785</v>
      </c>
      <c r="C342" s="3" t="s">
        <v>27</v>
      </c>
      <c r="D342" s="3" t="s">
        <v>34</v>
      </c>
      <c r="E342" s="3" t="s">
        <v>45</v>
      </c>
      <c r="F342" s="3" t="s">
        <v>30</v>
      </c>
      <c r="G342" s="3" t="s">
        <v>36</v>
      </c>
      <c r="H342" s="3" t="s">
        <v>30</v>
      </c>
      <c r="I342" s="3" t="s">
        <v>37</v>
      </c>
      <c r="J342" s="0" t="n">
        <v>0</v>
      </c>
      <c r="K342" s="0" t="n">
        <v>0</v>
      </c>
      <c r="L342" s="0" t="n">
        <v>0</v>
      </c>
      <c r="M342" s="0" t="n">
        <v>0</v>
      </c>
      <c r="N342" s="0" t="str">
        <f aca="false">IF(OR(NOT(OR(J342=0,J342=1)),NOT(OR(K342=0,K342=1)),NOT(OR(L342=0,L342=1)),NOT(OR(M342=0,M342=1)),NOT(OR(U342=0,U342=1))),"Yes","No")</f>
        <v>No</v>
      </c>
      <c r="O342" s="0" t="str">
        <f aca="false">IF(OR(AND(M342=1,L342=0),AND(L342=1,K342=0),AND(K342=1,J342=0)),"Yes","No")</f>
        <v>No</v>
      </c>
      <c r="P342" s="0" t="n">
        <v>0</v>
      </c>
      <c r="Q342" s="0" t="str">
        <f aca="false">IF(OR(AND(M342=0,P342&gt;0),AND(M342=1,P342&lt;=0)),"Yes","No")</f>
        <v>No</v>
      </c>
      <c r="R342" s="0" t="str">
        <f aca="false">IF(AND(M342=1,P342&gt;calc_helpers!$B$5),"Yes","No")</f>
        <v>No</v>
      </c>
      <c r="S342" s="0" t="n">
        <v>0</v>
      </c>
      <c r="T342" s="0" t="str">
        <f aca="false">IF(S342&gt;0,"Yes","No")</f>
        <v>No</v>
      </c>
      <c r="U342" s="0" t="n">
        <v>0</v>
      </c>
      <c r="W342" s="0" t="str">
        <f aca="false">IF(OR(AND(M342=1,ISBLANK(V342)),AND(M342=0,NOT(ISBLANK(V342)))),"Yes","No")</f>
        <v>No</v>
      </c>
      <c r="X342" s="0" t="n">
        <v>61.4</v>
      </c>
      <c r="Y342" s="3" t="s">
        <v>30</v>
      </c>
      <c r="Z342" s="0" t="str">
        <f aca="false">IF(M342=1,P342,"")</f>
        <v/>
      </c>
    </row>
    <row r="343" customFormat="false" ht="15" hidden="false" customHeight="false" outlineLevel="0" collapsed="false">
      <c r="A343" s="0" t="s">
        <v>386</v>
      </c>
      <c r="B343" s="2" t="n">
        <v>45731</v>
      </c>
      <c r="C343" s="3" t="s">
        <v>27</v>
      </c>
      <c r="D343" s="3" t="s">
        <v>28</v>
      </c>
      <c r="E343" s="3" t="s">
        <v>35</v>
      </c>
      <c r="F343" s="3" t="s">
        <v>30</v>
      </c>
      <c r="G343" s="3" t="s">
        <v>40</v>
      </c>
      <c r="H343" s="3" t="s">
        <v>30</v>
      </c>
      <c r="I343" s="3" t="s">
        <v>37</v>
      </c>
      <c r="J343" s="0" t="n">
        <v>1</v>
      </c>
      <c r="K343" s="0" t="n">
        <v>0</v>
      </c>
      <c r="L343" s="0" t="n">
        <v>0</v>
      </c>
      <c r="M343" s="0" t="n">
        <v>0</v>
      </c>
      <c r="N343" s="0" t="str">
        <f aca="false">IF(OR(NOT(OR(J343=0,J343=1)),NOT(OR(K343=0,K343=1)),NOT(OR(L343=0,L343=1)),NOT(OR(M343=0,M343=1)),NOT(OR(U343=0,U343=1))),"Yes","No")</f>
        <v>No</v>
      </c>
      <c r="O343" s="0" t="str">
        <f aca="false">IF(OR(AND(M343=1,L343=0),AND(L343=1,K343=0),AND(K343=1,J343=0)),"Yes","No")</f>
        <v>No</v>
      </c>
      <c r="P343" s="0" t="n">
        <v>0</v>
      </c>
      <c r="Q343" s="0" t="str">
        <f aca="false">IF(OR(AND(M343=0,P343&gt;0),AND(M343=1,P343&lt;=0)),"Yes","No")</f>
        <v>No</v>
      </c>
      <c r="R343" s="0" t="str">
        <f aca="false">IF(AND(M343=1,P343&gt;calc_helpers!$B$5),"Yes","No")</f>
        <v>No</v>
      </c>
      <c r="S343" s="0" t="n">
        <v>1</v>
      </c>
      <c r="T343" s="0" t="str">
        <f aca="false">IF(S343&gt;0,"Yes","No")</f>
        <v>Yes</v>
      </c>
      <c r="U343" s="0" t="n">
        <v>0</v>
      </c>
      <c r="W343" s="0" t="str">
        <f aca="false">IF(OR(AND(M343=1,ISBLANK(V343)),AND(M343=0,NOT(ISBLANK(V343)))),"Yes","No")</f>
        <v>No</v>
      </c>
      <c r="X343" s="0" t="n">
        <v>73.3</v>
      </c>
      <c r="Y343" s="3" t="s">
        <v>30</v>
      </c>
      <c r="Z343" s="0" t="str">
        <f aca="false">IF(M343=1,P343,"")</f>
        <v/>
      </c>
    </row>
    <row r="344" customFormat="false" ht="15" hidden="false" customHeight="false" outlineLevel="0" collapsed="false">
      <c r="A344" s="0" t="s">
        <v>387</v>
      </c>
      <c r="B344" s="2" t="n">
        <v>45670</v>
      </c>
      <c r="C344" s="3" t="s">
        <v>27</v>
      </c>
      <c r="D344" s="3" t="s">
        <v>43</v>
      </c>
      <c r="E344" s="3" t="s">
        <v>35</v>
      </c>
      <c r="F344" s="3" t="s">
        <v>30</v>
      </c>
      <c r="G344" s="3" t="s">
        <v>50</v>
      </c>
      <c r="H344" s="3" t="s">
        <v>30</v>
      </c>
      <c r="I344" s="3" t="s">
        <v>32</v>
      </c>
      <c r="J344" s="0" t="n">
        <v>1</v>
      </c>
      <c r="K344" s="0" t="n">
        <v>0</v>
      </c>
      <c r="L344" s="0" t="n">
        <v>0</v>
      </c>
      <c r="M344" s="0" t="n">
        <v>0</v>
      </c>
      <c r="N344" s="0" t="str">
        <f aca="false">IF(OR(NOT(OR(J344=0,J344=1)),NOT(OR(K344=0,K344=1)),NOT(OR(L344=0,L344=1)),NOT(OR(M344=0,M344=1)),NOT(OR(U344=0,U344=1))),"Yes","No")</f>
        <v>No</v>
      </c>
      <c r="O344" s="0" t="str">
        <f aca="false">IF(OR(AND(M344=1,L344=0),AND(L344=1,K344=0),AND(K344=1,J344=0)),"Yes","No")</f>
        <v>No</v>
      </c>
      <c r="P344" s="0" t="n">
        <v>0</v>
      </c>
      <c r="Q344" s="0" t="str">
        <f aca="false">IF(OR(AND(M344=0,P344&gt;0),AND(M344=1,P344&lt;=0)),"Yes","No")</f>
        <v>No</v>
      </c>
      <c r="R344" s="0" t="str">
        <f aca="false">IF(AND(M344=1,P344&gt;calc_helpers!$B$5),"Yes","No")</f>
        <v>No</v>
      </c>
      <c r="S344" s="0" t="n">
        <v>0</v>
      </c>
      <c r="T344" s="0" t="str">
        <f aca="false">IF(S344&gt;0,"Yes","No")</f>
        <v>No</v>
      </c>
      <c r="U344" s="0" t="n">
        <v>0</v>
      </c>
      <c r="W344" s="0" t="str">
        <f aca="false">IF(OR(AND(M344=1,ISBLANK(V344)),AND(M344=0,NOT(ISBLANK(V344)))),"Yes","No")</f>
        <v>No</v>
      </c>
      <c r="X344" s="0" t="n">
        <v>59.4</v>
      </c>
      <c r="Y344" s="3" t="s">
        <v>30</v>
      </c>
      <c r="Z344" s="0" t="str">
        <f aca="false">IF(M344=1,P344,"")</f>
        <v/>
      </c>
    </row>
    <row r="345" customFormat="false" ht="15" hidden="false" customHeight="false" outlineLevel="0" collapsed="false">
      <c r="A345" s="0" t="s">
        <v>388</v>
      </c>
      <c r="B345" s="2" t="n">
        <v>45723</v>
      </c>
      <c r="C345" s="3" t="s">
        <v>27</v>
      </c>
      <c r="D345" s="3" t="s">
        <v>43</v>
      </c>
      <c r="E345" s="3" t="s">
        <v>45</v>
      </c>
      <c r="F345" s="3" t="s">
        <v>30</v>
      </c>
      <c r="G345" s="3" t="s">
        <v>36</v>
      </c>
      <c r="H345" s="3" t="s">
        <v>30</v>
      </c>
      <c r="I345" s="3" t="s">
        <v>32</v>
      </c>
      <c r="J345" s="0" t="n">
        <v>1</v>
      </c>
      <c r="K345" s="0" t="n">
        <v>0</v>
      </c>
      <c r="L345" s="0" t="n">
        <v>0</v>
      </c>
      <c r="M345" s="0" t="n">
        <v>0</v>
      </c>
      <c r="N345" s="0" t="str">
        <f aca="false">IF(OR(NOT(OR(J345=0,J345=1)),NOT(OR(K345=0,K345=1)),NOT(OR(L345=0,L345=1)),NOT(OR(M345=0,M345=1)),NOT(OR(U345=0,U345=1))),"Yes","No")</f>
        <v>No</v>
      </c>
      <c r="O345" s="0" t="str">
        <f aca="false">IF(OR(AND(M345=1,L345=0),AND(L345=1,K345=0),AND(K345=1,J345=0)),"Yes","No")</f>
        <v>No</v>
      </c>
      <c r="P345" s="0" t="n">
        <v>0</v>
      </c>
      <c r="Q345" s="0" t="str">
        <f aca="false">IF(OR(AND(M345=0,P345&gt;0),AND(M345=1,P345&lt;=0)),"Yes","No")</f>
        <v>No</v>
      </c>
      <c r="R345" s="0" t="str">
        <f aca="false">IF(AND(M345=1,P345&gt;calc_helpers!$B$5),"Yes","No")</f>
        <v>No</v>
      </c>
      <c r="S345" s="0" t="n">
        <v>0</v>
      </c>
      <c r="T345" s="0" t="str">
        <f aca="false">IF(S345&gt;0,"Yes","No")</f>
        <v>No</v>
      </c>
      <c r="U345" s="0" t="n">
        <v>0</v>
      </c>
      <c r="W345" s="0" t="str">
        <f aca="false">IF(OR(AND(M345=1,ISBLANK(V345)),AND(M345=0,NOT(ISBLANK(V345)))),"Yes","No")</f>
        <v>No</v>
      </c>
      <c r="X345" s="0" t="n">
        <v>35.2</v>
      </c>
      <c r="Y345" s="3" t="s">
        <v>30</v>
      </c>
      <c r="Z345" s="0" t="str">
        <f aca="false">IF(M345=1,P345,"")</f>
        <v/>
      </c>
    </row>
    <row r="346" customFormat="false" ht="15" hidden="false" customHeight="false" outlineLevel="0" collapsed="false">
      <c r="A346" s="0" t="s">
        <v>389</v>
      </c>
      <c r="B346" s="2" t="n">
        <v>45698</v>
      </c>
      <c r="C346" s="3" t="s">
        <v>27</v>
      </c>
      <c r="D346" s="3" t="s">
        <v>43</v>
      </c>
      <c r="E346" s="3" t="s">
        <v>35</v>
      </c>
      <c r="F346" s="3" t="s">
        <v>30</v>
      </c>
      <c r="G346" s="3" t="s">
        <v>52</v>
      </c>
      <c r="H346" s="3" t="s">
        <v>30</v>
      </c>
      <c r="I346" s="3" t="s">
        <v>41</v>
      </c>
      <c r="J346" s="0" t="n">
        <v>1</v>
      </c>
      <c r="K346" s="0" t="n">
        <v>1</v>
      </c>
      <c r="L346" s="0" t="n">
        <v>0</v>
      </c>
      <c r="M346" s="0" t="n">
        <v>0</v>
      </c>
      <c r="N346" s="0" t="str">
        <f aca="false">IF(OR(NOT(OR(J346=0,J346=1)),NOT(OR(K346=0,K346=1)),NOT(OR(L346=0,L346=1)),NOT(OR(M346=0,M346=1)),NOT(OR(U346=0,U346=1))),"Yes","No")</f>
        <v>No</v>
      </c>
      <c r="O346" s="0" t="str">
        <f aca="false">IF(OR(AND(M346=1,L346=0),AND(L346=1,K346=0),AND(K346=1,J346=0)),"Yes","No")</f>
        <v>No</v>
      </c>
      <c r="P346" s="0" t="n">
        <v>0</v>
      </c>
      <c r="Q346" s="0" t="str">
        <f aca="false">IF(OR(AND(M346=0,P346&gt;0),AND(M346=1,P346&lt;=0)),"Yes","No")</f>
        <v>No</v>
      </c>
      <c r="R346" s="0" t="str">
        <f aca="false">IF(AND(M346=1,P346&gt;calc_helpers!$B$5),"Yes","No")</f>
        <v>No</v>
      </c>
      <c r="S346" s="0" t="n">
        <v>0</v>
      </c>
      <c r="T346" s="0" t="str">
        <f aca="false">IF(S346&gt;0,"Yes","No")</f>
        <v>No</v>
      </c>
      <c r="U346" s="0" t="n">
        <v>0</v>
      </c>
      <c r="W346" s="0" t="str">
        <f aca="false">IF(OR(AND(M346=1,ISBLANK(V346)),AND(M346=0,NOT(ISBLANK(V346)))),"Yes","No")</f>
        <v>No</v>
      </c>
      <c r="X346" s="0" t="n">
        <v>55.3</v>
      </c>
      <c r="Y346" s="3" t="s">
        <v>30</v>
      </c>
      <c r="Z346" s="0" t="str">
        <f aca="false">IF(M346=1,P346,"")</f>
        <v/>
      </c>
    </row>
    <row r="347" customFormat="false" ht="15" hidden="false" customHeight="false" outlineLevel="0" collapsed="false">
      <c r="A347" s="0" t="s">
        <v>390</v>
      </c>
      <c r="B347" s="2" t="n">
        <v>45728</v>
      </c>
      <c r="C347" s="3" t="s">
        <v>27</v>
      </c>
      <c r="D347" s="3" t="s">
        <v>39</v>
      </c>
      <c r="E347" s="3" t="s">
        <v>35</v>
      </c>
      <c r="F347" s="3" t="s">
        <v>30</v>
      </c>
      <c r="G347" s="3" t="s">
        <v>40</v>
      </c>
      <c r="H347" s="3" t="s">
        <v>30</v>
      </c>
      <c r="I347" s="3" t="s">
        <v>37</v>
      </c>
      <c r="J347" s="0" t="n">
        <v>0</v>
      </c>
      <c r="K347" s="0" t="n">
        <v>0</v>
      </c>
      <c r="L347" s="0" t="n">
        <v>0</v>
      </c>
      <c r="M347" s="0" t="n">
        <v>0</v>
      </c>
      <c r="N347" s="0" t="str">
        <f aca="false">IF(OR(NOT(OR(J347=0,J347=1)),NOT(OR(K347=0,K347=1)),NOT(OR(L347=0,L347=1)),NOT(OR(M347=0,M347=1)),NOT(OR(U347=0,U347=1))),"Yes","No")</f>
        <v>No</v>
      </c>
      <c r="O347" s="0" t="str">
        <f aca="false">IF(OR(AND(M347=1,L347=0),AND(L347=1,K347=0),AND(K347=1,J347=0)),"Yes","No")</f>
        <v>No</v>
      </c>
      <c r="P347" s="0" t="n">
        <v>0</v>
      </c>
      <c r="Q347" s="0" t="str">
        <f aca="false">IF(OR(AND(M347=0,P347&gt;0),AND(M347=1,P347&lt;=0)),"Yes","No")</f>
        <v>No</v>
      </c>
      <c r="R347" s="0" t="str">
        <f aca="false">IF(AND(M347=1,P347&gt;calc_helpers!$B$5),"Yes","No")</f>
        <v>No</v>
      </c>
      <c r="S347" s="0" t="n">
        <v>0</v>
      </c>
      <c r="T347" s="0" t="str">
        <f aca="false">IF(S347&gt;0,"Yes","No")</f>
        <v>No</v>
      </c>
      <c r="U347" s="0" t="n">
        <v>0</v>
      </c>
      <c r="W347" s="0" t="str">
        <f aca="false">IF(OR(AND(M347=1,ISBLANK(V347)),AND(M347=0,NOT(ISBLANK(V347)))),"Yes","No")</f>
        <v>No</v>
      </c>
      <c r="X347" s="0" t="n">
        <v>37.5</v>
      </c>
      <c r="Y347" s="3" t="s">
        <v>30</v>
      </c>
      <c r="Z347" s="0" t="str">
        <f aca="false">IF(M347=1,P347,"")</f>
        <v/>
      </c>
    </row>
    <row r="348" customFormat="false" ht="15" hidden="false" customHeight="false" outlineLevel="0" collapsed="false">
      <c r="A348" s="0" t="s">
        <v>391</v>
      </c>
      <c r="B348" s="2" t="n">
        <v>45660</v>
      </c>
      <c r="C348" s="3" t="s">
        <v>27</v>
      </c>
      <c r="D348" s="3" t="s">
        <v>43</v>
      </c>
      <c r="E348" s="3" t="s">
        <v>29</v>
      </c>
      <c r="F348" s="3" t="s">
        <v>30</v>
      </c>
      <c r="G348" s="3" t="s">
        <v>40</v>
      </c>
      <c r="H348" s="3" t="s">
        <v>30</v>
      </c>
      <c r="I348" s="3" t="s">
        <v>37</v>
      </c>
      <c r="J348" s="0" t="n">
        <v>0</v>
      </c>
      <c r="K348" s="0" t="n">
        <v>0</v>
      </c>
      <c r="L348" s="0" t="n">
        <v>0</v>
      </c>
      <c r="M348" s="0" t="n">
        <v>0</v>
      </c>
      <c r="N348" s="0" t="str">
        <f aca="false">IF(OR(NOT(OR(J348=0,J348=1)),NOT(OR(K348=0,K348=1)),NOT(OR(L348=0,L348=1)),NOT(OR(M348=0,M348=1)),NOT(OR(U348=0,U348=1))),"Yes","No")</f>
        <v>No</v>
      </c>
      <c r="O348" s="0" t="str">
        <f aca="false">IF(OR(AND(M348=1,L348=0),AND(L348=1,K348=0),AND(K348=1,J348=0)),"Yes","No")</f>
        <v>No</v>
      </c>
      <c r="P348" s="0" t="n">
        <v>0</v>
      </c>
      <c r="Q348" s="0" t="str">
        <f aca="false">IF(OR(AND(M348=0,P348&gt;0),AND(M348=1,P348&lt;=0)),"Yes","No")</f>
        <v>No</v>
      </c>
      <c r="R348" s="0" t="str">
        <f aca="false">IF(AND(M348=1,P348&gt;calc_helpers!$B$5),"Yes","No")</f>
        <v>No</v>
      </c>
      <c r="S348" s="0" t="n">
        <v>1</v>
      </c>
      <c r="T348" s="0" t="str">
        <f aca="false">IF(S348&gt;0,"Yes","No")</f>
        <v>Yes</v>
      </c>
      <c r="U348" s="0" t="n">
        <v>0</v>
      </c>
      <c r="W348" s="0" t="str">
        <f aca="false">IF(OR(AND(M348=1,ISBLANK(V348)),AND(M348=0,NOT(ISBLANK(V348)))),"Yes","No")</f>
        <v>No</v>
      </c>
      <c r="X348" s="0" t="n">
        <v>66.4</v>
      </c>
      <c r="Y348" s="3" t="s">
        <v>30</v>
      </c>
      <c r="Z348" s="0" t="str">
        <f aca="false">IF(M348=1,P348,"")</f>
        <v/>
      </c>
    </row>
    <row r="349" customFormat="false" ht="15" hidden="false" customHeight="false" outlineLevel="0" collapsed="false">
      <c r="A349" s="0" t="s">
        <v>392</v>
      </c>
      <c r="B349" s="2" t="n">
        <v>45775</v>
      </c>
      <c r="C349" s="3" t="s">
        <v>27</v>
      </c>
      <c r="D349" s="3" t="s">
        <v>28</v>
      </c>
      <c r="E349" s="3" t="s">
        <v>45</v>
      </c>
      <c r="F349" s="3" t="s">
        <v>30</v>
      </c>
      <c r="G349" s="3" t="s">
        <v>52</v>
      </c>
      <c r="H349" s="3" t="s">
        <v>30</v>
      </c>
      <c r="I349" s="3" t="s">
        <v>32</v>
      </c>
      <c r="J349" s="0" t="n">
        <v>1</v>
      </c>
      <c r="K349" s="0" t="n">
        <v>0</v>
      </c>
      <c r="L349" s="0" t="n">
        <v>0</v>
      </c>
      <c r="M349" s="0" t="n">
        <v>0</v>
      </c>
      <c r="N349" s="0" t="str">
        <f aca="false">IF(OR(NOT(OR(J349=0,J349=1)),NOT(OR(K349=0,K349=1)),NOT(OR(L349=0,L349=1)),NOT(OR(M349=0,M349=1)),NOT(OR(U349=0,U349=1))),"Yes","No")</f>
        <v>No</v>
      </c>
      <c r="O349" s="0" t="str">
        <f aca="false">IF(OR(AND(M349=1,L349=0),AND(L349=1,K349=0),AND(K349=1,J349=0)),"Yes","No")</f>
        <v>No</v>
      </c>
      <c r="P349" s="0" t="n">
        <v>0</v>
      </c>
      <c r="Q349" s="0" t="str">
        <f aca="false">IF(OR(AND(M349=0,P349&gt;0),AND(M349=1,P349&lt;=0)),"Yes","No")</f>
        <v>No</v>
      </c>
      <c r="R349" s="0" t="str">
        <f aca="false">IF(AND(M349=1,P349&gt;calc_helpers!$B$5),"Yes","No")</f>
        <v>No</v>
      </c>
      <c r="S349" s="0" t="n">
        <v>0</v>
      </c>
      <c r="T349" s="0" t="str">
        <f aca="false">IF(S349&gt;0,"Yes","No")</f>
        <v>No</v>
      </c>
      <c r="U349" s="0" t="n">
        <v>0</v>
      </c>
      <c r="W349" s="0" t="str">
        <f aca="false">IF(OR(AND(M349=1,ISBLANK(V349)),AND(M349=0,NOT(ISBLANK(V349)))),"Yes","No")</f>
        <v>No</v>
      </c>
      <c r="X349" s="0" t="n">
        <v>61.9</v>
      </c>
      <c r="Y349" s="3" t="s">
        <v>30</v>
      </c>
      <c r="Z349" s="0" t="str">
        <f aca="false">IF(M349=1,P349,"")</f>
        <v/>
      </c>
    </row>
    <row r="350" customFormat="false" ht="15" hidden="false" customHeight="false" outlineLevel="0" collapsed="false">
      <c r="A350" s="0" t="s">
        <v>393</v>
      </c>
      <c r="B350" s="2" t="n">
        <v>45764</v>
      </c>
      <c r="C350" s="3" t="s">
        <v>27</v>
      </c>
      <c r="D350" s="3" t="s">
        <v>39</v>
      </c>
      <c r="E350" s="3" t="s">
        <v>35</v>
      </c>
      <c r="F350" s="3" t="s">
        <v>30</v>
      </c>
      <c r="G350" s="3" t="s">
        <v>36</v>
      </c>
      <c r="H350" s="3" t="s">
        <v>30</v>
      </c>
      <c r="I350" s="3" t="s">
        <v>37</v>
      </c>
      <c r="J350" s="0" t="n">
        <v>0</v>
      </c>
      <c r="K350" s="0" t="n">
        <v>0</v>
      </c>
      <c r="L350" s="0" t="n">
        <v>0</v>
      </c>
      <c r="M350" s="0" t="n">
        <v>0</v>
      </c>
      <c r="N350" s="0" t="str">
        <f aca="false">IF(OR(NOT(OR(J350=0,J350=1)),NOT(OR(K350=0,K350=1)),NOT(OR(L350=0,L350=1)),NOT(OR(M350=0,M350=1)),NOT(OR(U350=0,U350=1))),"Yes","No")</f>
        <v>No</v>
      </c>
      <c r="O350" s="0" t="str">
        <f aca="false">IF(OR(AND(M350=1,L350=0),AND(L350=1,K350=0),AND(K350=1,J350=0)),"Yes","No")</f>
        <v>No</v>
      </c>
      <c r="P350" s="0" t="n">
        <v>0</v>
      </c>
      <c r="Q350" s="0" t="str">
        <f aca="false">IF(OR(AND(M350=0,P350&gt;0),AND(M350=1,P350&lt;=0)),"Yes","No")</f>
        <v>No</v>
      </c>
      <c r="R350" s="0" t="str">
        <f aca="false">IF(AND(M350=1,P350&gt;calc_helpers!$B$5),"Yes","No")</f>
        <v>No</v>
      </c>
      <c r="S350" s="0" t="n">
        <v>0</v>
      </c>
      <c r="T350" s="0" t="str">
        <f aca="false">IF(S350&gt;0,"Yes","No")</f>
        <v>No</v>
      </c>
      <c r="U350" s="0" t="n">
        <v>0</v>
      </c>
      <c r="W350" s="0" t="str">
        <f aca="false">IF(OR(AND(M350=1,ISBLANK(V350)),AND(M350=0,NOT(ISBLANK(V350)))),"Yes","No")</f>
        <v>No</v>
      </c>
      <c r="X350" s="0" t="n">
        <v>56</v>
      </c>
      <c r="Y350" s="3" t="s">
        <v>30</v>
      </c>
      <c r="Z350" s="0" t="str">
        <f aca="false">IF(M350=1,P350,"")</f>
        <v/>
      </c>
    </row>
    <row r="351" customFormat="false" ht="15" hidden="false" customHeight="false" outlineLevel="0" collapsed="false">
      <c r="A351" s="0" t="s">
        <v>394</v>
      </c>
      <c r="B351" s="2" t="n">
        <v>45800</v>
      </c>
      <c r="C351" s="3" t="s">
        <v>27</v>
      </c>
      <c r="D351" s="3" t="s">
        <v>43</v>
      </c>
      <c r="E351" s="3" t="s">
        <v>29</v>
      </c>
      <c r="F351" s="3" t="s">
        <v>30</v>
      </c>
      <c r="G351" s="3" t="s">
        <v>52</v>
      </c>
      <c r="H351" s="3" t="s">
        <v>30</v>
      </c>
      <c r="I351" s="3" t="s">
        <v>32</v>
      </c>
      <c r="J351" s="0" t="n">
        <v>1</v>
      </c>
      <c r="K351" s="0" t="n">
        <v>0</v>
      </c>
      <c r="L351" s="0" t="n">
        <v>0</v>
      </c>
      <c r="M351" s="0" t="n">
        <v>0</v>
      </c>
      <c r="N351" s="0" t="str">
        <f aca="false">IF(OR(NOT(OR(J351=0,J351=1)),NOT(OR(K351=0,K351=1)),NOT(OR(L351=0,L351=1)),NOT(OR(M351=0,M351=1)),NOT(OR(U351=0,U351=1))),"Yes","No")</f>
        <v>No</v>
      </c>
      <c r="O351" s="0" t="str">
        <f aca="false">IF(OR(AND(M351=1,L351=0),AND(L351=1,K351=0),AND(K351=1,J351=0)),"Yes","No")</f>
        <v>No</v>
      </c>
      <c r="P351" s="0" t="n">
        <v>0</v>
      </c>
      <c r="Q351" s="0" t="str">
        <f aca="false">IF(OR(AND(M351=0,P351&gt;0),AND(M351=1,P351&lt;=0)),"Yes","No")</f>
        <v>No</v>
      </c>
      <c r="R351" s="0" t="str">
        <f aca="false">IF(AND(M351=1,P351&gt;calc_helpers!$B$5),"Yes","No")</f>
        <v>No</v>
      </c>
      <c r="S351" s="0" t="n">
        <v>0</v>
      </c>
      <c r="T351" s="0" t="str">
        <f aca="false">IF(S351&gt;0,"Yes","No")</f>
        <v>No</v>
      </c>
      <c r="U351" s="0" t="n">
        <v>0</v>
      </c>
      <c r="W351" s="0" t="str">
        <f aca="false">IF(OR(AND(M351=1,ISBLANK(V351)),AND(M351=0,NOT(ISBLANK(V351)))),"Yes","No")</f>
        <v>No</v>
      </c>
      <c r="X351" s="0" t="n">
        <v>55.5</v>
      </c>
      <c r="Y351" s="3" t="s">
        <v>30</v>
      </c>
      <c r="Z351" s="0" t="str">
        <f aca="false">IF(M351=1,P351,"")</f>
        <v/>
      </c>
    </row>
    <row r="352" customFormat="false" ht="15" hidden="false" customHeight="false" outlineLevel="0" collapsed="false">
      <c r="A352" s="0" t="s">
        <v>395</v>
      </c>
      <c r="B352" s="2" t="n">
        <v>45707</v>
      </c>
      <c r="C352" s="3" t="s">
        <v>27</v>
      </c>
      <c r="D352" s="3" t="s">
        <v>34</v>
      </c>
      <c r="E352" s="3" t="s">
        <v>45</v>
      </c>
      <c r="F352" s="3" t="s">
        <v>30</v>
      </c>
      <c r="G352" s="3" t="s">
        <v>50</v>
      </c>
      <c r="H352" s="3" t="s">
        <v>30</v>
      </c>
      <c r="I352" s="3" t="s">
        <v>32</v>
      </c>
      <c r="J352" s="0" t="n">
        <v>1</v>
      </c>
      <c r="K352" s="0" t="n">
        <v>0</v>
      </c>
      <c r="L352" s="0" t="n">
        <v>0</v>
      </c>
      <c r="M352" s="0" t="n">
        <v>0</v>
      </c>
      <c r="N352" s="0" t="str">
        <f aca="false">IF(OR(NOT(OR(J352=0,J352=1)),NOT(OR(K352=0,K352=1)),NOT(OR(L352=0,L352=1)),NOT(OR(M352=0,M352=1)),NOT(OR(U352=0,U352=1))),"Yes","No")</f>
        <v>No</v>
      </c>
      <c r="O352" s="0" t="str">
        <f aca="false">IF(OR(AND(M352=1,L352=0),AND(L352=1,K352=0),AND(K352=1,J352=0)),"Yes","No")</f>
        <v>No</v>
      </c>
      <c r="P352" s="0" t="n">
        <v>0</v>
      </c>
      <c r="Q352" s="0" t="str">
        <f aca="false">IF(OR(AND(M352=0,P352&gt;0),AND(M352=1,P352&lt;=0)),"Yes","No")</f>
        <v>No</v>
      </c>
      <c r="R352" s="0" t="str">
        <f aca="false">IF(AND(M352=1,P352&gt;calc_helpers!$B$5),"Yes","No")</f>
        <v>No</v>
      </c>
      <c r="S352" s="0" t="n">
        <v>0</v>
      </c>
      <c r="T352" s="0" t="str">
        <f aca="false">IF(S352&gt;0,"Yes","No")</f>
        <v>No</v>
      </c>
      <c r="U352" s="0" t="n">
        <v>0</v>
      </c>
      <c r="W352" s="0" t="str">
        <f aca="false">IF(OR(AND(M352=1,ISBLANK(V352)),AND(M352=0,NOT(ISBLANK(V352)))),"Yes","No")</f>
        <v>No</v>
      </c>
      <c r="X352" s="0" t="n">
        <v>37.2</v>
      </c>
      <c r="Y352" s="3" t="s">
        <v>30</v>
      </c>
      <c r="Z352" s="0" t="str">
        <f aca="false">IF(M352=1,P352,"")</f>
        <v/>
      </c>
    </row>
    <row r="353" customFormat="false" ht="15" hidden="false" customHeight="false" outlineLevel="0" collapsed="false">
      <c r="A353" s="0" t="s">
        <v>396</v>
      </c>
      <c r="B353" s="2" t="n">
        <v>45675</v>
      </c>
      <c r="C353" s="3" t="s">
        <v>27</v>
      </c>
      <c r="D353" s="3" t="s">
        <v>43</v>
      </c>
      <c r="E353" s="3" t="s">
        <v>29</v>
      </c>
      <c r="F353" s="3" t="s">
        <v>30</v>
      </c>
      <c r="G353" s="3" t="s">
        <v>36</v>
      </c>
      <c r="H353" s="3" t="s">
        <v>30</v>
      </c>
      <c r="I353" s="3" t="s">
        <v>37</v>
      </c>
      <c r="J353" s="0" t="n">
        <v>1</v>
      </c>
      <c r="K353" s="0" t="n">
        <v>1</v>
      </c>
      <c r="L353" s="0" t="n">
        <v>0</v>
      </c>
      <c r="M353" s="0" t="n">
        <v>0</v>
      </c>
      <c r="N353" s="0" t="str">
        <f aca="false">IF(OR(NOT(OR(J353=0,J353=1)),NOT(OR(K353=0,K353=1)),NOT(OR(L353=0,L353=1)),NOT(OR(M353=0,M353=1)),NOT(OR(U353=0,U353=1))),"Yes","No")</f>
        <v>No</v>
      </c>
      <c r="O353" s="0" t="str">
        <f aca="false">IF(OR(AND(M353=1,L353=0),AND(L353=1,K353=0),AND(K353=1,J353=0)),"Yes","No")</f>
        <v>No</v>
      </c>
      <c r="P353" s="0" t="n">
        <v>0</v>
      </c>
      <c r="Q353" s="0" t="str">
        <f aca="false">IF(OR(AND(M353=0,P353&gt;0),AND(M353=1,P353&lt;=0)),"Yes","No")</f>
        <v>No</v>
      </c>
      <c r="R353" s="0" t="str">
        <f aca="false">IF(AND(M353=1,P353&gt;calc_helpers!$B$5),"Yes","No")</f>
        <v>No</v>
      </c>
      <c r="S353" s="0" t="n">
        <v>1</v>
      </c>
      <c r="T353" s="0" t="str">
        <f aca="false">IF(S353&gt;0,"Yes","No")</f>
        <v>Yes</v>
      </c>
      <c r="U353" s="0" t="n">
        <v>0</v>
      </c>
      <c r="W353" s="0" t="str">
        <f aca="false">IF(OR(AND(M353=1,ISBLANK(V353)),AND(M353=0,NOT(ISBLANK(V353)))),"Yes","No")</f>
        <v>No</v>
      </c>
      <c r="X353" s="0" t="n">
        <v>70.5</v>
      </c>
      <c r="Y353" s="3" t="s">
        <v>30</v>
      </c>
      <c r="Z353" s="0" t="str">
        <f aca="false">IF(M353=1,P353,"")</f>
        <v/>
      </c>
    </row>
    <row r="354" customFormat="false" ht="15" hidden="false" customHeight="false" outlineLevel="0" collapsed="false">
      <c r="A354" s="0" t="s">
        <v>397</v>
      </c>
      <c r="B354" s="2" t="n">
        <v>45764</v>
      </c>
      <c r="C354" s="3" t="s">
        <v>27</v>
      </c>
      <c r="D354" s="3" t="s">
        <v>28</v>
      </c>
      <c r="E354" s="3" t="s">
        <v>35</v>
      </c>
      <c r="F354" s="3" t="s">
        <v>30</v>
      </c>
      <c r="G354" s="3" t="s">
        <v>36</v>
      </c>
      <c r="H354" s="3" t="s">
        <v>30</v>
      </c>
      <c r="I354" s="3" t="s">
        <v>37</v>
      </c>
      <c r="J354" s="0" t="n">
        <v>0</v>
      </c>
      <c r="K354" s="0" t="n">
        <v>0</v>
      </c>
      <c r="L354" s="0" t="n">
        <v>0</v>
      </c>
      <c r="M354" s="0" t="n">
        <v>0</v>
      </c>
      <c r="N354" s="0" t="str">
        <f aca="false">IF(OR(NOT(OR(J354=0,J354=1)),NOT(OR(K354=0,K354=1)),NOT(OR(L354=0,L354=1)),NOT(OR(M354=0,M354=1)),NOT(OR(U354=0,U354=1))),"Yes","No")</f>
        <v>No</v>
      </c>
      <c r="O354" s="0" t="str">
        <f aca="false">IF(OR(AND(M354=1,L354=0),AND(L354=1,K354=0),AND(K354=1,J354=0)),"Yes","No")</f>
        <v>No</v>
      </c>
      <c r="P354" s="0" t="n">
        <v>0</v>
      </c>
      <c r="Q354" s="0" t="str">
        <f aca="false">IF(OR(AND(M354=0,P354&gt;0),AND(M354=1,P354&lt;=0)),"Yes","No")</f>
        <v>No</v>
      </c>
      <c r="R354" s="0" t="str">
        <f aca="false">IF(AND(M354=1,P354&gt;calc_helpers!$B$5),"Yes","No")</f>
        <v>No</v>
      </c>
      <c r="S354" s="0" t="n">
        <v>0</v>
      </c>
      <c r="T354" s="0" t="str">
        <f aca="false">IF(S354&gt;0,"Yes","No")</f>
        <v>No</v>
      </c>
      <c r="U354" s="0" t="n">
        <v>0</v>
      </c>
      <c r="W354" s="0" t="str">
        <f aca="false">IF(OR(AND(M354=1,ISBLANK(V354)),AND(M354=0,NOT(ISBLANK(V354)))),"Yes","No")</f>
        <v>No</v>
      </c>
      <c r="X354" s="0" t="n">
        <v>61.2</v>
      </c>
      <c r="Y354" s="3" t="s">
        <v>30</v>
      </c>
      <c r="Z354" s="0" t="str">
        <f aca="false">IF(M354=1,P354,"")</f>
        <v/>
      </c>
    </row>
    <row r="355" customFormat="false" ht="15" hidden="false" customHeight="false" outlineLevel="0" collapsed="false">
      <c r="A355" s="0" t="s">
        <v>398</v>
      </c>
      <c r="B355" s="2" t="n">
        <v>45759</v>
      </c>
      <c r="C355" s="3" t="s">
        <v>27</v>
      </c>
      <c r="D355" s="3" t="s">
        <v>39</v>
      </c>
      <c r="E355" s="3" t="s">
        <v>45</v>
      </c>
      <c r="F355" s="3" t="s">
        <v>30</v>
      </c>
      <c r="G355" s="3" t="s">
        <v>52</v>
      </c>
      <c r="H355" s="3" t="s">
        <v>30</v>
      </c>
      <c r="I355" s="3" t="s">
        <v>37</v>
      </c>
      <c r="J355" s="0" t="n">
        <v>1</v>
      </c>
      <c r="K355" s="0" t="n">
        <v>1</v>
      </c>
      <c r="L355" s="0" t="n">
        <v>1</v>
      </c>
      <c r="M355" s="0" t="n">
        <v>0</v>
      </c>
      <c r="N355" s="0" t="str">
        <f aca="false">IF(OR(NOT(OR(J355=0,J355=1)),NOT(OR(K355=0,K355=1)),NOT(OR(L355=0,L355=1)),NOT(OR(M355=0,M355=1)),NOT(OR(U355=0,U355=1))),"Yes","No")</f>
        <v>No</v>
      </c>
      <c r="O355" s="0" t="str">
        <f aca="false">IF(OR(AND(M355=1,L355=0),AND(L355=1,K355=0),AND(K355=1,J355=0)),"Yes","No")</f>
        <v>No</v>
      </c>
      <c r="P355" s="0" t="n">
        <v>0</v>
      </c>
      <c r="Q355" s="0" t="str">
        <f aca="false">IF(OR(AND(M355=0,P355&gt;0),AND(M355=1,P355&lt;=0)),"Yes","No")</f>
        <v>No</v>
      </c>
      <c r="R355" s="0" t="str">
        <f aca="false">IF(AND(M355=1,P355&gt;calc_helpers!$B$5),"Yes","No")</f>
        <v>No</v>
      </c>
      <c r="S355" s="0" t="n">
        <v>0</v>
      </c>
      <c r="T355" s="0" t="str">
        <f aca="false">IF(S355&gt;0,"Yes","No")</f>
        <v>No</v>
      </c>
      <c r="U355" s="0" t="n">
        <v>0</v>
      </c>
      <c r="W355" s="0" t="str">
        <f aca="false">IF(OR(AND(M355=1,ISBLANK(V355)),AND(M355=0,NOT(ISBLANK(V355)))),"Yes","No")</f>
        <v>No</v>
      </c>
      <c r="X355" s="0" t="n">
        <v>64.6</v>
      </c>
      <c r="Y355" s="3" t="s">
        <v>30</v>
      </c>
      <c r="Z355" s="0" t="str">
        <f aca="false">IF(M355=1,P355,"")</f>
        <v/>
      </c>
    </row>
    <row r="356" customFormat="false" ht="15" hidden="false" customHeight="false" outlineLevel="0" collapsed="false">
      <c r="A356" s="0" t="s">
        <v>399</v>
      </c>
      <c r="B356" s="2" t="n">
        <v>45793</v>
      </c>
      <c r="C356" s="3" t="s">
        <v>27</v>
      </c>
      <c r="D356" s="3" t="s">
        <v>39</v>
      </c>
      <c r="E356" s="3" t="s">
        <v>35</v>
      </c>
      <c r="F356" s="3" t="s">
        <v>30</v>
      </c>
      <c r="G356" s="3" t="s">
        <v>31</v>
      </c>
      <c r="H356" s="3" t="s">
        <v>30</v>
      </c>
      <c r="I356" s="3" t="s">
        <v>37</v>
      </c>
      <c r="J356" s="0" t="n">
        <v>1</v>
      </c>
      <c r="K356" s="0" t="n">
        <v>1</v>
      </c>
      <c r="L356" s="0" t="n">
        <v>0</v>
      </c>
      <c r="M356" s="0" t="n">
        <v>0</v>
      </c>
      <c r="N356" s="0" t="str">
        <f aca="false">IF(OR(NOT(OR(J356=0,J356=1)),NOT(OR(K356=0,K356=1)),NOT(OR(L356=0,L356=1)),NOT(OR(M356=0,M356=1)),NOT(OR(U356=0,U356=1))),"Yes","No")</f>
        <v>No</v>
      </c>
      <c r="O356" s="0" t="str">
        <f aca="false">IF(OR(AND(M356=1,L356=0),AND(L356=1,K356=0),AND(K356=1,J356=0)),"Yes","No")</f>
        <v>No</v>
      </c>
      <c r="P356" s="0" t="n">
        <v>0</v>
      </c>
      <c r="Q356" s="0" t="str">
        <f aca="false">IF(OR(AND(M356=0,P356&gt;0),AND(M356=1,P356&lt;=0)),"Yes","No")</f>
        <v>No</v>
      </c>
      <c r="R356" s="0" t="str">
        <f aca="false">IF(AND(M356=1,P356&gt;calc_helpers!$B$5),"Yes","No")</f>
        <v>No</v>
      </c>
      <c r="S356" s="0" t="n">
        <v>0</v>
      </c>
      <c r="T356" s="0" t="str">
        <f aca="false">IF(S356&gt;0,"Yes","No")</f>
        <v>No</v>
      </c>
      <c r="U356" s="0" t="n">
        <v>0</v>
      </c>
      <c r="W356" s="0" t="str">
        <f aca="false">IF(OR(AND(M356=1,ISBLANK(V356)),AND(M356=0,NOT(ISBLANK(V356)))),"Yes","No")</f>
        <v>No</v>
      </c>
      <c r="X356" s="0" t="n">
        <v>91.7</v>
      </c>
      <c r="Y356" s="3" t="s">
        <v>30</v>
      </c>
      <c r="Z356" s="0" t="str">
        <f aca="false">IF(M356=1,P356,"")</f>
        <v/>
      </c>
    </row>
    <row r="357" customFormat="false" ht="15" hidden="false" customHeight="false" outlineLevel="0" collapsed="false">
      <c r="A357" s="0" t="s">
        <v>400</v>
      </c>
      <c r="B357" s="2" t="n">
        <v>45740</v>
      </c>
      <c r="C357" s="3" t="s">
        <v>27</v>
      </c>
      <c r="D357" s="3" t="s">
        <v>34</v>
      </c>
      <c r="E357" s="3" t="s">
        <v>35</v>
      </c>
      <c r="F357" s="3" t="s">
        <v>30</v>
      </c>
      <c r="G357" s="3" t="s">
        <v>52</v>
      </c>
      <c r="H357" s="3" t="s">
        <v>30</v>
      </c>
      <c r="I357" s="3" t="s">
        <v>37</v>
      </c>
      <c r="J357" s="0" t="n">
        <v>0</v>
      </c>
      <c r="K357" s="0" t="n">
        <v>0</v>
      </c>
      <c r="L357" s="0" t="n">
        <v>0</v>
      </c>
      <c r="M357" s="0" t="n">
        <v>0</v>
      </c>
      <c r="N357" s="0" t="str">
        <f aca="false">IF(OR(NOT(OR(J357=0,J357=1)),NOT(OR(K357=0,K357=1)),NOT(OR(L357=0,L357=1)),NOT(OR(M357=0,M357=1)),NOT(OR(U357=0,U357=1))),"Yes","No")</f>
        <v>No</v>
      </c>
      <c r="O357" s="0" t="str">
        <f aca="false">IF(OR(AND(M357=1,L357=0),AND(L357=1,K357=0),AND(K357=1,J357=0)),"Yes","No")</f>
        <v>No</v>
      </c>
      <c r="P357" s="0" t="n">
        <v>0</v>
      </c>
      <c r="Q357" s="0" t="str">
        <f aca="false">IF(OR(AND(M357=0,P357&gt;0),AND(M357=1,P357&lt;=0)),"Yes","No")</f>
        <v>No</v>
      </c>
      <c r="R357" s="0" t="str">
        <f aca="false">IF(AND(M357=1,P357&gt;calc_helpers!$B$5),"Yes","No")</f>
        <v>No</v>
      </c>
      <c r="S357" s="0" t="n">
        <v>0</v>
      </c>
      <c r="T357" s="0" t="str">
        <f aca="false">IF(S357&gt;0,"Yes","No")</f>
        <v>No</v>
      </c>
      <c r="U357" s="0" t="n">
        <v>0</v>
      </c>
      <c r="W357" s="0" t="str">
        <f aca="false">IF(OR(AND(M357=1,ISBLANK(V357)),AND(M357=0,NOT(ISBLANK(V357)))),"Yes","No")</f>
        <v>No</v>
      </c>
      <c r="X357" s="0" t="n">
        <v>46</v>
      </c>
      <c r="Y357" s="3" t="s">
        <v>30</v>
      </c>
      <c r="Z357" s="0" t="str">
        <f aca="false">IF(M357=1,P357,"")</f>
        <v/>
      </c>
    </row>
    <row r="358" customFormat="false" ht="15" hidden="false" customHeight="false" outlineLevel="0" collapsed="false">
      <c r="A358" s="0" t="s">
        <v>401</v>
      </c>
      <c r="B358" s="2" t="n">
        <v>45704</v>
      </c>
      <c r="C358" s="3" t="s">
        <v>27</v>
      </c>
      <c r="D358" s="3" t="s">
        <v>34</v>
      </c>
      <c r="E358" s="3" t="s">
        <v>35</v>
      </c>
      <c r="F358" s="3" t="s">
        <v>30</v>
      </c>
      <c r="G358" s="3" t="s">
        <v>36</v>
      </c>
      <c r="H358" s="3" t="s">
        <v>30</v>
      </c>
      <c r="I358" s="3" t="s">
        <v>32</v>
      </c>
      <c r="J358" s="0" t="n">
        <v>0</v>
      </c>
      <c r="K358" s="0" t="n">
        <v>0</v>
      </c>
      <c r="L358" s="0" t="n">
        <v>0</v>
      </c>
      <c r="M358" s="0" t="n">
        <v>0</v>
      </c>
      <c r="N358" s="0" t="str">
        <f aca="false">IF(OR(NOT(OR(J358=0,J358=1)),NOT(OR(K358=0,K358=1)),NOT(OR(L358=0,L358=1)),NOT(OR(M358=0,M358=1)),NOT(OR(U358=0,U358=1))),"Yes","No")</f>
        <v>No</v>
      </c>
      <c r="O358" s="0" t="str">
        <f aca="false">IF(OR(AND(M358=1,L358=0),AND(L358=1,K358=0),AND(K358=1,J358=0)),"Yes","No")</f>
        <v>No</v>
      </c>
      <c r="P358" s="0" t="n">
        <v>0</v>
      </c>
      <c r="Q358" s="0" t="str">
        <f aca="false">IF(OR(AND(M358=0,P358&gt;0),AND(M358=1,P358&lt;=0)),"Yes","No")</f>
        <v>No</v>
      </c>
      <c r="R358" s="0" t="str">
        <f aca="false">IF(AND(M358=1,P358&gt;calc_helpers!$B$5),"Yes","No")</f>
        <v>No</v>
      </c>
      <c r="S358" s="0" t="n">
        <v>0</v>
      </c>
      <c r="T358" s="0" t="str">
        <f aca="false">IF(S358&gt;0,"Yes","No")</f>
        <v>No</v>
      </c>
      <c r="U358" s="0" t="n">
        <v>0</v>
      </c>
      <c r="W358" s="0" t="str">
        <f aca="false">IF(OR(AND(M358=1,ISBLANK(V358)),AND(M358=0,NOT(ISBLANK(V358)))),"Yes","No")</f>
        <v>No</v>
      </c>
      <c r="X358" s="0" t="n">
        <v>50.8</v>
      </c>
      <c r="Y358" s="3" t="s">
        <v>30</v>
      </c>
      <c r="Z358" s="0" t="str">
        <f aca="false">IF(M358=1,P358,"")</f>
        <v/>
      </c>
    </row>
    <row r="359" customFormat="false" ht="15" hidden="false" customHeight="false" outlineLevel="0" collapsed="false">
      <c r="A359" s="0" t="s">
        <v>402</v>
      </c>
      <c r="B359" s="2" t="n">
        <v>45735</v>
      </c>
      <c r="C359" s="3" t="s">
        <v>27</v>
      </c>
      <c r="D359" s="3" t="s">
        <v>28</v>
      </c>
      <c r="E359" s="3" t="s">
        <v>45</v>
      </c>
      <c r="F359" s="3" t="s">
        <v>30</v>
      </c>
      <c r="G359" s="3" t="s">
        <v>36</v>
      </c>
      <c r="H359" s="3" t="s">
        <v>30</v>
      </c>
      <c r="I359" s="3" t="s">
        <v>37</v>
      </c>
      <c r="J359" s="0" t="n">
        <v>1</v>
      </c>
      <c r="K359" s="0" t="n">
        <v>1</v>
      </c>
      <c r="L359" s="0" t="n">
        <v>1</v>
      </c>
      <c r="M359" s="0" t="n">
        <v>0</v>
      </c>
      <c r="N359" s="0" t="str">
        <f aca="false">IF(OR(NOT(OR(J359=0,J359=1)),NOT(OR(K359=0,K359=1)),NOT(OR(L359=0,L359=1)),NOT(OR(M359=0,M359=1)),NOT(OR(U359=0,U359=1))),"Yes","No")</f>
        <v>No</v>
      </c>
      <c r="O359" s="0" t="str">
        <f aca="false">IF(OR(AND(M359=1,L359=0),AND(L359=1,K359=0),AND(K359=1,J359=0)),"Yes","No")</f>
        <v>No</v>
      </c>
      <c r="P359" s="0" t="n">
        <v>0</v>
      </c>
      <c r="Q359" s="0" t="str">
        <f aca="false">IF(OR(AND(M359=0,P359&gt;0),AND(M359=1,P359&lt;=0)),"Yes","No")</f>
        <v>No</v>
      </c>
      <c r="R359" s="0" t="str">
        <f aca="false">IF(AND(M359=1,P359&gt;calc_helpers!$B$5),"Yes","No")</f>
        <v>No</v>
      </c>
      <c r="S359" s="0" t="n">
        <v>0</v>
      </c>
      <c r="T359" s="0" t="str">
        <f aca="false">IF(S359&gt;0,"Yes","No")</f>
        <v>No</v>
      </c>
      <c r="U359" s="0" t="n">
        <v>0</v>
      </c>
      <c r="W359" s="0" t="str">
        <f aca="false">IF(OR(AND(M359=1,ISBLANK(V359)),AND(M359=0,NOT(ISBLANK(V359)))),"Yes","No")</f>
        <v>No</v>
      </c>
      <c r="X359" s="0" t="n">
        <v>52.8</v>
      </c>
      <c r="Y359" s="3" t="s">
        <v>30</v>
      </c>
      <c r="Z359" s="0" t="str">
        <f aca="false">IF(M359=1,P359,"")</f>
        <v/>
      </c>
    </row>
    <row r="360" customFormat="false" ht="15" hidden="false" customHeight="false" outlineLevel="0" collapsed="false">
      <c r="A360" s="0" t="s">
        <v>403</v>
      </c>
      <c r="B360" s="2" t="n">
        <v>45768</v>
      </c>
      <c r="C360" s="3" t="s">
        <v>27</v>
      </c>
      <c r="D360" s="3" t="s">
        <v>43</v>
      </c>
      <c r="E360" s="3" t="s">
        <v>35</v>
      </c>
      <c r="F360" s="3" t="s">
        <v>30</v>
      </c>
      <c r="G360" s="3" t="s">
        <v>36</v>
      </c>
      <c r="H360" s="3" t="s">
        <v>30</v>
      </c>
      <c r="I360" s="3" t="s">
        <v>32</v>
      </c>
      <c r="J360" s="0" t="n">
        <v>1</v>
      </c>
      <c r="K360" s="0" t="n">
        <v>1</v>
      </c>
      <c r="L360" s="0" t="n">
        <v>1</v>
      </c>
      <c r="M360" s="0" t="n">
        <v>0</v>
      </c>
      <c r="N360" s="0" t="str">
        <f aca="false">IF(OR(NOT(OR(J360=0,J360=1)),NOT(OR(K360=0,K360=1)),NOT(OR(L360=0,L360=1)),NOT(OR(M360=0,M360=1)),NOT(OR(U360=0,U360=1))),"Yes","No")</f>
        <v>No</v>
      </c>
      <c r="O360" s="0" t="str">
        <f aca="false">IF(OR(AND(M360=1,L360=0),AND(L360=1,K360=0),AND(K360=1,J360=0)),"Yes","No")</f>
        <v>No</v>
      </c>
      <c r="P360" s="0" t="n">
        <v>0</v>
      </c>
      <c r="Q360" s="0" t="str">
        <f aca="false">IF(OR(AND(M360=0,P360&gt;0),AND(M360=1,P360&lt;=0)),"Yes","No")</f>
        <v>No</v>
      </c>
      <c r="R360" s="0" t="str">
        <f aca="false">IF(AND(M360=1,P360&gt;calc_helpers!$B$5),"Yes","No")</f>
        <v>No</v>
      </c>
      <c r="S360" s="0" t="n">
        <v>0</v>
      </c>
      <c r="T360" s="0" t="str">
        <f aca="false">IF(S360&gt;0,"Yes","No")</f>
        <v>No</v>
      </c>
      <c r="U360" s="0" t="n">
        <v>0</v>
      </c>
      <c r="W360" s="0" t="str">
        <f aca="false">IF(OR(AND(M360=1,ISBLANK(V360)),AND(M360=0,NOT(ISBLANK(V360)))),"Yes","No")</f>
        <v>No</v>
      </c>
      <c r="X360" s="0" t="n">
        <v>63</v>
      </c>
      <c r="Y360" s="3" t="s">
        <v>30</v>
      </c>
      <c r="Z360" s="0" t="str">
        <f aca="false">IF(M360=1,P360,"")</f>
        <v/>
      </c>
    </row>
    <row r="361" customFormat="false" ht="15" hidden="false" customHeight="false" outlineLevel="0" collapsed="false">
      <c r="A361" s="0" t="s">
        <v>404</v>
      </c>
      <c r="B361" s="2" t="n">
        <v>45668</v>
      </c>
      <c r="C361" s="3" t="s">
        <v>27</v>
      </c>
      <c r="D361" s="3" t="s">
        <v>34</v>
      </c>
      <c r="E361" s="3" t="s">
        <v>35</v>
      </c>
      <c r="F361" s="3" t="s">
        <v>30</v>
      </c>
      <c r="G361" s="3" t="s">
        <v>36</v>
      </c>
      <c r="H361" s="3" t="s">
        <v>30</v>
      </c>
      <c r="I361" s="3" t="s">
        <v>37</v>
      </c>
      <c r="J361" s="0" t="n">
        <v>0</v>
      </c>
      <c r="K361" s="0" t="n">
        <v>0</v>
      </c>
      <c r="L361" s="0" t="n">
        <v>0</v>
      </c>
      <c r="M361" s="0" t="n">
        <v>0</v>
      </c>
      <c r="N361" s="0" t="str">
        <f aca="false">IF(OR(NOT(OR(J361=0,J361=1)),NOT(OR(K361=0,K361=1)),NOT(OR(L361=0,L361=1)),NOT(OR(M361=0,M361=1)),NOT(OR(U361=0,U361=1))),"Yes","No")</f>
        <v>No</v>
      </c>
      <c r="O361" s="0" t="str">
        <f aca="false">IF(OR(AND(M361=1,L361=0),AND(L361=1,K361=0),AND(K361=1,J361=0)),"Yes","No")</f>
        <v>No</v>
      </c>
      <c r="P361" s="0" t="n">
        <v>0</v>
      </c>
      <c r="Q361" s="0" t="str">
        <f aca="false">IF(OR(AND(M361=0,P361&gt;0),AND(M361=1,P361&lt;=0)),"Yes","No")</f>
        <v>No</v>
      </c>
      <c r="R361" s="0" t="str">
        <f aca="false">IF(AND(M361=1,P361&gt;calc_helpers!$B$5),"Yes","No")</f>
        <v>No</v>
      </c>
      <c r="S361" s="0" t="n">
        <v>0</v>
      </c>
      <c r="T361" s="0" t="str">
        <f aca="false">IF(S361&gt;0,"Yes","No")</f>
        <v>No</v>
      </c>
      <c r="U361" s="0" t="n">
        <v>0</v>
      </c>
      <c r="W361" s="0" t="str">
        <f aca="false">IF(OR(AND(M361=1,ISBLANK(V361)),AND(M361=0,NOT(ISBLANK(V361)))),"Yes","No")</f>
        <v>No</v>
      </c>
      <c r="X361" s="0" t="n">
        <v>28.4</v>
      </c>
      <c r="Y361" s="3" t="s">
        <v>30</v>
      </c>
      <c r="Z361" s="0" t="str">
        <f aca="false">IF(M361=1,P361,"")</f>
        <v/>
      </c>
    </row>
    <row r="362" customFormat="false" ht="15" hidden="false" customHeight="false" outlineLevel="0" collapsed="false">
      <c r="A362" s="0" t="s">
        <v>405</v>
      </c>
      <c r="B362" s="2" t="n">
        <v>45771</v>
      </c>
      <c r="C362" s="3" t="s">
        <v>27</v>
      </c>
      <c r="D362" s="3" t="s">
        <v>34</v>
      </c>
      <c r="E362" s="3" t="s">
        <v>29</v>
      </c>
      <c r="F362" s="3" t="s">
        <v>30</v>
      </c>
      <c r="G362" s="3" t="s">
        <v>36</v>
      </c>
      <c r="H362" s="3" t="s">
        <v>30</v>
      </c>
      <c r="I362" s="3" t="s">
        <v>37</v>
      </c>
      <c r="J362" s="0" t="n">
        <v>1</v>
      </c>
      <c r="K362" s="0" t="n">
        <v>1</v>
      </c>
      <c r="L362" s="0" t="n">
        <v>0</v>
      </c>
      <c r="M362" s="0" t="n">
        <v>0</v>
      </c>
      <c r="N362" s="0" t="str">
        <f aca="false">IF(OR(NOT(OR(J362=0,J362=1)),NOT(OR(K362=0,K362=1)),NOT(OR(L362=0,L362=1)),NOT(OR(M362=0,M362=1)),NOT(OR(U362=0,U362=1))),"Yes","No")</f>
        <v>No</v>
      </c>
      <c r="O362" s="0" t="str">
        <f aca="false">IF(OR(AND(M362=1,L362=0),AND(L362=1,K362=0),AND(K362=1,J362=0)),"Yes","No")</f>
        <v>No</v>
      </c>
      <c r="P362" s="0" t="n">
        <v>0</v>
      </c>
      <c r="Q362" s="0" t="str">
        <f aca="false">IF(OR(AND(M362=0,P362&gt;0),AND(M362=1,P362&lt;=0)),"Yes","No")</f>
        <v>No</v>
      </c>
      <c r="R362" s="0" t="str">
        <f aca="false">IF(AND(M362=1,P362&gt;calc_helpers!$B$5),"Yes","No")</f>
        <v>No</v>
      </c>
      <c r="S362" s="0" t="n">
        <v>0</v>
      </c>
      <c r="T362" s="0" t="str">
        <f aca="false">IF(S362&gt;0,"Yes","No")</f>
        <v>No</v>
      </c>
      <c r="U362" s="0" t="n">
        <v>0</v>
      </c>
      <c r="W362" s="0" t="str">
        <f aca="false">IF(OR(AND(M362=1,ISBLANK(V362)),AND(M362=0,NOT(ISBLANK(V362)))),"Yes","No")</f>
        <v>No</v>
      </c>
      <c r="X362" s="0" t="n">
        <v>65.6</v>
      </c>
      <c r="Y362" s="3" t="s">
        <v>30</v>
      </c>
      <c r="Z362" s="0" t="str">
        <f aca="false">IF(M362=1,P362,"")</f>
        <v/>
      </c>
    </row>
    <row r="363" customFormat="false" ht="15" hidden="false" customHeight="false" outlineLevel="0" collapsed="false">
      <c r="A363" s="0" t="s">
        <v>406</v>
      </c>
      <c r="B363" s="2" t="n">
        <v>45729</v>
      </c>
      <c r="C363" s="3" t="s">
        <v>27</v>
      </c>
      <c r="D363" s="3" t="s">
        <v>28</v>
      </c>
      <c r="E363" s="3" t="s">
        <v>35</v>
      </c>
      <c r="F363" s="3" t="s">
        <v>30</v>
      </c>
      <c r="G363" s="3" t="s">
        <v>52</v>
      </c>
      <c r="H363" s="3" t="s">
        <v>30</v>
      </c>
      <c r="I363" s="3" t="s">
        <v>41</v>
      </c>
      <c r="J363" s="0" t="n">
        <v>1</v>
      </c>
      <c r="K363" s="0" t="n">
        <v>1</v>
      </c>
      <c r="L363" s="0" t="n">
        <v>1</v>
      </c>
      <c r="M363" s="0" t="n">
        <v>0</v>
      </c>
      <c r="N363" s="0" t="str">
        <f aca="false">IF(OR(NOT(OR(J363=0,J363=1)),NOT(OR(K363=0,K363=1)),NOT(OR(L363=0,L363=1)),NOT(OR(M363=0,M363=1)),NOT(OR(U363=0,U363=1))),"Yes","No")</f>
        <v>No</v>
      </c>
      <c r="O363" s="0" t="str">
        <f aca="false">IF(OR(AND(M363=1,L363=0),AND(L363=1,K363=0),AND(K363=1,J363=0)),"Yes","No")</f>
        <v>No</v>
      </c>
      <c r="P363" s="0" t="n">
        <v>0</v>
      </c>
      <c r="Q363" s="0" t="str">
        <f aca="false">IF(OR(AND(M363=0,P363&gt;0),AND(M363=1,P363&lt;=0)),"Yes","No")</f>
        <v>No</v>
      </c>
      <c r="R363" s="0" t="str">
        <f aca="false">IF(AND(M363=1,P363&gt;calc_helpers!$B$5),"Yes","No")</f>
        <v>No</v>
      </c>
      <c r="S363" s="0" t="n">
        <v>0</v>
      </c>
      <c r="T363" s="0" t="str">
        <f aca="false">IF(S363&gt;0,"Yes","No")</f>
        <v>No</v>
      </c>
      <c r="U363" s="0" t="n">
        <v>0</v>
      </c>
      <c r="W363" s="0" t="str">
        <f aca="false">IF(OR(AND(M363=1,ISBLANK(V363)),AND(M363=0,NOT(ISBLANK(V363)))),"Yes","No")</f>
        <v>No</v>
      </c>
      <c r="X363" s="0" t="n">
        <v>54.7</v>
      </c>
      <c r="Y363" s="3" t="s">
        <v>30</v>
      </c>
      <c r="Z363" s="0" t="str">
        <f aca="false">IF(M363=1,P363,"")</f>
        <v/>
      </c>
    </row>
    <row r="364" customFormat="false" ht="15" hidden="false" customHeight="false" outlineLevel="0" collapsed="false">
      <c r="A364" s="0" t="s">
        <v>407</v>
      </c>
      <c r="B364" s="2" t="n">
        <v>45687</v>
      </c>
      <c r="C364" s="3" t="s">
        <v>27</v>
      </c>
      <c r="D364" s="3" t="s">
        <v>28</v>
      </c>
      <c r="E364" s="3" t="s">
        <v>35</v>
      </c>
      <c r="F364" s="3" t="s">
        <v>30</v>
      </c>
      <c r="G364" s="3" t="s">
        <v>52</v>
      </c>
      <c r="H364" s="3" t="s">
        <v>30</v>
      </c>
      <c r="I364" s="3" t="s">
        <v>32</v>
      </c>
      <c r="J364" s="0" t="n">
        <v>0</v>
      </c>
      <c r="K364" s="0" t="n">
        <v>0</v>
      </c>
      <c r="L364" s="0" t="n">
        <v>0</v>
      </c>
      <c r="M364" s="0" t="n">
        <v>0</v>
      </c>
      <c r="N364" s="0" t="str">
        <f aca="false">IF(OR(NOT(OR(J364=0,J364=1)),NOT(OR(K364=0,K364=1)),NOT(OR(L364=0,L364=1)),NOT(OR(M364=0,M364=1)),NOT(OR(U364=0,U364=1))),"Yes","No")</f>
        <v>No</v>
      </c>
      <c r="O364" s="0" t="str">
        <f aca="false">IF(OR(AND(M364=1,L364=0),AND(L364=1,K364=0),AND(K364=1,J364=0)),"Yes","No")</f>
        <v>No</v>
      </c>
      <c r="P364" s="0" t="n">
        <v>0</v>
      </c>
      <c r="Q364" s="0" t="str">
        <f aca="false">IF(OR(AND(M364=0,P364&gt;0),AND(M364=1,P364&lt;=0)),"Yes","No")</f>
        <v>No</v>
      </c>
      <c r="R364" s="0" t="str">
        <f aca="false">IF(AND(M364=1,P364&gt;calc_helpers!$B$5),"Yes","No")</f>
        <v>No</v>
      </c>
      <c r="S364" s="0" t="n">
        <v>0</v>
      </c>
      <c r="T364" s="0" t="str">
        <f aca="false">IF(S364&gt;0,"Yes","No")</f>
        <v>No</v>
      </c>
      <c r="U364" s="0" t="n">
        <v>0</v>
      </c>
      <c r="W364" s="0" t="str">
        <f aca="false">IF(OR(AND(M364=1,ISBLANK(V364)),AND(M364=0,NOT(ISBLANK(V364)))),"Yes","No")</f>
        <v>No</v>
      </c>
      <c r="X364" s="0" t="n">
        <v>36.1</v>
      </c>
      <c r="Y364" s="3" t="s">
        <v>30</v>
      </c>
      <c r="Z364" s="0" t="str">
        <f aca="false">IF(M364=1,P364,"")</f>
        <v/>
      </c>
    </row>
    <row r="365" customFormat="false" ht="15" hidden="false" customHeight="false" outlineLevel="0" collapsed="false">
      <c r="A365" s="0" t="s">
        <v>408</v>
      </c>
      <c r="B365" s="2" t="n">
        <v>45785</v>
      </c>
      <c r="C365" s="3" t="s">
        <v>27</v>
      </c>
      <c r="D365" s="3" t="s">
        <v>43</v>
      </c>
      <c r="E365" s="3" t="s">
        <v>35</v>
      </c>
      <c r="F365" s="3" t="s">
        <v>30</v>
      </c>
      <c r="G365" s="3" t="s">
        <v>52</v>
      </c>
      <c r="H365" s="3" t="s">
        <v>30</v>
      </c>
      <c r="I365" s="3" t="s">
        <v>32</v>
      </c>
      <c r="J365" s="0" t="n">
        <v>1</v>
      </c>
      <c r="K365" s="0" t="n">
        <v>1</v>
      </c>
      <c r="L365" s="0" t="n">
        <v>1</v>
      </c>
      <c r="M365" s="0" t="n">
        <v>0</v>
      </c>
      <c r="N365" s="0" t="str">
        <f aca="false">IF(OR(NOT(OR(J365=0,J365=1)),NOT(OR(K365=0,K365=1)),NOT(OR(L365=0,L365=1)),NOT(OR(M365=0,M365=1)),NOT(OR(U365=0,U365=1))),"Yes","No")</f>
        <v>No</v>
      </c>
      <c r="O365" s="0" t="str">
        <f aca="false">IF(OR(AND(M365=1,L365=0),AND(L365=1,K365=0),AND(K365=1,J365=0)),"Yes","No")</f>
        <v>No</v>
      </c>
      <c r="P365" s="0" t="n">
        <v>0</v>
      </c>
      <c r="Q365" s="0" t="str">
        <f aca="false">IF(OR(AND(M365=0,P365&gt;0),AND(M365=1,P365&lt;=0)),"Yes","No")</f>
        <v>No</v>
      </c>
      <c r="R365" s="0" t="str">
        <f aca="false">IF(AND(M365=1,P365&gt;calc_helpers!$B$5),"Yes","No")</f>
        <v>No</v>
      </c>
      <c r="S365" s="0" t="n">
        <v>0</v>
      </c>
      <c r="T365" s="0" t="str">
        <f aca="false">IF(S365&gt;0,"Yes","No")</f>
        <v>No</v>
      </c>
      <c r="U365" s="0" t="n">
        <v>0</v>
      </c>
      <c r="W365" s="0" t="str">
        <f aca="false">IF(OR(AND(M365=1,ISBLANK(V365)),AND(M365=0,NOT(ISBLANK(V365)))),"Yes","No")</f>
        <v>No</v>
      </c>
      <c r="X365" s="0" t="n">
        <v>70.4</v>
      </c>
      <c r="Y365" s="3" t="s">
        <v>30</v>
      </c>
      <c r="Z365" s="0" t="str">
        <f aca="false">IF(M365=1,P365,"")</f>
        <v/>
      </c>
    </row>
    <row r="366" customFormat="false" ht="15" hidden="false" customHeight="false" outlineLevel="0" collapsed="false">
      <c r="A366" s="0" t="s">
        <v>409</v>
      </c>
      <c r="B366" s="2" t="n">
        <v>45665</v>
      </c>
      <c r="C366" s="3" t="s">
        <v>27</v>
      </c>
      <c r="D366" s="3" t="s">
        <v>39</v>
      </c>
      <c r="E366" s="3" t="s">
        <v>29</v>
      </c>
      <c r="F366" s="3" t="s">
        <v>30</v>
      </c>
      <c r="G366" s="3" t="s">
        <v>52</v>
      </c>
      <c r="H366" s="3" t="s">
        <v>30</v>
      </c>
      <c r="I366" s="3" t="s">
        <v>37</v>
      </c>
      <c r="J366" s="0" t="n">
        <v>1</v>
      </c>
      <c r="K366" s="0" t="n">
        <v>0</v>
      </c>
      <c r="L366" s="0" t="n">
        <v>0</v>
      </c>
      <c r="M366" s="0" t="n">
        <v>0</v>
      </c>
      <c r="N366" s="0" t="str">
        <f aca="false">IF(OR(NOT(OR(J366=0,J366=1)),NOT(OR(K366=0,K366=1)),NOT(OR(L366=0,L366=1)),NOT(OR(M366=0,M366=1)),NOT(OR(U366=0,U366=1))),"Yes","No")</f>
        <v>No</v>
      </c>
      <c r="O366" s="0" t="str">
        <f aca="false">IF(OR(AND(M366=1,L366=0),AND(L366=1,K366=0),AND(K366=1,J366=0)),"Yes","No")</f>
        <v>No</v>
      </c>
      <c r="P366" s="0" t="n">
        <v>0</v>
      </c>
      <c r="Q366" s="0" t="str">
        <f aca="false">IF(OR(AND(M366=0,P366&gt;0),AND(M366=1,P366&lt;=0)),"Yes","No")</f>
        <v>No</v>
      </c>
      <c r="R366" s="0" t="str">
        <f aca="false">IF(AND(M366=1,P366&gt;calc_helpers!$B$5),"Yes","No")</f>
        <v>No</v>
      </c>
      <c r="S366" s="0" t="n">
        <v>0</v>
      </c>
      <c r="T366" s="0" t="str">
        <f aca="false">IF(S366&gt;0,"Yes","No")</f>
        <v>No</v>
      </c>
      <c r="U366" s="0" t="n">
        <v>0</v>
      </c>
      <c r="W366" s="0" t="str">
        <f aca="false">IF(OR(AND(M366=1,ISBLANK(V366)),AND(M366=0,NOT(ISBLANK(V366)))),"Yes","No")</f>
        <v>No</v>
      </c>
      <c r="X366" s="0" t="n">
        <v>56.4</v>
      </c>
      <c r="Y366" s="3" t="s">
        <v>30</v>
      </c>
      <c r="Z366" s="0" t="str">
        <f aca="false">IF(M366=1,P366,"")</f>
        <v/>
      </c>
    </row>
    <row r="367" customFormat="false" ht="15" hidden="false" customHeight="false" outlineLevel="0" collapsed="false">
      <c r="A367" s="0" t="s">
        <v>410</v>
      </c>
      <c r="B367" s="2" t="n">
        <v>45780</v>
      </c>
      <c r="C367" s="3" t="s">
        <v>27</v>
      </c>
      <c r="D367" s="3" t="s">
        <v>43</v>
      </c>
      <c r="E367" s="3" t="s">
        <v>35</v>
      </c>
      <c r="F367" s="3" t="s">
        <v>30</v>
      </c>
      <c r="G367" s="3" t="s">
        <v>36</v>
      </c>
      <c r="H367" s="3" t="s">
        <v>30</v>
      </c>
      <c r="I367" s="3" t="s">
        <v>37</v>
      </c>
      <c r="J367" s="0" t="n">
        <v>1</v>
      </c>
      <c r="K367" s="0" t="n">
        <v>0</v>
      </c>
      <c r="L367" s="0" t="n">
        <v>0</v>
      </c>
      <c r="M367" s="0" t="n">
        <v>0</v>
      </c>
      <c r="N367" s="0" t="str">
        <f aca="false">IF(OR(NOT(OR(J367=0,J367=1)),NOT(OR(K367=0,K367=1)),NOT(OR(L367=0,L367=1)),NOT(OR(M367=0,M367=1)),NOT(OR(U367=0,U367=1))),"Yes","No")</f>
        <v>No</v>
      </c>
      <c r="O367" s="0" t="str">
        <f aca="false">IF(OR(AND(M367=1,L367=0),AND(L367=1,K367=0),AND(K367=1,J367=0)),"Yes","No")</f>
        <v>No</v>
      </c>
      <c r="P367" s="0" t="n">
        <v>0</v>
      </c>
      <c r="Q367" s="0" t="str">
        <f aca="false">IF(OR(AND(M367=0,P367&gt;0),AND(M367=1,P367&lt;=0)),"Yes","No")</f>
        <v>No</v>
      </c>
      <c r="R367" s="0" t="str">
        <f aca="false">IF(AND(M367=1,P367&gt;calc_helpers!$B$5),"Yes","No")</f>
        <v>No</v>
      </c>
      <c r="S367" s="0" t="n">
        <v>0</v>
      </c>
      <c r="T367" s="0" t="str">
        <f aca="false">IF(S367&gt;0,"Yes","No")</f>
        <v>No</v>
      </c>
      <c r="U367" s="0" t="n">
        <v>0</v>
      </c>
      <c r="W367" s="0" t="str">
        <f aca="false">IF(OR(AND(M367=1,ISBLANK(V367)),AND(M367=0,NOT(ISBLANK(V367)))),"Yes","No")</f>
        <v>No</v>
      </c>
      <c r="X367" s="0" t="n">
        <v>79.2</v>
      </c>
      <c r="Y367" s="3" t="s">
        <v>30</v>
      </c>
      <c r="Z367" s="0" t="str">
        <f aca="false">IF(M367=1,P367,"")</f>
        <v/>
      </c>
    </row>
    <row r="368" customFormat="false" ht="15" hidden="false" customHeight="false" outlineLevel="0" collapsed="false">
      <c r="A368" s="0" t="s">
        <v>411</v>
      </c>
      <c r="B368" s="2" t="n">
        <v>45700</v>
      </c>
      <c r="C368" s="3" t="s">
        <v>27</v>
      </c>
      <c r="D368" s="3" t="s">
        <v>39</v>
      </c>
      <c r="E368" s="3" t="s">
        <v>35</v>
      </c>
      <c r="F368" s="3" t="s">
        <v>30</v>
      </c>
      <c r="G368" s="3" t="s">
        <v>40</v>
      </c>
      <c r="H368" s="3" t="s">
        <v>30</v>
      </c>
      <c r="I368" s="3" t="s">
        <v>37</v>
      </c>
      <c r="J368" s="0" t="n">
        <v>1</v>
      </c>
      <c r="K368" s="0" t="n">
        <v>1</v>
      </c>
      <c r="L368" s="0" t="n">
        <v>1</v>
      </c>
      <c r="M368" s="0" t="n">
        <v>0</v>
      </c>
      <c r="N368" s="0" t="str">
        <f aca="false">IF(OR(NOT(OR(J368=0,J368=1)),NOT(OR(K368=0,K368=1)),NOT(OR(L368=0,L368=1)),NOT(OR(M368=0,M368=1)),NOT(OR(U368=0,U368=1))),"Yes","No")</f>
        <v>No</v>
      </c>
      <c r="O368" s="0" t="str">
        <f aca="false">IF(OR(AND(M368=1,L368=0),AND(L368=1,K368=0),AND(K368=1,J368=0)),"Yes","No")</f>
        <v>No</v>
      </c>
      <c r="P368" s="0" t="n">
        <v>0</v>
      </c>
      <c r="Q368" s="0" t="str">
        <f aca="false">IF(OR(AND(M368=0,P368&gt;0),AND(M368=1,P368&lt;=0)),"Yes","No")</f>
        <v>No</v>
      </c>
      <c r="R368" s="0" t="str">
        <f aca="false">IF(AND(M368=1,P368&gt;calc_helpers!$B$5),"Yes","No")</f>
        <v>No</v>
      </c>
      <c r="S368" s="0" t="n">
        <v>0</v>
      </c>
      <c r="T368" s="0" t="str">
        <f aca="false">IF(S368&gt;0,"Yes","No")</f>
        <v>No</v>
      </c>
      <c r="U368" s="0" t="n">
        <v>0</v>
      </c>
      <c r="W368" s="0" t="str">
        <f aca="false">IF(OR(AND(M368=1,ISBLANK(V368)),AND(M368=0,NOT(ISBLANK(V368)))),"Yes","No")</f>
        <v>No</v>
      </c>
      <c r="X368" s="0" t="n">
        <v>60.1</v>
      </c>
      <c r="Y368" s="3" t="s">
        <v>30</v>
      </c>
      <c r="Z368" s="0" t="str">
        <f aca="false">IF(M368=1,P368,"")</f>
        <v/>
      </c>
    </row>
    <row r="369" customFormat="false" ht="15" hidden="false" customHeight="false" outlineLevel="0" collapsed="false">
      <c r="A369" s="0" t="s">
        <v>412</v>
      </c>
      <c r="B369" s="2" t="n">
        <v>45713</v>
      </c>
      <c r="C369" s="3" t="s">
        <v>27</v>
      </c>
      <c r="D369" s="3" t="s">
        <v>43</v>
      </c>
      <c r="E369" s="3" t="s">
        <v>45</v>
      </c>
      <c r="F369" s="3" t="s">
        <v>30</v>
      </c>
      <c r="G369" s="3" t="s">
        <v>36</v>
      </c>
      <c r="H369" s="3" t="s">
        <v>30</v>
      </c>
      <c r="I369" s="3" t="s">
        <v>37</v>
      </c>
      <c r="J369" s="0" t="n">
        <v>0</v>
      </c>
      <c r="K369" s="0" t="n">
        <v>0</v>
      </c>
      <c r="L369" s="0" t="n">
        <v>0</v>
      </c>
      <c r="M369" s="0" t="n">
        <v>0</v>
      </c>
      <c r="N369" s="0" t="str">
        <f aca="false">IF(OR(NOT(OR(J369=0,J369=1)),NOT(OR(K369=0,K369=1)),NOT(OR(L369=0,L369=1)),NOT(OR(M369=0,M369=1)),NOT(OR(U369=0,U369=1))),"Yes","No")</f>
        <v>No</v>
      </c>
      <c r="O369" s="0" t="str">
        <f aca="false">IF(OR(AND(M369=1,L369=0),AND(L369=1,K369=0),AND(K369=1,J369=0)),"Yes","No")</f>
        <v>No</v>
      </c>
      <c r="P369" s="0" t="n">
        <v>0</v>
      </c>
      <c r="Q369" s="0" t="str">
        <f aca="false">IF(OR(AND(M369=0,P369&gt;0),AND(M369=1,P369&lt;=0)),"Yes","No")</f>
        <v>No</v>
      </c>
      <c r="R369" s="0" t="str">
        <f aca="false">IF(AND(M369=1,P369&gt;calc_helpers!$B$5),"Yes","No")</f>
        <v>No</v>
      </c>
      <c r="S369" s="0" t="n">
        <v>0</v>
      </c>
      <c r="T369" s="0" t="str">
        <f aca="false">IF(S369&gt;0,"Yes","No")</f>
        <v>No</v>
      </c>
      <c r="U369" s="0" t="n">
        <v>0</v>
      </c>
      <c r="W369" s="0" t="str">
        <f aca="false">IF(OR(AND(M369=1,ISBLANK(V369)),AND(M369=0,NOT(ISBLANK(V369)))),"Yes","No")</f>
        <v>No</v>
      </c>
      <c r="X369" s="0" t="n">
        <v>58</v>
      </c>
      <c r="Y369" s="3" t="s">
        <v>30</v>
      </c>
      <c r="Z369" s="0" t="str">
        <f aca="false">IF(M369=1,P369,"")</f>
        <v/>
      </c>
    </row>
    <row r="370" customFormat="false" ht="15" hidden="false" customHeight="false" outlineLevel="0" collapsed="false">
      <c r="A370" s="0" t="s">
        <v>413</v>
      </c>
      <c r="B370" s="2" t="n">
        <v>45761</v>
      </c>
      <c r="C370" s="3" t="s">
        <v>27</v>
      </c>
      <c r="D370" s="3" t="s">
        <v>43</v>
      </c>
      <c r="E370" s="3" t="s">
        <v>35</v>
      </c>
      <c r="F370" s="3" t="s">
        <v>30</v>
      </c>
      <c r="G370" s="3" t="s">
        <v>50</v>
      </c>
      <c r="H370" s="3" t="s">
        <v>30</v>
      </c>
      <c r="I370" s="3" t="s">
        <v>37</v>
      </c>
      <c r="J370" s="0" t="n">
        <v>1</v>
      </c>
      <c r="K370" s="0" t="n">
        <v>1</v>
      </c>
      <c r="L370" s="0" t="n">
        <v>1</v>
      </c>
      <c r="M370" s="0" t="n">
        <v>0</v>
      </c>
      <c r="N370" s="0" t="str">
        <f aca="false">IF(OR(NOT(OR(J370=0,J370=1)),NOT(OR(K370=0,K370=1)),NOT(OR(L370=0,L370=1)),NOT(OR(M370=0,M370=1)),NOT(OR(U370=0,U370=1))),"Yes","No")</f>
        <v>No</v>
      </c>
      <c r="O370" s="0" t="str">
        <f aca="false">IF(OR(AND(M370=1,L370=0),AND(L370=1,K370=0),AND(K370=1,J370=0)),"Yes","No")</f>
        <v>No</v>
      </c>
      <c r="P370" s="0" t="n">
        <v>0</v>
      </c>
      <c r="Q370" s="0" t="str">
        <f aca="false">IF(OR(AND(M370=0,P370&gt;0),AND(M370=1,P370&lt;=0)),"Yes","No")</f>
        <v>No</v>
      </c>
      <c r="R370" s="0" t="str">
        <f aca="false">IF(AND(M370=1,P370&gt;calc_helpers!$B$5),"Yes","No")</f>
        <v>No</v>
      </c>
      <c r="S370" s="0" t="n">
        <v>0</v>
      </c>
      <c r="T370" s="0" t="str">
        <f aca="false">IF(S370&gt;0,"Yes","No")</f>
        <v>No</v>
      </c>
      <c r="U370" s="0" t="n">
        <v>0</v>
      </c>
      <c r="W370" s="0" t="str">
        <f aca="false">IF(OR(AND(M370=1,ISBLANK(V370)),AND(M370=0,NOT(ISBLANK(V370)))),"Yes","No")</f>
        <v>No</v>
      </c>
      <c r="X370" s="0" t="n">
        <v>69</v>
      </c>
      <c r="Y370" s="3" t="s">
        <v>30</v>
      </c>
      <c r="Z370" s="0" t="str">
        <f aca="false">IF(M370=1,P370,"")</f>
        <v/>
      </c>
    </row>
    <row r="371" customFormat="false" ht="15" hidden="false" customHeight="false" outlineLevel="0" collapsed="false">
      <c r="A371" s="0" t="s">
        <v>414</v>
      </c>
      <c r="B371" s="2" t="n">
        <v>45665</v>
      </c>
      <c r="C371" s="3" t="s">
        <v>27</v>
      </c>
      <c r="D371" s="3" t="s">
        <v>28</v>
      </c>
      <c r="E371" s="3" t="s">
        <v>35</v>
      </c>
      <c r="F371" s="3" t="s">
        <v>30</v>
      </c>
      <c r="G371" s="3" t="s">
        <v>50</v>
      </c>
      <c r="H371" s="3" t="s">
        <v>30</v>
      </c>
      <c r="I371" s="3" t="s">
        <v>41</v>
      </c>
      <c r="J371" s="0" t="n">
        <v>1</v>
      </c>
      <c r="K371" s="0" t="n">
        <v>1</v>
      </c>
      <c r="L371" s="0" t="n">
        <v>1</v>
      </c>
      <c r="M371" s="0" t="n">
        <v>0</v>
      </c>
      <c r="N371" s="0" t="str">
        <f aca="false">IF(OR(NOT(OR(J371=0,J371=1)),NOT(OR(K371=0,K371=1)),NOT(OR(L371=0,L371=1)),NOT(OR(M371=0,M371=1)),NOT(OR(U371=0,U371=1))),"Yes","No")</f>
        <v>No</v>
      </c>
      <c r="O371" s="0" t="str">
        <f aca="false">IF(OR(AND(M371=1,L371=0),AND(L371=1,K371=0),AND(K371=1,J371=0)),"Yes","No")</f>
        <v>No</v>
      </c>
      <c r="P371" s="0" t="n">
        <v>0</v>
      </c>
      <c r="Q371" s="0" t="str">
        <f aca="false">IF(OR(AND(M371=0,P371&gt;0),AND(M371=1,P371&lt;=0)),"Yes","No")</f>
        <v>No</v>
      </c>
      <c r="R371" s="0" t="str">
        <f aca="false">IF(AND(M371=1,P371&gt;calc_helpers!$B$5),"Yes","No")</f>
        <v>No</v>
      </c>
      <c r="S371" s="0" t="n">
        <v>1</v>
      </c>
      <c r="T371" s="0" t="str">
        <f aca="false">IF(S371&gt;0,"Yes","No")</f>
        <v>Yes</v>
      </c>
      <c r="U371" s="0" t="n">
        <v>0</v>
      </c>
      <c r="W371" s="0" t="str">
        <f aca="false">IF(OR(AND(M371=1,ISBLANK(V371)),AND(M371=0,NOT(ISBLANK(V371)))),"Yes","No")</f>
        <v>No</v>
      </c>
      <c r="X371" s="0" t="n">
        <v>80.8</v>
      </c>
      <c r="Y371" s="3" t="s">
        <v>30</v>
      </c>
      <c r="Z371" s="0" t="str">
        <f aca="false">IF(M371=1,P371,"")</f>
        <v/>
      </c>
    </row>
    <row r="372" customFormat="false" ht="15" hidden="false" customHeight="false" outlineLevel="0" collapsed="false">
      <c r="A372" s="0" t="s">
        <v>415</v>
      </c>
      <c r="B372" s="2" t="n">
        <v>45730</v>
      </c>
      <c r="C372" s="3" t="s">
        <v>27</v>
      </c>
      <c r="D372" s="3" t="s">
        <v>39</v>
      </c>
      <c r="E372" s="3" t="s">
        <v>35</v>
      </c>
      <c r="F372" s="3" t="s">
        <v>30</v>
      </c>
      <c r="G372" s="3" t="s">
        <v>31</v>
      </c>
      <c r="H372" s="3" t="s">
        <v>30</v>
      </c>
      <c r="I372" s="3" t="s">
        <v>37</v>
      </c>
      <c r="J372" s="0" t="n">
        <v>0</v>
      </c>
      <c r="K372" s="0" t="n">
        <v>0</v>
      </c>
      <c r="L372" s="0" t="n">
        <v>0</v>
      </c>
      <c r="M372" s="0" t="n">
        <v>0</v>
      </c>
      <c r="N372" s="0" t="str">
        <f aca="false">IF(OR(NOT(OR(J372=0,J372=1)),NOT(OR(K372=0,K372=1)),NOT(OR(L372=0,L372=1)),NOT(OR(M372=0,M372=1)),NOT(OR(U372=0,U372=1))),"Yes","No")</f>
        <v>No</v>
      </c>
      <c r="O372" s="0" t="str">
        <f aca="false">IF(OR(AND(M372=1,L372=0),AND(L372=1,K372=0),AND(K372=1,J372=0)),"Yes","No")</f>
        <v>No</v>
      </c>
      <c r="P372" s="0" t="n">
        <v>0</v>
      </c>
      <c r="Q372" s="0" t="str">
        <f aca="false">IF(OR(AND(M372=0,P372&gt;0),AND(M372=1,P372&lt;=0)),"Yes","No")</f>
        <v>No</v>
      </c>
      <c r="R372" s="0" t="str">
        <f aca="false">IF(AND(M372=1,P372&gt;calc_helpers!$B$5),"Yes","No")</f>
        <v>No</v>
      </c>
      <c r="S372" s="0" t="n">
        <v>0</v>
      </c>
      <c r="T372" s="0" t="str">
        <f aca="false">IF(S372&gt;0,"Yes","No")</f>
        <v>No</v>
      </c>
      <c r="U372" s="0" t="n">
        <v>0</v>
      </c>
      <c r="W372" s="0" t="str">
        <f aca="false">IF(OR(AND(M372=1,ISBLANK(V372)),AND(M372=0,NOT(ISBLANK(V372)))),"Yes","No")</f>
        <v>No</v>
      </c>
      <c r="X372" s="0" t="n">
        <v>32.8</v>
      </c>
      <c r="Y372" s="3" t="s">
        <v>30</v>
      </c>
      <c r="Z372" s="0" t="str">
        <f aca="false">IF(M372=1,P372,"")</f>
        <v/>
      </c>
    </row>
    <row r="373" customFormat="false" ht="15" hidden="false" customHeight="false" outlineLevel="0" collapsed="false">
      <c r="A373" s="0" t="s">
        <v>416</v>
      </c>
      <c r="B373" s="2" t="n">
        <v>45776</v>
      </c>
      <c r="C373" s="3" t="s">
        <v>27</v>
      </c>
      <c r="D373" s="3" t="s">
        <v>28</v>
      </c>
      <c r="E373" s="3" t="s">
        <v>29</v>
      </c>
      <c r="F373" s="3" t="s">
        <v>30</v>
      </c>
      <c r="G373" s="3" t="s">
        <v>40</v>
      </c>
      <c r="H373" s="3" t="s">
        <v>30</v>
      </c>
      <c r="I373" s="3" t="s">
        <v>41</v>
      </c>
      <c r="J373" s="0" t="n">
        <v>1</v>
      </c>
      <c r="K373" s="0" t="n">
        <v>0</v>
      </c>
      <c r="L373" s="0" t="n">
        <v>0</v>
      </c>
      <c r="M373" s="0" t="n">
        <v>0</v>
      </c>
      <c r="N373" s="0" t="str">
        <f aca="false">IF(OR(NOT(OR(J373=0,J373=1)),NOT(OR(K373=0,K373=1)),NOT(OR(L373=0,L373=1)),NOT(OR(M373=0,M373=1)),NOT(OR(U373=0,U373=1))),"Yes","No")</f>
        <v>No</v>
      </c>
      <c r="O373" s="0" t="str">
        <f aca="false">IF(OR(AND(M373=1,L373=0),AND(L373=1,K373=0),AND(K373=1,J373=0)),"Yes","No")</f>
        <v>No</v>
      </c>
      <c r="P373" s="0" t="n">
        <v>0</v>
      </c>
      <c r="Q373" s="0" t="str">
        <f aca="false">IF(OR(AND(M373=0,P373&gt;0),AND(M373=1,P373&lt;=0)),"Yes","No")</f>
        <v>No</v>
      </c>
      <c r="R373" s="0" t="str">
        <f aca="false">IF(AND(M373=1,P373&gt;calc_helpers!$B$5),"Yes","No")</f>
        <v>No</v>
      </c>
      <c r="S373" s="0" t="n">
        <v>0</v>
      </c>
      <c r="T373" s="0" t="str">
        <f aca="false">IF(S373&gt;0,"Yes","No")</f>
        <v>No</v>
      </c>
      <c r="U373" s="0" t="n">
        <v>0</v>
      </c>
      <c r="W373" s="0" t="str">
        <f aca="false">IF(OR(AND(M373=1,ISBLANK(V373)),AND(M373=0,NOT(ISBLANK(V373)))),"Yes","No")</f>
        <v>No</v>
      </c>
      <c r="X373" s="0" t="n">
        <v>56</v>
      </c>
      <c r="Y373" s="3" t="s">
        <v>30</v>
      </c>
      <c r="Z373" s="0" t="str">
        <f aca="false">IF(M373=1,P373,"")</f>
        <v/>
      </c>
    </row>
    <row r="374" customFormat="false" ht="15" hidden="false" customHeight="false" outlineLevel="0" collapsed="false">
      <c r="A374" s="0" t="s">
        <v>417</v>
      </c>
      <c r="B374" s="2" t="n">
        <v>45778</v>
      </c>
      <c r="C374" s="3" t="s">
        <v>27</v>
      </c>
      <c r="D374" s="3" t="s">
        <v>39</v>
      </c>
      <c r="E374" s="3" t="s">
        <v>29</v>
      </c>
      <c r="F374" s="3" t="s">
        <v>30</v>
      </c>
      <c r="G374" s="3" t="s">
        <v>52</v>
      </c>
      <c r="H374" s="3" t="s">
        <v>30</v>
      </c>
      <c r="I374" s="3" t="s">
        <v>37</v>
      </c>
      <c r="J374" s="0" t="n">
        <v>1</v>
      </c>
      <c r="K374" s="0" t="n">
        <v>0</v>
      </c>
      <c r="L374" s="0" t="n">
        <v>0</v>
      </c>
      <c r="M374" s="0" t="n">
        <v>0</v>
      </c>
      <c r="N374" s="0" t="str">
        <f aca="false">IF(OR(NOT(OR(J374=0,J374=1)),NOT(OR(K374=0,K374=1)),NOT(OR(L374=0,L374=1)),NOT(OR(M374=0,M374=1)),NOT(OR(U374=0,U374=1))),"Yes","No")</f>
        <v>No</v>
      </c>
      <c r="O374" s="0" t="str">
        <f aca="false">IF(OR(AND(M374=1,L374=0),AND(L374=1,K374=0),AND(K374=1,J374=0)),"Yes","No")</f>
        <v>No</v>
      </c>
      <c r="P374" s="0" t="n">
        <v>0</v>
      </c>
      <c r="Q374" s="0" t="str">
        <f aca="false">IF(OR(AND(M374=0,P374&gt;0),AND(M374=1,P374&lt;=0)),"Yes","No")</f>
        <v>No</v>
      </c>
      <c r="R374" s="0" t="str">
        <f aca="false">IF(AND(M374=1,P374&gt;calc_helpers!$B$5),"Yes","No")</f>
        <v>No</v>
      </c>
      <c r="S374" s="0" t="n">
        <v>0</v>
      </c>
      <c r="T374" s="0" t="str">
        <f aca="false">IF(S374&gt;0,"Yes","No")</f>
        <v>No</v>
      </c>
      <c r="U374" s="0" t="n">
        <v>0</v>
      </c>
      <c r="W374" s="0" t="str">
        <f aca="false">IF(OR(AND(M374=1,ISBLANK(V374)),AND(M374=0,NOT(ISBLANK(V374)))),"Yes","No")</f>
        <v>No</v>
      </c>
      <c r="X374" s="0" t="n">
        <v>76.4</v>
      </c>
      <c r="Y374" s="3" t="s">
        <v>30</v>
      </c>
      <c r="Z374" s="0" t="str">
        <f aca="false">IF(M374=1,P374,"")</f>
        <v/>
      </c>
    </row>
    <row r="375" customFormat="false" ht="15" hidden="false" customHeight="false" outlineLevel="0" collapsed="false">
      <c r="A375" s="0" t="s">
        <v>418</v>
      </c>
      <c r="B375" s="2" t="n">
        <v>45735</v>
      </c>
      <c r="C375" s="3" t="s">
        <v>27</v>
      </c>
      <c r="D375" s="3" t="s">
        <v>28</v>
      </c>
      <c r="E375" s="3" t="s">
        <v>35</v>
      </c>
      <c r="F375" s="3" t="s">
        <v>30</v>
      </c>
      <c r="G375" s="3" t="s">
        <v>50</v>
      </c>
      <c r="H375" s="3" t="s">
        <v>30</v>
      </c>
      <c r="I375" s="3" t="s">
        <v>37</v>
      </c>
      <c r="J375" s="0" t="n">
        <v>1</v>
      </c>
      <c r="K375" s="0" t="n">
        <v>0</v>
      </c>
      <c r="L375" s="0" t="n">
        <v>0</v>
      </c>
      <c r="M375" s="0" t="n">
        <v>0</v>
      </c>
      <c r="N375" s="0" t="str">
        <f aca="false">IF(OR(NOT(OR(J375=0,J375=1)),NOT(OR(K375=0,K375=1)),NOT(OR(L375=0,L375=1)),NOT(OR(M375=0,M375=1)),NOT(OR(U375=0,U375=1))),"Yes","No")</f>
        <v>No</v>
      </c>
      <c r="O375" s="0" t="str">
        <f aca="false">IF(OR(AND(M375=1,L375=0),AND(L375=1,K375=0),AND(K375=1,J375=0)),"Yes","No")</f>
        <v>No</v>
      </c>
      <c r="P375" s="0" t="n">
        <v>0</v>
      </c>
      <c r="Q375" s="0" t="str">
        <f aca="false">IF(OR(AND(M375=0,P375&gt;0),AND(M375=1,P375&lt;=0)),"Yes","No")</f>
        <v>No</v>
      </c>
      <c r="R375" s="0" t="str">
        <f aca="false">IF(AND(M375=1,P375&gt;calc_helpers!$B$5),"Yes","No")</f>
        <v>No</v>
      </c>
      <c r="S375" s="0" t="n">
        <v>0</v>
      </c>
      <c r="T375" s="0" t="str">
        <f aca="false">IF(S375&gt;0,"Yes","No")</f>
        <v>No</v>
      </c>
      <c r="U375" s="0" t="n">
        <v>0</v>
      </c>
      <c r="W375" s="0" t="str">
        <f aca="false">IF(OR(AND(M375=1,ISBLANK(V375)),AND(M375=0,NOT(ISBLANK(V375)))),"Yes","No")</f>
        <v>No</v>
      </c>
      <c r="X375" s="0" t="n">
        <v>28.5</v>
      </c>
      <c r="Y375" s="3" t="s">
        <v>30</v>
      </c>
      <c r="Z375" s="0" t="str">
        <f aca="false">IF(M375=1,P375,"")</f>
        <v/>
      </c>
    </row>
    <row r="376" customFormat="false" ht="15" hidden="false" customHeight="false" outlineLevel="0" collapsed="false">
      <c r="A376" s="0" t="s">
        <v>419</v>
      </c>
      <c r="B376" s="2" t="n">
        <v>45778</v>
      </c>
      <c r="C376" s="3" t="s">
        <v>27</v>
      </c>
      <c r="D376" s="3" t="s">
        <v>43</v>
      </c>
      <c r="E376" s="3" t="s">
        <v>29</v>
      </c>
      <c r="F376" s="3" t="s">
        <v>30</v>
      </c>
      <c r="G376" s="3" t="s">
        <v>52</v>
      </c>
      <c r="H376" s="3" t="s">
        <v>30</v>
      </c>
      <c r="I376" s="3" t="s">
        <v>32</v>
      </c>
      <c r="J376" s="0" t="n">
        <v>1</v>
      </c>
      <c r="K376" s="0" t="n">
        <v>1</v>
      </c>
      <c r="L376" s="0" t="n">
        <v>1</v>
      </c>
      <c r="M376" s="0" t="n">
        <v>0</v>
      </c>
      <c r="N376" s="0" t="str">
        <f aca="false">IF(OR(NOT(OR(J376=0,J376=1)),NOT(OR(K376=0,K376=1)),NOT(OR(L376=0,L376=1)),NOT(OR(M376=0,M376=1)),NOT(OR(U376=0,U376=1))),"Yes","No")</f>
        <v>No</v>
      </c>
      <c r="O376" s="0" t="str">
        <f aca="false">IF(OR(AND(M376=1,L376=0),AND(L376=1,K376=0),AND(K376=1,J376=0)),"Yes","No")</f>
        <v>No</v>
      </c>
      <c r="P376" s="0" t="n">
        <v>0</v>
      </c>
      <c r="Q376" s="0" t="str">
        <f aca="false">IF(OR(AND(M376=0,P376&gt;0),AND(M376=1,P376&lt;=0)),"Yes","No")</f>
        <v>No</v>
      </c>
      <c r="R376" s="0" t="str">
        <f aca="false">IF(AND(M376=1,P376&gt;calc_helpers!$B$5),"Yes","No")</f>
        <v>No</v>
      </c>
      <c r="S376" s="0" t="n">
        <v>0</v>
      </c>
      <c r="T376" s="0" t="str">
        <f aca="false">IF(S376&gt;0,"Yes","No")</f>
        <v>No</v>
      </c>
      <c r="U376" s="0" t="n">
        <v>0</v>
      </c>
      <c r="W376" s="0" t="str">
        <f aca="false">IF(OR(AND(M376=1,ISBLANK(V376)),AND(M376=0,NOT(ISBLANK(V376)))),"Yes","No")</f>
        <v>No</v>
      </c>
      <c r="X376" s="0" t="n">
        <v>48.3</v>
      </c>
      <c r="Y376" s="3" t="s">
        <v>30</v>
      </c>
      <c r="Z376" s="0" t="str">
        <f aca="false">IF(M376=1,P376,"")</f>
        <v/>
      </c>
    </row>
    <row r="377" customFormat="false" ht="15" hidden="false" customHeight="false" outlineLevel="0" collapsed="false">
      <c r="A377" s="0" t="s">
        <v>420</v>
      </c>
      <c r="B377" s="2" t="n">
        <v>45730</v>
      </c>
      <c r="C377" s="3" t="s">
        <v>27</v>
      </c>
      <c r="D377" s="3" t="s">
        <v>34</v>
      </c>
      <c r="E377" s="3" t="s">
        <v>35</v>
      </c>
      <c r="F377" s="3" t="s">
        <v>30</v>
      </c>
      <c r="G377" s="3" t="s">
        <v>36</v>
      </c>
      <c r="H377" s="3" t="s">
        <v>30</v>
      </c>
      <c r="I377" s="3" t="s">
        <v>37</v>
      </c>
      <c r="J377" s="0" t="n">
        <v>1</v>
      </c>
      <c r="K377" s="0" t="n">
        <v>1</v>
      </c>
      <c r="L377" s="0" t="n">
        <v>0</v>
      </c>
      <c r="M377" s="0" t="n">
        <v>0</v>
      </c>
      <c r="N377" s="0" t="str">
        <f aca="false">IF(OR(NOT(OR(J377=0,J377=1)),NOT(OR(K377=0,K377=1)),NOT(OR(L377=0,L377=1)),NOT(OR(M377=0,M377=1)),NOT(OR(U377=0,U377=1))),"Yes","No")</f>
        <v>No</v>
      </c>
      <c r="O377" s="0" t="str">
        <f aca="false">IF(OR(AND(M377=1,L377=0),AND(L377=1,K377=0),AND(K377=1,J377=0)),"Yes","No")</f>
        <v>No</v>
      </c>
      <c r="P377" s="0" t="n">
        <v>0</v>
      </c>
      <c r="Q377" s="0" t="str">
        <f aca="false">IF(OR(AND(M377=0,P377&gt;0),AND(M377=1,P377&lt;=0)),"Yes","No")</f>
        <v>No</v>
      </c>
      <c r="R377" s="0" t="str">
        <f aca="false">IF(AND(M377=1,P377&gt;calc_helpers!$B$5),"Yes","No")</f>
        <v>No</v>
      </c>
      <c r="S377" s="0" t="n">
        <v>0</v>
      </c>
      <c r="T377" s="0" t="str">
        <f aca="false">IF(S377&gt;0,"Yes","No")</f>
        <v>No</v>
      </c>
      <c r="U377" s="0" t="n">
        <v>0</v>
      </c>
      <c r="W377" s="0" t="str">
        <f aca="false">IF(OR(AND(M377=1,ISBLANK(V377)),AND(M377=0,NOT(ISBLANK(V377)))),"Yes","No")</f>
        <v>No</v>
      </c>
      <c r="X377" s="0" t="n">
        <v>43.4</v>
      </c>
      <c r="Y377" s="3" t="s">
        <v>30</v>
      </c>
      <c r="Z377" s="0" t="str">
        <f aca="false">IF(M377=1,P377,"")</f>
        <v/>
      </c>
    </row>
    <row r="378" customFormat="false" ht="15" hidden="false" customHeight="false" outlineLevel="0" collapsed="false">
      <c r="A378" s="0" t="s">
        <v>421</v>
      </c>
      <c r="B378" s="2" t="n">
        <v>45739</v>
      </c>
      <c r="C378" s="3" t="s">
        <v>27</v>
      </c>
      <c r="D378" s="3" t="s">
        <v>28</v>
      </c>
      <c r="E378" s="3" t="s">
        <v>35</v>
      </c>
      <c r="F378" s="3" t="s">
        <v>30</v>
      </c>
      <c r="G378" s="3" t="s">
        <v>40</v>
      </c>
      <c r="H378" s="3" t="s">
        <v>30</v>
      </c>
      <c r="I378" s="3" t="s">
        <v>37</v>
      </c>
      <c r="J378" s="0" t="n">
        <v>0</v>
      </c>
      <c r="K378" s="0" t="n">
        <v>0</v>
      </c>
      <c r="L378" s="0" t="n">
        <v>0</v>
      </c>
      <c r="M378" s="0" t="n">
        <v>0</v>
      </c>
      <c r="N378" s="0" t="str">
        <f aca="false">IF(OR(NOT(OR(J378=0,J378=1)),NOT(OR(K378=0,K378=1)),NOT(OR(L378=0,L378=1)),NOT(OR(M378=0,M378=1)),NOT(OR(U378=0,U378=1))),"Yes","No")</f>
        <v>No</v>
      </c>
      <c r="O378" s="0" t="str">
        <f aca="false">IF(OR(AND(M378=1,L378=0),AND(L378=1,K378=0),AND(K378=1,J378=0)),"Yes","No")</f>
        <v>No</v>
      </c>
      <c r="P378" s="0" t="n">
        <v>0</v>
      </c>
      <c r="Q378" s="0" t="str">
        <f aca="false">IF(OR(AND(M378=0,P378&gt;0),AND(M378=1,P378&lt;=0)),"Yes","No")</f>
        <v>No</v>
      </c>
      <c r="R378" s="0" t="str">
        <f aca="false">IF(AND(M378=1,P378&gt;calc_helpers!$B$5),"Yes","No")</f>
        <v>No</v>
      </c>
      <c r="S378" s="0" t="n">
        <v>0</v>
      </c>
      <c r="T378" s="0" t="str">
        <f aca="false">IF(S378&gt;0,"Yes","No")</f>
        <v>No</v>
      </c>
      <c r="U378" s="0" t="n">
        <v>0</v>
      </c>
      <c r="W378" s="0" t="str">
        <f aca="false">IF(OR(AND(M378=1,ISBLANK(V378)),AND(M378=0,NOT(ISBLANK(V378)))),"Yes","No")</f>
        <v>No</v>
      </c>
      <c r="X378" s="0" t="n">
        <v>43</v>
      </c>
      <c r="Y378" s="3" t="s">
        <v>30</v>
      </c>
      <c r="Z378" s="0" t="str">
        <f aca="false">IF(M378=1,P378,"")</f>
        <v/>
      </c>
    </row>
    <row r="379" customFormat="false" ht="15" hidden="false" customHeight="false" outlineLevel="0" collapsed="false">
      <c r="A379" s="0" t="s">
        <v>422</v>
      </c>
      <c r="B379" s="2" t="n">
        <v>45696</v>
      </c>
      <c r="C379" s="3" t="s">
        <v>27</v>
      </c>
      <c r="D379" s="3" t="s">
        <v>39</v>
      </c>
      <c r="E379" s="3" t="s">
        <v>35</v>
      </c>
      <c r="F379" s="3" t="s">
        <v>30</v>
      </c>
      <c r="G379" s="3" t="s">
        <v>50</v>
      </c>
      <c r="H379" s="3" t="s">
        <v>30</v>
      </c>
      <c r="I379" s="3" t="s">
        <v>32</v>
      </c>
      <c r="J379" s="0" t="n">
        <v>1</v>
      </c>
      <c r="K379" s="0" t="n">
        <v>1</v>
      </c>
      <c r="L379" s="0" t="n">
        <v>1</v>
      </c>
      <c r="M379" s="0" t="n">
        <v>0</v>
      </c>
      <c r="N379" s="0" t="str">
        <f aca="false">IF(OR(NOT(OR(J379=0,J379=1)),NOT(OR(K379=0,K379=1)),NOT(OR(L379=0,L379=1)),NOT(OR(M379=0,M379=1)),NOT(OR(U379=0,U379=1))),"Yes","No")</f>
        <v>No</v>
      </c>
      <c r="O379" s="0" t="str">
        <f aca="false">IF(OR(AND(M379=1,L379=0),AND(L379=1,K379=0),AND(K379=1,J379=0)),"Yes","No")</f>
        <v>No</v>
      </c>
      <c r="P379" s="0" t="n">
        <v>0</v>
      </c>
      <c r="Q379" s="0" t="str">
        <f aca="false">IF(OR(AND(M379=0,P379&gt;0),AND(M379=1,P379&lt;=0)),"Yes","No")</f>
        <v>No</v>
      </c>
      <c r="R379" s="0" t="str">
        <f aca="false">IF(AND(M379=1,P379&gt;calc_helpers!$B$5),"Yes","No")</f>
        <v>No</v>
      </c>
      <c r="S379" s="0" t="n">
        <v>0</v>
      </c>
      <c r="T379" s="0" t="str">
        <f aca="false">IF(S379&gt;0,"Yes","No")</f>
        <v>No</v>
      </c>
      <c r="U379" s="0" t="n">
        <v>0</v>
      </c>
      <c r="W379" s="0" t="str">
        <f aca="false">IF(OR(AND(M379=1,ISBLANK(V379)),AND(M379=0,NOT(ISBLANK(V379)))),"Yes","No")</f>
        <v>No</v>
      </c>
      <c r="X379" s="0" t="n">
        <v>91.8</v>
      </c>
      <c r="Y379" s="3" t="s">
        <v>30</v>
      </c>
      <c r="Z379" s="0" t="str">
        <f aca="false">IF(M379=1,P379,"")</f>
        <v/>
      </c>
    </row>
    <row r="380" customFormat="false" ht="15" hidden="false" customHeight="false" outlineLevel="0" collapsed="false">
      <c r="A380" s="0" t="s">
        <v>423</v>
      </c>
      <c r="B380" s="2" t="n">
        <v>45762</v>
      </c>
      <c r="C380" s="3" t="s">
        <v>27</v>
      </c>
      <c r="D380" s="3" t="s">
        <v>34</v>
      </c>
      <c r="E380" s="3" t="s">
        <v>45</v>
      </c>
      <c r="F380" s="3" t="s">
        <v>30</v>
      </c>
      <c r="G380" s="3" t="s">
        <v>40</v>
      </c>
      <c r="H380" s="3" t="s">
        <v>30</v>
      </c>
      <c r="I380" s="3" t="s">
        <v>32</v>
      </c>
      <c r="J380" s="0" t="n">
        <v>1</v>
      </c>
      <c r="K380" s="0" t="n">
        <v>0</v>
      </c>
      <c r="L380" s="0" t="n">
        <v>0</v>
      </c>
      <c r="M380" s="0" t="n">
        <v>0</v>
      </c>
      <c r="N380" s="0" t="str">
        <f aca="false">IF(OR(NOT(OR(J380=0,J380=1)),NOT(OR(K380=0,K380=1)),NOT(OR(L380=0,L380=1)),NOT(OR(M380=0,M380=1)),NOT(OR(U380=0,U380=1))),"Yes","No")</f>
        <v>No</v>
      </c>
      <c r="O380" s="0" t="str">
        <f aca="false">IF(OR(AND(M380=1,L380=0),AND(L380=1,K380=0),AND(K380=1,J380=0)),"Yes","No")</f>
        <v>No</v>
      </c>
      <c r="P380" s="0" t="n">
        <v>0</v>
      </c>
      <c r="Q380" s="0" t="str">
        <f aca="false">IF(OR(AND(M380=0,P380&gt;0),AND(M380=1,P380&lt;=0)),"Yes","No")</f>
        <v>No</v>
      </c>
      <c r="R380" s="0" t="str">
        <f aca="false">IF(AND(M380=1,P380&gt;calc_helpers!$B$5),"Yes","No")</f>
        <v>No</v>
      </c>
      <c r="S380" s="0" t="n">
        <v>1</v>
      </c>
      <c r="T380" s="0" t="str">
        <f aca="false">IF(S380&gt;0,"Yes","No")</f>
        <v>Yes</v>
      </c>
      <c r="U380" s="0" t="n">
        <v>0</v>
      </c>
      <c r="W380" s="0" t="str">
        <f aca="false">IF(OR(AND(M380=1,ISBLANK(V380)),AND(M380=0,NOT(ISBLANK(V380)))),"Yes","No")</f>
        <v>No</v>
      </c>
      <c r="X380" s="0" t="n">
        <v>69.3</v>
      </c>
      <c r="Y380" s="3" t="s">
        <v>30</v>
      </c>
      <c r="Z380" s="0" t="str">
        <f aca="false">IF(M380=1,P380,"")</f>
        <v/>
      </c>
    </row>
    <row r="381" customFormat="false" ht="15" hidden="false" customHeight="false" outlineLevel="0" collapsed="false">
      <c r="A381" s="0" t="s">
        <v>424</v>
      </c>
      <c r="B381" s="2" t="n">
        <v>45660</v>
      </c>
      <c r="C381" s="3" t="s">
        <v>27</v>
      </c>
      <c r="D381" s="3" t="s">
        <v>43</v>
      </c>
      <c r="E381" s="3" t="s">
        <v>29</v>
      </c>
      <c r="F381" s="3" t="s">
        <v>30</v>
      </c>
      <c r="G381" s="3" t="s">
        <v>40</v>
      </c>
      <c r="H381" s="3" t="s">
        <v>30</v>
      </c>
      <c r="I381" s="3" t="s">
        <v>32</v>
      </c>
      <c r="J381" s="0" t="n">
        <v>1</v>
      </c>
      <c r="K381" s="0" t="n">
        <v>0</v>
      </c>
      <c r="L381" s="0" t="n">
        <v>0</v>
      </c>
      <c r="M381" s="0" t="n">
        <v>0</v>
      </c>
      <c r="N381" s="0" t="str">
        <f aca="false">IF(OR(NOT(OR(J381=0,J381=1)),NOT(OR(K381=0,K381=1)),NOT(OR(L381=0,L381=1)),NOT(OR(M381=0,M381=1)),NOT(OR(U381=0,U381=1))),"Yes","No")</f>
        <v>No</v>
      </c>
      <c r="O381" s="0" t="str">
        <f aca="false">IF(OR(AND(M381=1,L381=0),AND(L381=1,K381=0),AND(K381=1,J381=0)),"Yes","No")</f>
        <v>No</v>
      </c>
      <c r="P381" s="0" t="n">
        <v>0</v>
      </c>
      <c r="Q381" s="0" t="str">
        <f aca="false">IF(OR(AND(M381=0,P381&gt;0),AND(M381=1,P381&lt;=0)),"Yes","No")</f>
        <v>No</v>
      </c>
      <c r="R381" s="0" t="str">
        <f aca="false">IF(AND(M381=1,P381&gt;calc_helpers!$B$5),"Yes","No")</f>
        <v>No</v>
      </c>
      <c r="S381" s="0" t="n">
        <v>0</v>
      </c>
      <c r="T381" s="0" t="str">
        <f aca="false">IF(S381&gt;0,"Yes","No")</f>
        <v>No</v>
      </c>
      <c r="U381" s="0" t="n">
        <v>0</v>
      </c>
      <c r="W381" s="0" t="str">
        <f aca="false">IF(OR(AND(M381=1,ISBLANK(V381)),AND(M381=0,NOT(ISBLANK(V381)))),"Yes","No")</f>
        <v>No</v>
      </c>
      <c r="X381" s="0" t="n">
        <v>58.9</v>
      </c>
      <c r="Y381" s="3" t="s">
        <v>30</v>
      </c>
      <c r="Z381" s="0" t="str">
        <f aca="false">IF(M381=1,P381,"")</f>
        <v/>
      </c>
    </row>
    <row r="382" customFormat="false" ht="15" hidden="false" customHeight="false" outlineLevel="0" collapsed="false">
      <c r="A382" s="0" t="s">
        <v>425</v>
      </c>
      <c r="B382" s="2" t="n">
        <v>45739</v>
      </c>
      <c r="C382" s="3" t="s">
        <v>27</v>
      </c>
      <c r="D382" s="3" t="s">
        <v>34</v>
      </c>
      <c r="E382" s="3" t="s">
        <v>35</v>
      </c>
      <c r="F382" s="3" t="s">
        <v>30</v>
      </c>
      <c r="G382" s="3" t="s">
        <v>52</v>
      </c>
      <c r="H382" s="3" t="s">
        <v>30</v>
      </c>
      <c r="I382" s="3" t="s">
        <v>37</v>
      </c>
      <c r="J382" s="0" t="n">
        <v>1</v>
      </c>
      <c r="K382" s="0" t="n">
        <v>1</v>
      </c>
      <c r="L382" s="0" t="n">
        <v>1</v>
      </c>
      <c r="M382" s="0" t="n">
        <v>0</v>
      </c>
      <c r="N382" s="0" t="str">
        <f aca="false">IF(OR(NOT(OR(J382=0,J382=1)),NOT(OR(K382=0,K382=1)),NOT(OR(L382=0,L382=1)),NOT(OR(M382=0,M382=1)),NOT(OR(U382=0,U382=1))),"Yes","No")</f>
        <v>No</v>
      </c>
      <c r="O382" s="0" t="str">
        <f aca="false">IF(OR(AND(M382=1,L382=0),AND(L382=1,K382=0),AND(K382=1,J382=0)),"Yes","No")</f>
        <v>No</v>
      </c>
      <c r="P382" s="0" t="n">
        <v>0</v>
      </c>
      <c r="Q382" s="0" t="str">
        <f aca="false">IF(OR(AND(M382=0,P382&gt;0),AND(M382=1,P382&lt;=0)),"Yes","No")</f>
        <v>No</v>
      </c>
      <c r="R382" s="0" t="str">
        <f aca="false">IF(AND(M382=1,P382&gt;calc_helpers!$B$5),"Yes","No")</f>
        <v>No</v>
      </c>
      <c r="S382" s="0" t="n">
        <v>0</v>
      </c>
      <c r="T382" s="0" t="str">
        <f aca="false">IF(S382&gt;0,"Yes","No")</f>
        <v>No</v>
      </c>
      <c r="U382" s="0" t="n">
        <v>0</v>
      </c>
      <c r="W382" s="0" t="str">
        <f aca="false">IF(OR(AND(M382=1,ISBLANK(V382)),AND(M382=0,NOT(ISBLANK(V382)))),"Yes","No")</f>
        <v>No</v>
      </c>
      <c r="X382" s="0" t="n">
        <v>76</v>
      </c>
      <c r="Y382" s="3" t="s">
        <v>30</v>
      </c>
      <c r="Z382" s="0" t="str">
        <f aca="false">IF(M382=1,P382,"")</f>
        <v/>
      </c>
    </row>
    <row r="383" customFormat="false" ht="15" hidden="false" customHeight="false" outlineLevel="0" collapsed="false">
      <c r="A383" s="0" t="s">
        <v>426</v>
      </c>
      <c r="B383" s="2" t="n">
        <v>45804</v>
      </c>
      <c r="C383" s="3" t="s">
        <v>27</v>
      </c>
      <c r="D383" s="3" t="s">
        <v>43</v>
      </c>
      <c r="E383" s="3" t="s">
        <v>35</v>
      </c>
      <c r="F383" s="3" t="s">
        <v>30</v>
      </c>
      <c r="G383" s="3" t="s">
        <v>50</v>
      </c>
      <c r="H383" s="3" t="s">
        <v>30</v>
      </c>
      <c r="I383" s="3" t="s">
        <v>41</v>
      </c>
      <c r="J383" s="0" t="n">
        <v>1</v>
      </c>
      <c r="K383" s="0" t="n">
        <v>0</v>
      </c>
      <c r="L383" s="0" t="n">
        <v>0</v>
      </c>
      <c r="M383" s="0" t="n">
        <v>0</v>
      </c>
      <c r="N383" s="0" t="str">
        <f aca="false">IF(OR(NOT(OR(J383=0,J383=1)),NOT(OR(K383=0,K383=1)),NOT(OR(L383=0,L383=1)),NOT(OR(M383=0,M383=1)),NOT(OR(U383=0,U383=1))),"Yes","No")</f>
        <v>No</v>
      </c>
      <c r="O383" s="0" t="str">
        <f aca="false">IF(OR(AND(M383=1,L383=0),AND(L383=1,K383=0),AND(K383=1,J383=0)),"Yes","No")</f>
        <v>No</v>
      </c>
      <c r="P383" s="0" t="n">
        <v>0</v>
      </c>
      <c r="Q383" s="0" t="str">
        <f aca="false">IF(OR(AND(M383=0,P383&gt;0),AND(M383=1,P383&lt;=0)),"Yes","No")</f>
        <v>No</v>
      </c>
      <c r="R383" s="0" t="str">
        <f aca="false">IF(AND(M383=1,P383&gt;calc_helpers!$B$5),"Yes","No")</f>
        <v>No</v>
      </c>
      <c r="S383" s="0" t="n">
        <v>0</v>
      </c>
      <c r="T383" s="0" t="str">
        <f aca="false">IF(S383&gt;0,"Yes","No")</f>
        <v>No</v>
      </c>
      <c r="U383" s="0" t="n">
        <v>0</v>
      </c>
      <c r="W383" s="0" t="str">
        <f aca="false">IF(OR(AND(M383=1,ISBLANK(V383)),AND(M383=0,NOT(ISBLANK(V383)))),"Yes","No")</f>
        <v>No</v>
      </c>
      <c r="X383" s="0" t="n">
        <v>46</v>
      </c>
      <c r="Y383" s="3" t="s">
        <v>30</v>
      </c>
      <c r="Z383" s="0" t="str">
        <f aca="false">IF(M383=1,P383,"")</f>
        <v/>
      </c>
    </row>
    <row r="384" customFormat="false" ht="15" hidden="false" customHeight="false" outlineLevel="0" collapsed="false">
      <c r="A384" s="0" t="s">
        <v>427</v>
      </c>
      <c r="B384" s="2" t="n">
        <v>45777</v>
      </c>
      <c r="C384" s="3" t="s">
        <v>27</v>
      </c>
      <c r="D384" s="3" t="s">
        <v>39</v>
      </c>
      <c r="E384" s="3" t="s">
        <v>35</v>
      </c>
      <c r="F384" s="3" t="s">
        <v>30</v>
      </c>
      <c r="G384" s="3" t="s">
        <v>36</v>
      </c>
      <c r="H384" s="3" t="s">
        <v>30</v>
      </c>
      <c r="I384" s="3" t="s">
        <v>37</v>
      </c>
      <c r="J384" s="0" t="n">
        <v>1</v>
      </c>
      <c r="K384" s="0" t="n">
        <v>0</v>
      </c>
      <c r="L384" s="0" t="n">
        <v>0</v>
      </c>
      <c r="M384" s="0" t="n">
        <v>0</v>
      </c>
      <c r="N384" s="0" t="str">
        <f aca="false">IF(OR(NOT(OR(J384=0,J384=1)),NOT(OR(K384=0,K384=1)),NOT(OR(L384=0,L384=1)),NOT(OR(M384=0,M384=1)),NOT(OR(U384=0,U384=1))),"Yes","No")</f>
        <v>No</v>
      </c>
      <c r="O384" s="0" t="str">
        <f aca="false">IF(OR(AND(M384=1,L384=0),AND(L384=1,K384=0),AND(K384=1,J384=0)),"Yes","No")</f>
        <v>No</v>
      </c>
      <c r="P384" s="0" t="n">
        <v>0</v>
      </c>
      <c r="Q384" s="0" t="str">
        <f aca="false">IF(OR(AND(M384=0,P384&gt;0),AND(M384=1,P384&lt;=0)),"Yes","No")</f>
        <v>No</v>
      </c>
      <c r="R384" s="0" t="str">
        <f aca="false">IF(AND(M384=1,P384&gt;calc_helpers!$B$5),"Yes","No")</f>
        <v>No</v>
      </c>
      <c r="S384" s="0" t="n">
        <v>0</v>
      </c>
      <c r="T384" s="0" t="str">
        <f aca="false">IF(S384&gt;0,"Yes","No")</f>
        <v>No</v>
      </c>
      <c r="U384" s="0" t="n">
        <v>0</v>
      </c>
      <c r="W384" s="0" t="str">
        <f aca="false">IF(OR(AND(M384=1,ISBLANK(V384)),AND(M384=0,NOT(ISBLANK(V384)))),"Yes","No")</f>
        <v>No</v>
      </c>
      <c r="X384" s="0" t="n">
        <v>54.1</v>
      </c>
      <c r="Y384" s="3" t="s">
        <v>30</v>
      </c>
      <c r="Z384" s="0" t="str">
        <f aca="false">IF(M384=1,P384,"")</f>
        <v/>
      </c>
    </row>
    <row r="385" customFormat="false" ht="15" hidden="false" customHeight="false" outlineLevel="0" collapsed="false">
      <c r="A385" s="0" t="s">
        <v>428</v>
      </c>
      <c r="B385" s="2" t="n">
        <v>45723</v>
      </c>
      <c r="C385" s="3" t="s">
        <v>27</v>
      </c>
      <c r="D385" s="3" t="s">
        <v>34</v>
      </c>
      <c r="E385" s="3" t="s">
        <v>35</v>
      </c>
      <c r="F385" s="3" t="s">
        <v>30</v>
      </c>
      <c r="G385" s="3" t="s">
        <v>52</v>
      </c>
      <c r="H385" s="3" t="s">
        <v>30</v>
      </c>
      <c r="I385" s="3" t="s">
        <v>32</v>
      </c>
      <c r="J385" s="0" t="n">
        <v>1</v>
      </c>
      <c r="K385" s="0" t="n">
        <v>0</v>
      </c>
      <c r="L385" s="0" t="n">
        <v>0</v>
      </c>
      <c r="M385" s="0" t="n">
        <v>0</v>
      </c>
      <c r="N385" s="0" t="str">
        <f aca="false">IF(OR(NOT(OR(J385=0,J385=1)),NOT(OR(K385=0,K385=1)),NOT(OR(L385=0,L385=1)),NOT(OR(M385=0,M385=1)),NOT(OR(U385=0,U385=1))),"Yes","No")</f>
        <v>No</v>
      </c>
      <c r="O385" s="0" t="str">
        <f aca="false">IF(OR(AND(M385=1,L385=0),AND(L385=1,K385=0),AND(K385=1,J385=0)),"Yes","No")</f>
        <v>No</v>
      </c>
      <c r="P385" s="0" t="n">
        <v>0</v>
      </c>
      <c r="Q385" s="0" t="str">
        <f aca="false">IF(OR(AND(M385=0,P385&gt;0),AND(M385=1,P385&lt;=0)),"Yes","No")</f>
        <v>No</v>
      </c>
      <c r="R385" s="0" t="str">
        <f aca="false">IF(AND(M385=1,P385&gt;calc_helpers!$B$5),"Yes","No")</f>
        <v>No</v>
      </c>
      <c r="S385" s="0" t="n">
        <v>0</v>
      </c>
      <c r="T385" s="0" t="str">
        <f aca="false">IF(S385&gt;0,"Yes","No")</f>
        <v>No</v>
      </c>
      <c r="U385" s="0" t="n">
        <v>0</v>
      </c>
      <c r="W385" s="0" t="str">
        <f aca="false">IF(OR(AND(M385=1,ISBLANK(V385)),AND(M385=0,NOT(ISBLANK(V385)))),"Yes","No")</f>
        <v>No</v>
      </c>
      <c r="X385" s="0" t="n">
        <v>82.4</v>
      </c>
      <c r="Y385" s="3" t="s">
        <v>30</v>
      </c>
      <c r="Z385" s="0" t="str">
        <f aca="false">IF(M385=1,P385,"")</f>
        <v/>
      </c>
    </row>
    <row r="386" customFormat="false" ht="15" hidden="false" customHeight="false" outlineLevel="0" collapsed="false">
      <c r="A386" s="0" t="s">
        <v>429</v>
      </c>
      <c r="B386" s="2" t="n">
        <v>45787</v>
      </c>
      <c r="C386" s="3" t="s">
        <v>27</v>
      </c>
      <c r="D386" s="3" t="s">
        <v>43</v>
      </c>
      <c r="E386" s="3" t="s">
        <v>35</v>
      </c>
      <c r="F386" s="3" t="s">
        <v>30</v>
      </c>
      <c r="G386" s="3" t="s">
        <v>36</v>
      </c>
      <c r="H386" s="3" t="s">
        <v>30</v>
      </c>
      <c r="I386" s="3" t="s">
        <v>32</v>
      </c>
      <c r="J386" s="0" t="n">
        <v>1</v>
      </c>
      <c r="K386" s="0" t="n">
        <v>1</v>
      </c>
      <c r="L386" s="0" t="n">
        <v>1</v>
      </c>
      <c r="M386" s="0" t="n">
        <v>0</v>
      </c>
      <c r="N386" s="0" t="str">
        <f aca="false">IF(OR(NOT(OR(J386=0,J386=1)),NOT(OR(K386=0,K386=1)),NOT(OR(L386=0,L386=1)),NOT(OR(M386=0,M386=1)),NOT(OR(U386=0,U386=1))),"Yes","No")</f>
        <v>No</v>
      </c>
      <c r="O386" s="0" t="str">
        <f aca="false">IF(OR(AND(M386=1,L386=0),AND(L386=1,K386=0),AND(K386=1,J386=0)),"Yes","No")</f>
        <v>No</v>
      </c>
      <c r="P386" s="0" t="n">
        <v>0</v>
      </c>
      <c r="Q386" s="0" t="str">
        <f aca="false">IF(OR(AND(M386=0,P386&gt;0),AND(M386=1,P386&lt;=0)),"Yes","No")</f>
        <v>No</v>
      </c>
      <c r="R386" s="0" t="str">
        <f aca="false">IF(AND(M386=1,P386&gt;calc_helpers!$B$5),"Yes","No")</f>
        <v>No</v>
      </c>
      <c r="S386" s="0" t="n">
        <v>0</v>
      </c>
      <c r="T386" s="0" t="str">
        <f aca="false">IF(S386&gt;0,"Yes","No")</f>
        <v>No</v>
      </c>
      <c r="U386" s="0" t="n">
        <v>0</v>
      </c>
      <c r="W386" s="0" t="str">
        <f aca="false">IF(OR(AND(M386=1,ISBLANK(V386)),AND(M386=0,NOT(ISBLANK(V386)))),"Yes","No")</f>
        <v>No</v>
      </c>
      <c r="X386" s="0" t="n">
        <v>71.9</v>
      </c>
      <c r="Y386" s="3" t="s">
        <v>30</v>
      </c>
      <c r="Z386" s="0" t="str">
        <f aca="false">IF(M386=1,P386,"")</f>
        <v/>
      </c>
    </row>
    <row r="387" customFormat="false" ht="15" hidden="false" customHeight="false" outlineLevel="0" collapsed="false">
      <c r="A387" s="0" t="s">
        <v>430</v>
      </c>
      <c r="B387" s="2" t="n">
        <v>45799</v>
      </c>
      <c r="C387" s="3" t="s">
        <v>27</v>
      </c>
      <c r="D387" s="3" t="s">
        <v>39</v>
      </c>
      <c r="E387" s="3" t="s">
        <v>35</v>
      </c>
      <c r="F387" s="3" t="s">
        <v>30</v>
      </c>
      <c r="G387" s="3" t="s">
        <v>36</v>
      </c>
      <c r="H387" s="3" t="s">
        <v>30</v>
      </c>
      <c r="I387" s="3" t="s">
        <v>37</v>
      </c>
      <c r="J387" s="0" t="n">
        <v>0</v>
      </c>
      <c r="K387" s="0" t="n">
        <v>0</v>
      </c>
      <c r="L387" s="0" t="n">
        <v>0</v>
      </c>
      <c r="M387" s="0" t="n">
        <v>0</v>
      </c>
      <c r="N387" s="0" t="str">
        <f aca="false">IF(OR(NOT(OR(J387=0,J387=1)),NOT(OR(K387=0,K387=1)),NOT(OR(L387=0,L387=1)),NOT(OR(M387=0,M387=1)),NOT(OR(U387=0,U387=1))),"Yes","No")</f>
        <v>No</v>
      </c>
      <c r="O387" s="0" t="str">
        <f aca="false">IF(OR(AND(M387=1,L387=0),AND(L387=1,K387=0),AND(K387=1,J387=0)),"Yes","No")</f>
        <v>No</v>
      </c>
      <c r="P387" s="0" t="n">
        <v>0</v>
      </c>
      <c r="Q387" s="0" t="str">
        <f aca="false">IF(OR(AND(M387=0,P387&gt;0),AND(M387=1,P387&lt;=0)),"Yes","No")</f>
        <v>No</v>
      </c>
      <c r="R387" s="0" t="str">
        <f aca="false">IF(AND(M387=1,P387&gt;calc_helpers!$B$5),"Yes","No")</f>
        <v>No</v>
      </c>
      <c r="S387" s="0" t="n">
        <v>2</v>
      </c>
      <c r="T387" s="0" t="str">
        <f aca="false">IF(S387&gt;0,"Yes","No")</f>
        <v>Yes</v>
      </c>
      <c r="U387" s="0" t="n">
        <v>0</v>
      </c>
      <c r="W387" s="0" t="str">
        <f aca="false">IF(OR(AND(M387=1,ISBLANK(V387)),AND(M387=0,NOT(ISBLANK(V387)))),"Yes","No")</f>
        <v>No</v>
      </c>
      <c r="X387" s="0" t="n">
        <v>38</v>
      </c>
      <c r="Y387" s="3" t="s">
        <v>30</v>
      </c>
      <c r="Z387" s="0" t="str">
        <f aca="false">IF(M387=1,P387,"")</f>
        <v/>
      </c>
    </row>
    <row r="388" customFormat="false" ht="15" hidden="false" customHeight="false" outlineLevel="0" collapsed="false">
      <c r="A388" s="0" t="s">
        <v>431</v>
      </c>
      <c r="B388" s="2" t="n">
        <v>45697</v>
      </c>
      <c r="C388" s="3" t="s">
        <v>27</v>
      </c>
      <c r="D388" s="3" t="s">
        <v>39</v>
      </c>
      <c r="E388" s="3" t="s">
        <v>35</v>
      </c>
      <c r="F388" s="3" t="s">
        <v>30</v>
      </c>
      <c r="G388" s="3" t="s">
        <v>40</v>
      </c>
      <c r="H388" s="3" t="s">
        <v>30</v>
      </c>
      <c r="I388" s="3" t="s">
        <v>37</v>
      </c>
      <c r="J388" s="0" t="n">
        <v>1</v>
      </c>
      <c r="K388" s="0" t="n">
        <v>1</v>
      </c>
      <c r="L388" s="0" t="n">
        <v>0</v>
      </c>
      <c r="M388" s="0" t="n">
        <v>0</v>
      </c>
      <c r="N388" s="0" t="str">
        <f aca="false">IF(OR(NOT(OR(J388=0,J388=1)),NOT(OR(K388=0,K388=1)),NOT(OR(L388=0,L388=1)),NOT(OR(M388=0,M388=1)),NOT(OR(U388=0,U388=1))),"Yes","No")</f>
        <v>No</v>
      </c>
      <c r="O388" s="0" t="str">
        <f aca="false">IF(OR(AND(M388=1,L388=0),AND(L388=1,K388=0),AND(K388=1,J388=0)),"Yes","No")</f>
        <v>No</v>
      </c>
      <c r="P388" s="0" t="n">
        <v>0</v>
      </c>
      <c r="Q388" s="0" t="str">
        <f aca="false">IF(OR(AND(M388=0,P388&gt;0),AND(M388=1,P388&lt;=0)),"Yes","No")</f>
        <v>No</v>
      </c>
      <c r="R388" s="0" t="str">
        <f aca="false">IF(AND(M388=1,P388&gt;calc_helpers!$B$5),"Yes","No")</f>
        <v>No</v>
      </c>
      <c r="S388" s="0" t="n">
        <v>0</v>
      </c>
      <c r="T388" s="0" t="str">
        <f aca="false">IF(S388&gt;0,"Yes","No")</f>
        <v>No</v>
      </c>
      <c r="U388" s="0" t="n">
        <v>0</v>
      </c>
      <c r="W388" s="0" t="str">
        <f aca="false">IF(OR(AND(M388=1,ISBLANK(V388)),AND(M388=0,NOT(ISBLANK(V388)))),"Yes","No")</f>
        <v>No</v>
      </c>
      <c r="X388" s="0" t="n">
        <v>43.7</v>
      </c>
      <c r="Y388" s="3" t="s">
        <v>30</v>
      </c>
      <c r="Z388" s="0" t="str">
        <f aca="false">IF(M388=1,P388,"")</f>
        <v/>
      </c>
    </row>
    <row r="389" customFormat="false" ht="15" hidden="false" customHeight="false" outlineLevel="0" collapsed="false">
      <c r="A389" s="0" t="s">
        <v>432</v>
      </c>
      <c r="B389" s="2" t="n">
        <v>45807</v>
      </c>
      <c r="C389" s="3" t="s">
        <v>27</v>
      </c>
      <c r="D389" s="3" t="s">
        <v>34</v>
      </c>
      <c r="E389" s="3" t="s">
        <v>29</v>
      </c>
      <c r="F389" s="3" t="s">
        <v>30</v>
      </c>
      <c r="G389" s="3" t="s">
        <v>36</v>
      </c>
      <c r="H389" s="3" t="s">
        <v>30</v>
      </c>
      <c r="I389" s="3" t="s">
        <v>41</v>
      </c>
      <c r="J389" s="0" t="n">
        <v>1</v>
      </c>
      <c r="K389" s="0" t="n">
        <v>0</v>
      </c>
      <c r="L389" s="0" t="n">
        <v>0</v>
      </c>
      <c r="M389" s="0" t="n">
        <v>0</v>
      </c>
      <c r="N389" s="0" t="str">
        <f aca="false">IF(OR(NOT(OR(J389=0,J389=1)),NOT(OR(K389=0,K389=1)),NOT(OR(L389=0,L389=1)),NOT(OR(M389=0,M389=1)),NOT(OR(U389=0,U389=1))),"Yes","No")</f>
        <v>No</v>
      </c>
      <c r="O389" s="0" t="str">
        <f aca="false">IF(OR(AND(M389=1,L389=0),AND(L389=1,K389=0),AND(K389=1,J389=0)),"Yes","No")</f>
        <v>No</v>
      </c>
      <c r="P389" s="0" t="n">
        <v>0</v>
      </c>
      <c r="Q389" s="0" t="str">
        <f aca="false">IF(OR(AND(M389=0,P389&gt;0),AND(M389=1,P389&lt;=0)),"Yes","No")</f>
        <v>No</v>
      </c>
      <c r="R389" s="0" t="str">
        <f aca="false">IF(AND(M389=1,P389&gt;calc_helpers!$B$5),"Yes","No")</f>
        <v>No</v>
      </c>
      <c r="S389" s="0" t="n">
        <v>1</v>
      </c>
      <c r="T389" s="0" t="str">
        <f aca="false">IF(S389&gt;0,"Yes","No")</f>
        <v>Yes</v>
      </c>
      <c r="U389" s="0" t="n">
        <v>0</v>
      </c>
      <c r="W389" s="0" t="str">
        <f aca="false">IF(OR(AND(M389=1,ISBLANK(V389)),AND(M389=0,NOT(ISBLANK(V389)))),"Yes","No")</f>
        <v>No</v>
      </c>
      <c r="X389" s="0" t="n">
        <v>32.2</v>
      </c>
      <c r="Y389" s="3" t="s">
        <v>30</v>
      </c>
      <c r="Z389" s="0" t="str">
        <f aca="false">IF(M389=1,P389,"")</f>
        <v/>
      </c>
    </row>
    <row r="390" customFormat="false" ht="15" hidden="false" customHeight="false" outlineLevel="0" collapsed="false">
      <c r="A390" s="0" t="s">
        <v>433</v>
      </c>
      <c r="B390" s="2" t="n">
        <v>45778</v>
      </c>
      <c r="C390" s="3" t="s">
        <v>27</v>
      </c>
      <c r="D390" s="3" t="s">
        <v>43</v>
      </c>
      <c r="E390" s="3" t="s">
        <v>35</v>
      </c>
      <c r="F390" s="3" t="s">
        <v>30</v>
      </c>
      <c r="G390" s="3" t="s">
        <v>36</v>
      </c>
      <c r="H390" s="3" t="s">
        <v>30</v>
      </c>
      <c r="I390" s="3" t="s">
        <v>41</v>
      </c>
      <c r="J390" s="0" t="n">
        <v>1</v>
      </c>
      <c r="K390" s="0" t="n">
        <v>0</v>
      </c>
      <c r="L390" s="0" t="n">
        <v>0</v>
      </c>
      <c r="M390" s="0" t="n">
        <v>0</v>
      </c>
      <c r="N390" s="0" t="str">
        <f aca="false">IF(OR(NOT(OR(J390=0,J390=1)),NOT(OR(K390=0,K390=1)),NOT(OR(L390=0,L390=1)),NOT(OR(M390=0,M390=1)),NOT(OR(U390=0,U390=1))),"Yes","No")</f>
        <v>No</v>
      </c>
      <c r="O390" s="0" t="str">
        <f aca="false">IF(OR(AND(M390=1,L390=0),AND(L390=1,K390=0),AND(K390=1,J390=0)),"Yes","No")</f>
        <v>No</v>
      </c>
      <c r="P390" s="0" t="n">
        <v>0</v>
      </c>
      <c r="Q390" s="0" t="str">
        <f aca="false">IF(OR(AND(M390=0,P390&gt;0),AND(M390=1,P390&lt;=0)),"Yes","No")</f>
        <v>No</v>
      </c>
      <c r="R390" s="0" t="str">
        <f aca="false">IF(AND(M390=1,P390&gt;calc_helpers!$B$5),"Yes","No")</f>
        <v>No</v>
      </c>
      <c r="S390" s="0" t="n">
        <v>0</v>
      </c>
      <c r="T390" s="0" t="str">
        <f aca="false">IF(S390&gt;0,"Yes","No")</f>
        <v>No</v>
      </c>
      <c r="U390" s="0" t="n">
        <v>0</v>
      </c>
      <c r="W390" s="0" t="str">
        <f aca="false">IF(OR(AND(M390=1,ISBLANK(V390)),AND(M390=0,NOT(ISBLANK(V390)))),"Yes","No")</f>
        <v>No</v>
      </c>
      <c r="X390" s="0" t="n">
        <v>61</v>
      </c>
      <c r="Y390" s="3" t="s">
        <v>30</v>
      </c>
      <c r="Z390" s="0" t="str">
        <f aca="false">IF(M390=1,P390,"")</f>
        <v/>
      </c>
    </row>
    <row r="391" customFormat="false" ht="15" hidden="false" customHeight="false" outlineLevel="0" collapsed="false">
      <c r="A391" s="0" t="s">
        <v>434</v>
      </c>
      <c r="B391" s="2" t="n">
        <v>45660</v>
      </c>
      <c r="C391" s="3" t="s">
        <v>27</v>
      </c>
      <c r="D391" s="3" t="s">
        <v>43</v>
      </c>
      <c r="E391" s="3" t="s">
        <v>35</v>
      </c>
      <c r="F391" s="3" t="s">
        <v>30</v>
      </c>
      <c r="G391" s="3" t="s">
        <v>40</v>
      </c>
      <c r="H391" s="3" t="s">
        <v>30</v>
      </c>
      <c r="I391" s="3" t="s">
        <v>37</v>
      </c>
      <c r="J391" s="0" t="n">
        <v>1</v>
      </c>
      <c r="K391" s="0" t="n">
        <v>0</v>
      </c>
      <c r="L391" s="0" t="n">
        <v>0</v>
      </c>
      <c r="M391" s="0" t="n">
        <v>0</v>
      </c>
      <c r="N391" s="0" t="str">
        <f aca="false">IF(OR(NOT(OR(J391=0,J391=1)),NOT(OR(K391=0,K391=1)),NOT(OR(L391=0,L391=1)),NOT(OR(M391=0,M391=1)),NOT(OR(U391=0,U391=1))),"Yes","No")</f>
        <v>No</v>
      </c>
      <c r="O391" s="0" t="str">
        <f aca="false">IF(OR(AND(M391=1,L391=0),AND(L391=1,K391=0),AND(K391=1,J391=0)),"Yes","No")</f>
        <v>No</v>
      </c>
      <c r="P391" s="0" t="n">
        <v>0</v>
      </c>
      <c r="Q391" s="0" t="str">
        <f aca="false">IF(OR(AND(M391=0,P391&gt;0),AND(M391=1,P391&lt;=0)),"Yes","No")</f>
        <v>No</v>
      </c>
      <c r="R391" s="0" t="str">
        <f aca="false">IF(AND(M391=1,P391&gt;calc_helpers!$B$5),"Yes","No")</f>
        <v>No</v>
      </c>
      <c r="S391" s="0" t="n">
        <v>0</v>
      </c>
      <c r="T391" s="0" t="str">
        <f aca="false">IF(S391&gt;0,"Yes","No")</f>
        <v>No</v>
      </c>
      <c r="U391" s="0" t="n">
        <v>0</v>
      </c>
      <c r="W391" s="0" t="str">
        <f aca="false">IF(OR(AND(M391=1,ISBLANK(V391)),AND(M391=0,NOT(ISBLANK(V391)))),"Yes","No")</f>
        <v>No</v>
      </c>
      <c r="X391" s="0" t="n">
        <v>49</v>
      </c>
      <c r="Y391" s="3" t="s">
        <v>30</v>
      </c>
      <c r="Z391" s="0" t="str">
        <f aca="false">IF(M391=1,P391,"")</f>
        <v/>
      </c>
    </row>
    <row r="392" customFormat="false" ht="15" hidden="false" customHeight="false" outlineLevel="0" collapsed="false">
      <c r="A392" s="0" t="s">
        <v>435</v>
      </c>
      <c r="B392" s="2" t="n">
        <v>45701</v>
      </c>
      <c r="C392" s="3" t="s">
        <v>27</v>
      </c>
      <c r="D392" s="3" t="s">
        <v>39</v>
      </c>
      <c r="E392" s="3" t="s">
        <v>35</v>
      </c>
      <c r="F392" s="3" t="s">
        <v>30</v>
      </c>
      <c r="G392" s="3" t="s">
        <v>36</v>
      </c>
      <c r="H392" s="3" t="s">
        <v>30</v>
      </c>
      <c r="I392" s="3" t="s">
        <v>37</v>
      </c>
      <c r="J392" s="0" t="n">
        <v>0</v>
      </c>
      <c r="K392" s="0" t="n">
        <v>0</v>
      </c>
      <c r="L392" s="0" t="n">
        <v>0</v>
      </c>
      <c r="M392" s="0" t="n">
        <v>0</v>
      </c>
      <c r="N392" s="0" t="str">
        <f aca="false">IF(OR(NOT(OR(J392=0,J392=1)),NOT(OR(K392=0,K392=1)),NOT(OR(L392=0,L392=1)),NOT(OR(M392=0,M392=1)),NOT(OR(U392=0,U392=1))),"Yes","No")</f>
        <v>No</v>
      </c>
      <c r="O392" s="0" t="str">
        <f aca="false">IF(OR(AND(M392=1,L392=0),AND(L392=1,K392=0),AND(K392=1,J392=0)),"Yes","No")</f>
        <v>No</v>
      </c>
      <c r="P392" s="0" t="n">
        <v>0</v>
      </c>
      <c r="Q392" s="0" t="str">
        <f aca="false">IF(OR(AND(M392=0,P392&gt;0),AND(M392=1,P392&lt;=0)),"Yes","No")</f>
        <v>No</v>
      </c>
      <c r="R392" s="0" t="str">
        <f aca="false">IF(AND(M392=1,P392&gt;calc_helpers!$B$5),"Yes","No")</f>
        <v>No</v>
      </c>
      <c r="S392" s="0" t="n">
        <v>0</v>
      </c>
      <c r="T392" s="0" t="str">
        <f aca="false">IF(S392&gt;0,"Yes","No")</f>
        <v>No</v>
      </c>
      <c r="U392" s="0" t="n">
        <v>0</v>
      </c>
      <c r="W392" s="0" t="str">
        <f aca="false">IF(OR(AND(M392=1,ISBLANK(V392)),AND(M392=0,NOT(ISBLANK(V392)))),"Yes","No")</f>
        <v>No</v>
      </c>
      <c r="X392" s="0" t="n">
        <v>48.1</v>
      </c>
      <c r="Y392" s="3" t="s">
        <v>30</v>
      </c>
      <c r="Z392" s="0" t="str">
        <f aca="false">IF(M392=1,P392,"")</f>
        <v/>
      </c>
    </row>
    <row r="393" customFormat="false" ht="15" hidden="false" customHeight="false" outlineLevel="0" collapsed="false">
      <c r="A393" s="0" t="s">
        <v>436</v>
      </c>
      <c r="B393" s="2" t="n">
        <v>45671</v>
      </c>
      <c r="C393" s="3" t="s">
        <v>27</v>
      </c>
      <c r="D393" s="3" t="s">
        <v>43</v>
      </c>
      <c r="E393" s="3" t="s">
        <v>29</v>
      </c>
      <c r="F393" s="3" t="s">
        <v>30</v>
      </c>
      <c r="G393" s="3" t="s">
        <v>36</v>
      </c>
      <c r="H393" s="3" t="s">
        <v>30</v>
      </c>
      <c r="I393" s="3" t="s">
        <v>37</v>
      </c>
      <c r="J393" s="0" t="n">
        <v>0</v>
      </c>
      <c r="K393" s="0" t="n">
        <v>0</v>
      </c>
      <c r="L393" s="0" t="n">
        <v>0</v>
      </c>
      <c r="M393" s="0" t="n">
        <v>0</v>
      </c>
      <c r="N393" s="0" t="str">
        <f aca="false">IF(OR(NOT(OR(J393=0,J393=1)),NOT(OR(K393=0,K393=1)),NOT(OR(L393=0,L393=1)),NOT(OR(M393=0,M393=1)),NOT(OR(U393=0,U393=1))),"Yes","No")</f>
        <v>No</v>
      </c>
      <c r="O393" s="0" t="str">
        <f aca="false">IF(OR(AND(M393=1,L393=0),AND(L393=1,K393=0),AND(K393=1,J393=0)),"Yes","No")</f>
        <v>No</v>
      </c>
      <c r="P393" s="0" t="n">
        <v>0</v>
      </c>
      <c r="Q393" s="0" t="str">
        <f aca="false">IF(OR(AND(M393=0,P393&gt;0),AND(M393=1,P393&lt;=0)),"Yes","No")</f>
        <v>No</v>
      </c>
      <c r="R393" s="0" t="str">
        <f aca="false">IF(AND(M393=1,P393&gt;calc_helpers!$B$5),"Yes","No")</f>
        <v>No</v>
      </c>
      <c r="S393" s="0" t="n">
        <v>2</v>
      </c>
      <c r="T393" s="0" t="str">
        <f aca="false">IF(S393&gt;0,"Yes","No")</f>
        <v>Yes</v>
      </c>
      <c r="U393" s="0" t="n">
        <v>0</v>
      </c>
      <c r="W393" s="0" t="str">
        <f aca="false">IF(OR(AND(M393=1,ISBLANK(V393)),AND(M393=0,NOT(ISBLANK(V393)))),"Yes","No")</f>
        <v>No</v>
      </c>
      <c r="X393" s="0" t="n">
        <v>46.3</v>
      </c>
      <c r="Y393" s="3" t="s">
        <v>30</v>
      </c>
      <c r="Z393" s="0" t="str">
        <f aca="false">IF(M393=1,P393,"")</f>
        <v/>
      </c>
    </row>
    <row r="394" customFormat="false" ht="15" hidden="false" customHeight="false" outlineLevel="0" collapsed="false">
      <c r="A394" s="0" t="s">
        <v>437</v>
      </c>
      <c r="B394" s="2" t="n">
        <v>45712</v>
      </c>
      <c r="C394" s="3" t="s">
        <v>27</v>
      </c>
      <c r="D394" s="3" t="s">
        <v>28</v>
      </c>
      <c r="E394" s="3" t="s">
        <v>35</v>
      </c>
      <c r="F394" s="3" t="s">
        <v>30</v>
      </c>
      <c r="G394" s="3" t="s">
        <v>50</v>
      </c>
      <c r="H394" s="3" t="s">
        <v>30</v>
      </c>
      <c r="I394" s="3" t="s">
        <v>37</v>
      </c>
      <c r="J394" s="0" t="n">
        <v>0</v>
      </c>
      <c r="K394" s="0" t="n">
        <v>0</v>
      </c>
      <c r="L394" s="0" t="n">
        <v>0</v>
      </c>
      <c r="M394" s="0" t="n">
        <v>0</v>
      </c>
      <c r="N394" s="0" t="str">
        <f aca="false">IF(OR(NOT(OR(J394=0,J394=1)),NOT(OR(K394=0,K394=1)),NOT(OR(L394=0,L394=1)),NOT(OR(M394=0,M394=1)),NOT(OR(U394=0,U394=1))),"Yes","No")</f>
        <v>No</v>
      </c>
      <c r="O394" s="0" t="str">
        <f aca="false">IF(OR(AND(M394=1,L394=0),AND(L394=1,K394=0),AND(K394=1,J394=0)),"Yes","No")</f>
        <v>No</v>
      </c>
      <c r="P394" s="0" t="n">
        <v>0</v>
      </c>
      <c r="Q394" s="0" t="str">
        <f aca="false">IF(OR(AND(M394=0,P394&gt;0),AND(M394=1,P394&lt;=0)),"Yes","No")</f>
        <v>No</v>
      </c>
      <c r="R394" s="0" t="str">
        <f aca="false">IF(AND(M394=1,P394&gt;calc_helpers!$B$5),"Yes","No")</f>
        <v>No</v>
      </c>
      <c r="S394" s="0" t="n">
        <v>0</v>
      </c>
      <c r="T394" s="0" t="str">
        <f aca="false">IF(S394&gt;0,"Yes","No")</f>
        <v>No</v>
      </c>
      <c r="U394" s="0" t="n">
        <v>0</v>
      </c>
      <c r="W394" s="0" t="str">
        <f aca="false">IF(OR(AND(M394=1,ISBLANK(V394)),AND(M394=0,NOT(ISBLANK(V394)))),"Yes","No")</f>
        <v>No</v>
      </c>
      <c r="X394" s="0" t="n">
        <v>64</v>
      </c>
      <c r="Y394" s="3" t="s">
        <v>30</v>
      </c>
      <c r="Z394" s="0" t="str">
        <f aca="false">IF(M394=1,P394,"")</f>
        <v/>
      </c>
    </row>
    <row r="395" customFormat="false" ht="15" hidden="false" customHeight="false" outlineLevel="0" collapsed="false">
      <c r="A395" s="0" t="s">
        <v>438</v>
      </c>
      <c r="B395" s="2" t="n">
        <v>45793</v>
      </c>
      <c r="C395" s="3" t="s">
        <v>27</v>
      </c>
      <c r="D395" s="3" t="s">
        <v>34</v>
      </c>
      <c r="E395" s="3" t="s">
        <v>29</v>
      </c>
      <c r="F395" s="3" t="s">
        <v>30</v>
      </c>
      <c r="G395" s="3" t="s">
        <v>36</v>
      </c>
      <c r="H395" s="3" t="s">
        <v>30</v>
      </c>
      <c r="I395" s="3" t="s">
        <v>32</v>
      </c>
      <c r="J395" s="0" t="n">
        <v>1</v>
      </c>
      <c r="K395" s="0" t="n">
        <v>1</v>
      </c>
      <c r="L395" s="0" t="n">
        <v>0</v>
      </c>
      <c r="M395" s="0" t="n">
        <v>0</v>
      </c>
      <c r="N395" s="0" t="str">
        <f aca="false">IF(OR(NOT(OR(J395=0,J395=1)),NOT(OR(K395=0,K395=1)),NOT(OR(L395=0,L395=1)),NOT(OR(M395=0,M395=1)),NOT(OR(U395=0,U395=1))),"Yes","No")</f>
        <v>No</v>
      </c>
      <c r="O395" s="0" t="str">
        <f aca="false">IF(OR(AND(M395=1,L395=0),AND(L395=1,K395=0),AND(K395=1,J395=0)),"Yes","No")</f>
        <v>No</v>
      </c>
      <c r="P395" s="0" t="n">
        <v>0</v>
      </c>
      <c r="Q395" s="0" t="str">
        <f aca="false">IF(OR(AND(M395=0,P395&gt;0),AND(M395=1,P395&lt;=0)),"Yes","No")</f>
        <v>No</v>
      </c>
      <c r="R395" s="0" t="str">
        <f aca="false">IF(AND(M395=1,P395&gt;calc_helpers!$B$5),"Yes","No")</f>
        <v>No</v>
      </c>
      <c r="S395" s="0" t="n">
        <v>0</v>
      </c>
      <c r="T395" s="0" t="str">
        <f aca="false">IF(S395&gt;0,"Yes","No")</f>
        <v>No</v>
      </c>
      <c r="U395" s="0" t="n">
        <v>0</v>
      </c>
      <c r="W395" s="0" t="str">
        <f aca="false">IF(OR(AND(M395=1,ISBLANK(V395)),AND(M395=0,NOT(ISBLANK(V395)))),"Yes","No")</f>
        <v>No</v>
      </c>
      <c r="X395" s="0" t="n">
        <v>56.2</v>
      </c>
      <c r="Y395" s="3" t="s">
        <v>30</v>
      </c>
      <c r="Z395" s="0" t="str">
        <f aca="false">IF(M395=1,P395,"")</f>
        <v/>
      </c>
    </row>
    <row r="396" customFormat="false" ht="15" hidden="false" customHeight="false" outlineLevel="0" collapsed="false">
      <c r="A396" s="0" t="s">
        <v>439</v>
      </c>
      <c r="B396" s="2" t="n">
        <v>45776</v>
      </c>
      <c r="C396" s="3" t="s">
        <v>27</v>
      </c>
      <c r="D396" s="3" t="s">
        <v>28</v>
      </c>
      <c r="E396" s="3" t="s">
        <v>35</v>
      </c>
      <c r="F396" s="3" t="s">
        <v>30</v>
      </c>
      <c r="G396" s="3" t="s">
        <v>40</v>
      </c>
      <c r="H396" s="3" t="s">
        <v>30</v>
      </c>
      <c r="I396" s="3" t="s">
        <v>37</v>
      </c>
      <c r="J396" s="0" t="n">
        <v>1</v>
      </c>
      <c r="K396" s="0" t="n">
        <v>1</v>
      </c>
      <c r="L396" s="0" t="n">
        <v>1</v>
      </c>
      <c r="M396" s="0" t="n">
        <v>0</v>
      </c>
      <c r="N396" s="0" t="str">
        <f aca="false">IF(OR(NOT(OR(J396=0,J396=1)),NOT(OR(K396=0,K396=1)),NOT(OR(L396=0,L396=1)),NOT(OR(M396=0,M396=1)),NOT(OR(U396=0,U396=1))),"Yes","No")</f>
        <v>No</v>
      </c>
      <c r="O396" s="0" t="str">
        <f aca="false">IF(OR(AND(M396=1,L396=0),AND(L396=1,K396=0),AND(K396=1,J396=0)),"Yes","No")</f>
        <v>No</v>
      </c>
      <c r="P396" s="0" t="n">
        <v>0</v>
      </c>
      <c r="Q396" s="0" t="str">
        <f aca="false">IF(OR(AND(M396=0,P396&gt;0),AND(M396=1,P396&lt;=0)),"Yes","No")</f>
        <v>No</v>
      </c>
      <c r="R396" s="0" t="str">
        <f aca="false">IF(AND(M396=1,P396&gt;calc_helpers!$B$5),"Yes","No")</f>
        <v>No</v>
      </c>
      <c r="S396" s="0" t="n">
        <v>0</v>
      </c>
      <c r="T396" s="0" t="str">
        <f aca="false">IF(S396&gt;0,"Yes","No")</f>
        <v>No</v>
      </c>
      <c r="U396" s="0" t="n">
        <v>0</v>
      </c>
      <c r="W396" s="0" t="str">
        <f aca="false">IF(OR(AND(M396=1,ISBLANK(V396)),AND(M396=0,NOT(ISBLANK(V396)))),"Yes","No")</f>
        <v>No</v>
      </c>
      <c r="X396" s="0" t="n">
        <v>77.5</v>
      </c>
      <c r="Y396" s="3" t="s">
        <v>30</v>
      </c>
      <c r="Z396" s="0" t="str">
        <f aca="false">IF(M396=1,P396,"")</f>
        <v/>
      </c>
    </row>
    <row r="397" customFormat="false" ht="15" hidden="false" customHeight="false" outlineLevel="0" collapsed="false">
      <c r="A397" s="0" t="s">
        <v>440</v>
      </c>
      <c r="B397" s="2" t="n">
        <v>45777</v>
      </c>
      <c r="C397" s="3" t="s">
        <v>27</v>
      </c>
      <c r="D397" s="3" t="s">
        <v>43</v>
      </c>
      <c r="E397" s="3" t="s">
        <v>29</v>
      </c>
      <c r="F397" s="3" t="s">
        <v>30</v>
      </c>
      <c r="G397" s="3" t="s">
        <v>31</v>
      </c>
      <c r="H397" s="3" t="s">
        <v>30</v>
      </c>
      <c r="I397" s="3" t="s">
        <v>32</v>
      </c>
      <c r="J397" s="0" t="n">
        <v>1</v>
      </c>
      <c r="K397" s="0" t="n">
        <v>0</v>
      </c>
      <c r="L397" s="0" t="n">
        <v>0</v>
      </c>
      <c r="M397" s="0" t="n">
        <v>0</v>
      </c>
      <c r="N397" s="0" t="str">
        <f aca="false">IF(OR(NOT(OR(J397=0,J397=1)),NOT(OR(K397=0,K397=1)),NOT(OR(L397=0,L397=1)),NOT(OR(M397=0,M397=1)),NOT(OR(U397=0,U397=1))),"Yes","No")</f>
        <v>No</v>
      </c>
      <c r="O397" s="0" t="str">
        <f aca="false">IF(OR(AND(M397=1,L397=0),AND(L397=1,K397=0),AND(K397=1,J397=0)),"Yes","No")</f>
        <v>No</v>
      </c>
      <c r="P397" s="0" t="n">
        <v>0</v>
      </c>
      <c r="Q397" s="0" t="str">
        <f aca="false">IF(OR(AND(M397=0,P397&gt;0),AND(M397=1,P397&lt;=0)),"Yes","No")</f>
        <v>No</v>
      </c>
      <c r="R397" s="0" t="str">
        <f aca="false">IF(AND(M397=1,P397&gt;calc_helpers!$B$5),"Yes","No")</f>
        <v>No</v>
      </c>
      <c r="S397" s="0" t="n">
        <v>0</v>
      </c>
      <c r="T397" s="0" t="str">
        <f aca="false">IF(S397&gt;0,"Yes","No")</f>
        <v>No</v>
      </c>
      <c r="U397" s="0" t="n">
        <v>0</v>
      </c>
      <c r="W397" s="0" t="str">
        <f aca="false">IF(OR(AND(M397=1,ISBLANK(V397)),AND(M397=0,NOT(ISBLANK(V397)))),"Yes","No")</f>
        <v>No</v>
      </c>
      <c r="X397" s="0" t="n">
        <v>59.9</v>
      </c>
      <c r="Y397" s="3" t="s">
        <v>30</v>
      </c>
      <c r="Z397" s="0" t="str">
        <f aca="false">IF(M397=1,P397,"")</f>
        <v/>
      </c>
    </row>
    <row r="398" customFormat="false" ht="15" hidden="false" customHeight="false" outlineLevel="0" collapsed="false">
      <c r="A398" s="0" t="s">
        <v>441</v>
      </c>
      <c r="B398" s="2" t="n">
        <v>45666</v>
      </c>
      <c r="C398" s="3" t="s">
        <v>27</v>
      </c>
      <c r="D398" s="3" t="s">
        <v>43</v>
      </c>
      <c r="E398" s="3" t="s">
        <v>29</v>
      </c>
      <c r="F398" s="3" t="s">
        <v>30</v>
      </c>
      <c r="G398" s="3" t="s">
        <v>36</v>
      </c>
      <c r="H398" s="3" t="s">
        <v>30</v>
      </c>
      <c r="I398" s="3" t="s">
        <v>37</v>
      </c>
      <c r="J398" s="0" t="n">
        <v>1</v>
      </c>
      <c r="K398" s="0" t="n">
        <v>1</v>
      </c>
      <c r="L398" s="0" t="n">
        <v>0</v>
      </c>
      <c r="M398" s="0" t="n">
        <v>0</v>
      </c>
      <c r="N398" s="0" t="str">
        <f aca="false">IF(OR(NOT(OR(J398=0,J398=1)),NOT(OR(K398=0,K398=1)),NOT(OR(L398=0,L398=1)),NOT(OR(M398=0,M398=1)),NOT(OR(U398=0,U398=1))),"Yes","No")</f>
        <v>No</v>
      </c>
      <c r="O398" s="0" t="str">
        <f aca="false">IF(OR(AND(M398=1,L398=0),AND(L398=1,K398=0),AND(K398=1,J398=0)),"Yes","No")</f>
        <v>No</v>
      </c>
      <c r="P398" s="0" t="n">
        <v>0</v>
      </c>
      <c r="Q398" s="0" t="str">
        <f aca="false">IF(OR(AND(M398=0,P398&gt;0),AND(M398=1,P398&lt;=0)),"Yes","No")</f>
        <v>No</v>
      </c>
      <c r="R398" s="0" t="str">
        <f aca="false">IF(AND(M398=1,P398&gt;calc_helpers!$B$5),"Yes","No")</f>
        <v>No</v>
      </c>
      <c r="S398" s="0" t="n">
        <v>0</v>
      </c>
      <c r="T398" s="0" t="str">
        <f aca="false">IF(S398&gt;0,"Yes","No")</f>
        <v>No</v>
      </c>
      <c r="U398" s="0" t="n">
        <v>0</v>
      </c>
      <c r="W398" s="0" t="str">
        <f aca="false">IF(OR(AND(M398=1,ISBLANK(V398)),AND(M398=0,NOT(ISBLANK(V398)))),"Yes","No")</f>
        <v>No</v>
      </c>
      <c r="X398" s="0" t="n">
        <v>63</v>
      </c>
      <c r="Y398" s="3" t="s">
        <v>30</v>
      </c>
      <c r="Z398" s="0" t="str">
        <f aca="false">IF(M398=1,P398,"")</f>
        <v/>
      </c>
    </row>
    <row r="399" customFormat="false" ht="15" hidden="false" customHeight="false" outlineLevel="0" collapsed="false">
      <c r="A399" s="0" t="s">
        <v>442</v>
      </c>
      <c r="B399" s="2" t="n">
        <v>45772</v>
      </c>
      <c r="C399" s="3" t="s">
        <v>27</v>
      </c>
      <c r="D399" s="3" t="s">
        <v>43</v>
      </c>
      <c r="E399" s="3" t="s">
        <v>35</v>
      </c>
      <c r="F399" s="3" t="s">
        <v>30</v>
      </c>
      <c r="G399" s="3" t="s">
        <v>36</v>
      </c>
      <c r="H399" s="3" t="s">
        <v>30</v>
      </c>
      <c r="I399" s="3" t="s">
        <v>37</v>
      </c>
      <c r="J399" s="0" t="n">
        <v>1</v>
      </c>
      <c r="K399" s="0" t="n">
        <v>1</v>
      </c>
      <c r="L399" s="0" t="n">
        <v>0</v>
      </c>
      <c r="M399" s="0" t="n">
        <v>0</v>
      </c>
      <c r="N399" s="0" t="str">
        <f aca="false">IF(OR(NOT(OR(J399=0,J399=1)),NOT(OR(K399=0,K399=1)),NOT(OR(L399=0,L399=1)),NOT(OR(M399=0,M399=1)),NOT(OR(U399=0,U399=1))),"Yes","No")</f>
        <v>No</v>
      </c>
      <c r="O399" s="0" t="str">
        <f aca="false">IF(OR(AND(M399=1,L399=0),AND(L399=1,K399=0),AND(K399=1,J399=0)),"Yes","No")</f>
        <v>No</v>
      </c>
      <c r="P399" s="0" t="n">
        <v>0</v>
      </c>
      <c r="Q399" s="0" t="str">
        <f aca="false">IF(OR(AND(M399=0,P399&gt;0),AND(M399=1,P399&lt;=0)),"Yes","No")</f>
        <v>No</v>
      </c>
      <c r="R399" s="0" t="str">
        <f aca="false">IF(AND(M399=1,P399&gt;calc_helpers!$B$5),"Yes","No")</f>
        <v>No</v>
      </c>
      <c r="S399" s="0" t="n">
        <v>0</v>
      </c>
      <c r="T399" s="0" t="str">
        <f aca="false">IF(S399&gt;0,"Yes","No")</f>
        <v>No</v>
      </c>
      <c r="U399" s="0" t="n">
        <v>0</v>
      </c>
      <c r="W399" s="0" t="str">
        <f aca="false">IF(OR(AND(M399=1,ISBLANK(V399)),AND(M399=0,NOT(ISBLANK(V399)))),"Yes","No")</f>
        <v>No</v>
      </c>
      <c r="X399" s="0" t="n">
        <v>76.5</v>
      </c>
      <c r="Y399" s="3" t="s">
        <v>30</v>
      </c>
      <c r="Z399" s="0" t="str">
        <f aca="false">IF(M399=1,P399,"")</f>
        <v/>
      </c>
    </row>
    <row r="400" customFormat="false" ht="15" hidden="false" customHeight="false" outlineLevel="0" collapsed="false">
      <c r="A400" s="0" t="s">
        <v>443</v>
      </c>
      <c r="B400" s="2" t="n">
        <v>45728</v>
      </c>
      <c r="C400" s="3" t="s">
        <v>27</v>
      </c>
      <c r="D400" s="3" t="s">
        <v>28</v>
      </c>
      <c r="E400" s="3" t="s">
        <v>29</v>
      </c>
      <c r="F400" s="3" t="s">
        <v>30</v>
      </c>
      <c r="G400" s="3" t="s">
        <v>40</v>
      </c>
      <c r="H400" s="3" t="s">
        <v>30</v>
      </c>
      <c r="I400" s="3" t="s">
        <v>37</v>
      </c>
      <c r="J400" s="0" t="n">
        <v>1</v>
      </c>
      <c r="K400" s="0" t="n">
        <v>0</v>
      </c>
      <c r="L400" s="0" t="n">
        <v>0</v>
      </c>
      <c r="M400" s="0" t="n">
        <v>0</v>
      </c>
      <c r="N400" s="0" t="str">
        <f aca="false">IF(OR(NOT(OR(J400=0,J400=1)),NOT(OR(K400=0,K400=1)),NOT(OR(L400=0,L400=1)),NOT(OR(M400=0,M400=1)),NOT(OR(U400=0,U400=1))),"Yes","No")</f>
        <v>No</v>
      </c>
      <c r="O400" s="0" t="str">
        <f aca="false">IF(OR(AND(M400=1,L400=0),AND(L400=1,K400=0),AND(K400=1,J400=0)),"Yes","No")</f>
        <v>No</v>
      </c>
      <c r="P400" s="0" t="n">
        <v>0</v>
      </c>
      <c r="Q400" s="0" t="str">
        <f aca="false">IF(OR(AND(M400=0,P400&gt;0),AND(M400=1,P400&lt;=0)),"Yes","No")</f>
        <v>No</v>
      </c>
      <c r="R400" s="0" t="str">
        <f aca="false">IF(AND(M400=1,P400&gt;calc_helpers!$B$5),"Yes","No")</f>
        <v>No</v>
      </c>
      <c r="S400" s="0" t="n">
        <v>0</v>
      </c>
      <c r="T400" s="0" t="str">
        <f aca="false">IF(S400&gt;0,"Yes","No")</f>
        <v>No</v>
      </c>
      <c r="U400" s="0" t="n">
        <v>0</v>
      </c>
      <c r="W400" s="0" t="str">
        <f aca="false">IF(OR(AND(M400=1,ISBLANK(V400)),AND(M400=0,NOT(ISBLANK(V400)))),"Yes","No")</f>
        <v>No</v>
      </c>
      <c r="X400" s="0" t="n">
        <v>39.7</v>
      </c>
      <c r="Y400" s="3" t="s">
        <v>30</v>
      </c>
      <c r="Z400" s="0" t="str">
        <f aca="false">IF(M400=1,P400,"")</f>
        <v/>
      </c>
    </row>
    <row r="401" customFormat="false" ht="15" hidden="false" customHeight="false" outlineLevel="0" collapsed="false">
      <c r="A401" s="0" t="s">
        <v>444</v>
      </c>
      <c r="B401" s="2" t="n">
        <v>45736</v>
      </c>
      <c r="C401" s="3" t="s">
        <v>27</v>
      </c>
      <c r="D401" s="3" t="s">
        <v>28</v>
      </c>
      <c r="E401" s="3" t="s">
        <v>35</v>
      </c>
      <c r="F401" s="3" t="s">
        <v>30</v>
      </c>
      <c r="G401" s="3" t="s">
        <v>36</v>
      </c>
      <c r="H401" s="3" t="s">
        <v>30</v>
      </c>
      <c r="I401" s="3" t="s">
        <v>37</v>
      </c>
      <c r="J401" s="0" t="n">
        <v>1</v>
      </c>
      <c r="K401" s="0" t="n">
        <v>1</v>
      </c>
      <c r="L401" s="0" t="n">
        <v>0</v>
      </c>
      <c r="M401" s="0" t="n">
        <v>0</v>
      </c>
      <c r="N401" s="0" t="str">
        <f aca="false">IF(OR(NOT(OR(J401=0,J401=1)),NOT(OR(K401=0,K401=1)),NOT(OR(L401=0,L401=1)),NOT(OR(M401=0,M401=1)),NOT(OR(U401=0,U401=1))),"Yes","No")</f>
        <v>No</v>
      </c>
      <c r="O401" s="0" t="str">
        <f aca="false">IF(OR(AND(M401=1,L401=0),AND(L401=1,K401=0),AND(K401=1,J401=0)),"Yes","No")</f>
        <v>No</v>
      </c>
      <c r="P401" s="0" t="n">
        <v>0</v>
      </c>
      <c r="Q401" s="0" t="str">
        <f aca="false">IF(OR(AND(M401=0,P401&gt;0),AND(M401=1,P401&lt;=0)),"Yes","No")</f>
        <v>No</v>
      </c>
      <c r="R401" s="0" t="str">
        <f aca="false">IF(AND(M401=1,P401&gt;calc_helpers!$B$5),"Yes","No")</f>
        <v>No</v>
      </c>
      <c r="S401" s="0" t="n">
        <v>0</v>
      </c>
      <c r="T401" s="0" t="str">
        <f aca="false">IF(S401&gt;0,"Yes","No")</f>
        <v>No</v>
      </c>
      <c r="U401" s="0" t="n">
        <v>0</v>
      </c>
      <c r="W401" s="0" t="str">
        <f aca="false">IF(OR(AND(M401=1,ISBLANK(V401)),AND(M401=0,NOT(ISBLANK(V401)))),"Yes","No")</f>
        <v>No</v>
      </c>
      <c r="X401" s="0" t="n">
        <v>80.2</v>
      </c>
      <c r="Y401" s="3" t="s">
        <v>30</v>
      </c>
      <c r="Z401" s="0" t="str">
        <f aca="false">IF(M401=1,P401,"")</f>
        <v/>
      </c>
    </row>
    <row r="402" customFormat="false" ht="15" hidden="false" customHeight="false" outlineLevel="0" collapsed="false">
      <c r="A402" s="0" t="s">
        <v>445</v>
      </c>
      <c r="B402" s="2" t="n">
        <v>45706</v>
      </c>
      <c r="C402" s="3" t="s">
        <v>27</v>
      </c>
      <c r="D402" s="3" t="s">
        <v>34</v>
      </c>
      <c r="E402" s="3" t="s">
        <v>35</v>
      </c>
      <c r="F402" s="3" t="s">
        <v>30</v>
      </c>
      <c r="G402" s="3" t="s">
        <v>40</v>
      </c>
      <c r="H402" s="3" t="s">
        <v>30</v>
      </c>
      <c r="I402" s="3" t="s">
        <v>37</v>
      </c>
      <c r="J402" s="0" t="n">
        <v>1</v>
      </c>
      <c r="K402" s="0" t="n">
        <v>0</v>
      </c>
      <c r="L402" s="0" t="n">
        <v>0</v>
      </c>
      <c r="M402" s="0" t="n">
        <v>0</v>
      </c>
      <c r="N402" s="0" t="str">
        <f aca="false">IF(OR(NOT(OR(J402=0,J402=1)),NOT(OR(K402=0,K402=1)),NOT(OR(L402=0,L402=1)),NOT(OR(M402=0,M402=1)),NOT(OR(U402=0,U402=1))),"Yes","No")</f>
        <v>No</v>
      </c>
      <c r="O402" s="0" t="str">
        <f aca="false">IF(OR(AND(M402=1,L402=0),AND(L402=1,K402=0),AND(K402=1,J402=0)),"Yes","No")</f>
        <v>No</v>
      </c>
      <c r="P402" s="0" t="n">
        <v>0</v>
      </c>
      <c r="Q402" s="0" t="str">
        <f aca="false">IF(OR(AND(M402=0,P402&gt;0),AND(M402=1,P402&lt;=0)),"Yes","No")</f>
        <v>No</v>
      </c>
      <c r="R402" s="0" t="str">
        <f aca="false">IF(AND(M402=1,P402&gt;calc_helpers!$B$5),"Yes","No")</f>
        <v>No</v>
      </c>
      <c r="S402" s="0" t="n">
        <v>0</v>
      </c>
      <c r="T402" s="0" t="str">
        <f aca="false">IF(S402&gt;0,"Yes","No")</f>
        <v>No</v>
      </c>
      <c r="U402" s="0" t="n">
        <v>0</v>
      </c>
      <c r="W402" s="0" t="str">
        <f aca="false">IF(OR(AND(M402=1,ISBLANK(V402)),AND(M402=0,NOT(ISBLANK(V402)))),"Yes","No")</f>
        <v>No</v>
      </c>
      <c r="X402" s="0" t="n">
        <v>72.2</v>
      </c>
      <c r="Y402" s="3" t="s">
        <v>30</v>
      </c>
      <c r="Z402" s="0" t="str">
        <f aca="false">IF(M402=1,P402,"")</f>
        <v/>
      </c>
    </row>
    <row r="403" customFormat="false" ht="15" hidden="false" customHeight="false" outlineLevel="0" collapsed="false">
      <c r="A403" s="0" t="s">
        <v>446</v>
      </c>
      <c r="B403" s="2" t="n">
        <v>45679</v>
      </c>
      <c r="C403" s="3" t="s">
        <v>27</v>
      </c>
      <c r="D403" s="3" t="s">
        <v>28</v>
      </c>
      <c r="E403" s="3" t="s">
        <v>35</v>
      </c>
      <c r="F403" s="3" t="s">
        <v>30</v>
      </c>
      <c r="G403" s="3" t="s">
        <v>52</v>
      </c>
      <c r="H403" s="3" t="s">
        <v>30</v>
      </c>
      <c r="I403" s="3" t="s">
        <v>32</v>
      </c>
      <c r="J403" s="0" t="n">
        <v>0</v>
      </c>
      <c r="K403" s="0" t="n">
        <v>0</v>
      </c>
      <c r="L403" s="0" t="n">
        <v>0</v>
      </c>
      <c r="M403" s="0" t="n">
        <v>0</v>
      </c>
      <c r="N403" s="0" t="str">
        <f aca="false">IF(OR(NOT(OR(J403=0,J403=1)),NOT(OR(K403=0,K403=1)),NOT(OR(L403=0,L403=1)),NOT(OR(M403=0,M403=1)),NOT(OR(U403=0,U403=1))),"Yes","No")</f>
        <v>No</v>
      </c>
      <c r="O403" s="0" t="str">
        <f aca="false">IF(OR(AND(M403=1,L403=0),AND(L403=1,K403=0),AND(K403=1,J403=0)),"Yes","No")</f>
        <v>No</v>
      </c>
      <c r="P403" s="0" t="n">
        <v>0</v>
      </c>
      <c r="Q403" s="0" t="str">
        <f aca="false">IF(OR(AND(M403=0,P403&gt;0),AND(M403=1,P403&lt;=0)),"Yes","No")</f>
        <v>No</v>
      </c>
      <c r="R403" s="0" t="str">
        <f aca="false">IF(AND(M403=1,P403&gt;calc_helpers!$B$5),"Yes","No")</f>
        <v>No</v>
      </c>
      <c r="S403" s="0" t="n">
        <v>0</v>
      </c>
      <c r="T403" s="0" t="str">
        <f aca="false">IF(S403&gt;0,"Yes","No")</f>
        <v>No</v>
      </c>
      <c r="U403" s="0" t="n">
        <v>0</v>
      </c>
      <c r="W403" s="0" t="str">
        <f aca="false">IF(OR(AND(M403=1,ISBLANK(V403)),AND(M403=0,NOT(ISBLANK(V403)))),"Yes","No")</f>
        <v>No</v>
      </c>
      <c r="X403" s="0" t="n">
        <v>56</v>
      </c>
      <c r="Y403" s="3" t="s">
        <v>30</v>
      </c>
      <c r="Z403" s="0" t="str">
        <f aca="false">IF(M403=1,P403,"")</f>
        <v/>
      </c>
    </row>
    <row r="404" customFormat="false" ht="15" hidden="false" customHeight="false" outlineLevel="0" collapsed="false">
      <c r="A404" s="0" t="s">
        <v>447</v>
      </c>
      <c r="B404" s="2" t="n">
        <v>45696</v>
      </c>
      <c r="C404" s="3" t="s">
        <v>27</v>
      </c>
      <c r="D404" s="3" t="s">
        <v>34</v>
      </c>
      <c r="E404" s="3" t="s">
        <v>35</v>
      </c>
      <c r="F404" s="3" t="s">
        <v>30</v>
      </c>
      <c r="G404" s="3" t="s">
        <v>31</v>
      </c>
      <c r="H404" s="3" t="s">
        <v>30</v>
      </c>
      <c r="I404" s="3" t="s">
        <v>32</v>
      </c>
      <c r="J404" s="0" t="n">
        <v>1</v>
      </c>
      <c r="K404" s="0" t="n">
        <v>1</v>
      </c>
      <c r="L404" s="0" t="n">
        <v>1</v>
      </c>
      <c r="M404" s="0" t="n">
        <v>0</v>
      </c>
      <c r="N404" s="0" t="str">
        <f aca="false">IF(OR(NOT(OR(J404=0,J404=1)),NOT(OR(K404=0,K404=1)),NOT(OR(L404=0,L404=1)),NOT(OR(M404=0,M404=1)),NOT(OR(U404=0,U404=1))),"Yes","No")</f>
        <v>No</v>
      </c>
      <c r="O404" s="0" t="str">
        <f aca="false">IF(OR(AND(M404=1,L404=0),AND(L404=1,K404=0),AND(K404=1,J404=0)),"Yes","No")</f>
        <v>No</v>
      </c>
      <c r="P404" s="0" t="n">
        <v>0</v>
      </c>
      <c r="Q404" s="0" t="str">
        <f aca="false">IF(OR(AND(M404=0,P404&gt;0),AND(M404=1,P404&lt;=0)),"Yes","No")</f>
        <v>No</v>
      </c>
      <c r="R404" s="0" t="str">
        <f aca="false">IF(AND(M404=1,P404&gt;calc_helpers!$B$5),"Yes","No")</f>
        <v>No</v>
      </c>
      <c r="S404" s="0" t="n">
        <v>0</v>
      </c>
      <c r="T404" s="0" t="str">
        <f aca="false">IF(S404&gt;0,"Yes","No")</f>
        <v>No</v>
      </c>
      <c r="U404" s="0" t="n">
        <v>0</v>
      </c>
      <c r="W404" s="0" t="str">
        <f aca="false">IF(OR(AND(M404=1,ISBLANK(V404)),AND(M404=0,NOT(ISBLANK(V404)))),"Yes","No")</f>
        <v>No</v>
      </c>
      <c r="X404" s="0" t="n">
        <v>69.1</v>
      </c>
      <c r="Y404" s="3" t="s">
        <v>30</v>
      </c>
      <c r="Z404" s="0" t="str">
        <f aca="false">IF(M404=1,P404,"")</f>
        <v/>
      </c>
    </row>
    <row r="405" customFormat="false" ht="15" hidden="false" customHeight="false" outlineLevel="0" collapsed="false">
      <c r="A405" s="0" t="s">
        <v>448</v>
      </c>
      <c r="B405" s="2" t="n">
        <v>45677</v>
      </c>
      <c r="C405" s="3" t="s">
        <v>27</v>
      </c>
      <c r="D405" s="3" t="s">
        <v>28</v>
      </c>
      <c r="E405" s="3" t="s">
        <v>35</v>
      </c>
      <c r="F405" s="3" t="s">
        <v>30</v>
      </c>
      <c r="G405" s="3" t="s">
        <v>31</v>
      </c>
      <c r="H405" s="3" t="s">
        <v>30</v>
      </c>
      <c r="I405" s="3" t="s">
        <v>41</v>
      </c>
      <c r="J405" s="0" t="n">
        <v>0</v>
      </c>
      <c r="K405" s="0" t="n">
        <v>0</v>
      </c>
      <c r="L405" s="0" t="n">
        <v>0</v>
      </c>
      <c r="M405" s="0" t="n">
        <v>0</v>
      </c>
      <c r="N405" s="0" t="str">
        <f aca="false">IF(OR(NOT(OR(J405=0,J405=1)),NOT(OR(K405=0,K405=1)),NOT(OR(L405=0,L405=1)),NOT(OR(M405=0,M405=1)),NOT(OR(U405=0,U405=1))),"Yes","No")</f>
        <v>No</v>
      </c>
      <c r="O405" s="0" t="str">
        <f aca="false">IF(OR(AND(M405=1,L405=0),AND(L405=1,K405=0),AND(K405=1,J405=0)),"Yes","No")</f>
        <v>No</v>
      </c>
      <c r="P405" s="0" t="n">
        <v>0</v>
      </c>
      <c r="Q405" s="0" t="str">
        <f aca="false">IF(OR(AND(M405=0,P405&gt;0),AND(M405=1,P405&lt;=0)),"Yes","No")</f>
        <v>No</v>
      </c>
      <c r="R405" s="0" t="str">
        <f aca="false">IF(AND(M405=1,P405&gt;calc_helpers!$B$5),"Yes","No")</f>
        <v>No</v>
      </c>
      <c r="S405" s="0" t="n">
        <v>1</v>
      </c>
      <c r="T405" s="0" t="str">
        <f aca="false">IF(S405&gt;0,"Yes","No")</f>
        <v>Yes</v>
      </c>
      <c r="U405" s="0" t="n">
        <v>0</v>
      </c>
      <c r="W405" s="0" t="str">
        <f aca="false">IF(OR(AND(M405=1,ISBLANK(V405)),AND(M405=0,NOT(ISBLANK(V405)))),"Yes","No")</f>
        <v>No</v>
      </c>
      <c r="X405" s="0" t="n">
        <v>70.6</v>
      </c>
      <c r="Y405" s="3" t="s">
        <v>30</v>
      </c>
      <c r="Z405" s="0" t="str">
        <f aca="false">IF(M405=1,P405,"")</f>
        <v/>
      </c>
    </row>
    <row r="406" customFormat="false" ht="15" hidden="false" customHeight="false" outlineLevel="0" collapsed="false">
      <c r="A406" s="0" t="s">
        <v>449</v>
      </c>
      <c r="B406" s="2" t="n">
        <v>45769</v>
      </c>
      <c r="C406" s="3" t="s">
        <v>27</v>
      </c>
      <c r="D406" s="3" t="s">
        <v>34</v>
      </c>
      <c r="E406" s="3" t="s">
        <v>29</v>
      </c>
      <c r="F406" s="3" t="s">
        <v>30</v>
      </c>
      <c r="G406" s="3" t="s">
        <v>50</v>
      </c>
      <c r="H406" s="3" t="s">
        <v>30</v>
      </c>
      <c r="I406" s="3" t="s">
        <v>37</v>
      </c>
      <c r="J406" s="0" t="n">
        <v>1</v>
      </c>
      <c r="K406" s="0" t="n">
        <v>0</v>
      </c>
      <c r="L406" s="0" t="n">
        <v>0</v>
      </c>
      <c r="M406" s="0" t="n">
        <v>0</v>
      </c>
      <c r="N406" s="0" t="str">
        <f aca="false">IF(OR(NOT(OR(J406=0,J406=1)),NOT(OR(K406=0,K406=1)),NOT(OR(L406=0,L406=1)),NOT(OR(M406=0,M406=1)),NOT(OR(U406=0,U406=1))),"Yes","No")</f>
        <v>No</v>
      </c>
      <c r="O406" s="0" t="str">
        <f aca="false">IF(OR(AND(M406=1,L406=0),AND(L406=1,K406=0),AND(K406=1,J406=0)),"Yes","No")</f>
        <v>No</v>
      </c>
      <c r="P406" s="0" t="n">
        <v>0</v>
      </c>
      <c r="Q406" s="0" t="str">
        <f aca="false">IF(OR(AND(M406=0,P406&gt;0),AND(M406=1,P406&lt;=0)),"Yes","No")</f>
        <v>No</v>
      </c>
      <c r="R406" s="0" t="str">
        <f aca="false">IF(AND(M406=1,P406&gt;calc_helpers!$B$5),"Yes","No")</f>
        <v>No</v>
      </c>
      <c r="S406" s="0" t="n">
        <v>0</v>
      </c>
      <c r="T406" s="0" t="str">
        <f aca="false">IF(S406&gt;0,"Yes","No")</f>
        <v>No</v>
      </c>
      <c r="U406" s="0" t="n">
        <v>0</v>
      </c>
      <c r="W406" s="0" t="str">
        <f aca="false">IF(OR(AND(M406=1,ISBLANK(V406)),AND(M406=0,NOT(ISBLANK(V406)))),"Yes","No")</f>
        <v>No</v>
      </c>
      <c r="X406" s="0" t="n">
        <v>57.9</v>
      </c>
      <c r="Y406" s="3" t="s">
        <v>30</v>
      </c>
      <c r="Z406" s="0" t="str">
        <f aca="false">IF(M406=1,P406,"")</f>
        <v/>
      </c>
    </row>
    <row r="407" customFormat="false" ht="15" hidden="false" customHeight="false" outlineLevel="0" collapsed="false">
      <c r="A407" s="0" t="s">
        <v>450</v>
      </c>
      <c r="B407" s="2" t="n">
        <v>45679</v>
      </c>
      <c r="C407" s="3" t="s">
        <v>27</v>
      </c>
      <c r="D407" s="3" t="s">
        <v>39</v>
      </c>
      <c r="E407" s="3" t="s">
        <v>35</v>
      </c>
      <c r="F407" s="3" t="s">
        <v>30</v>
      </c>
      <c r="G407" s="3" t="s">
        <v>36</v>
      </c>
      <c r="H407" s="3" t="s">
        <v>30</v>
      </c>
      <c r="I407" s="3" t="s">
        <v>32</v>
      </c>
      <c r="J407" s="0" t="n">
        <v>1</v>
      </c>
      <c r="K407" s="0" t="n">
        <v>1</v>
      </c>
      <c r="L407" s="0" t="n">
        <v>0</v>
      </c>
      <c r="M407" s="0" t="n">
        <v>0</v>
      </c>
      <c r="N407" s="0" t="str">
        <f aca="false">IF(OR(NOT(OR(J407=0,J407=1)),NOT(OR(K407=0,K407=1)),NOT(OR(L407=0,L407=1)),NOT(OR(M407=0,M407=1)),NOT(OR(U407=0,U407=1))),"Yes","No")</f>
        <v>No</v>
      </c>
      <c r="O407" s="0" t="str">
        <f aca="false">IF(OR(AND(M407=1,L407=0),AND(L407=1,K407=0),AND(K407=1,J407=0)),"Yes","No")</f>
        <v>No</v>
      </c>
      <c r="P407" s="0" t="n">
        <v>0</v>
      </c>
      <c r="Q407" s="0" t="str">
        <f aca="false">IF(OR(AND(M407=0,P407&gt;0),AND(M407=1,P407&lt;=0)),"Yes","No")</f>
        <v>No</v>
      </c>
      <c r="R407" s="0" t="str">
        <f aca="false">IF(AND(M407=1,P407&gt;calc_helpers!$B$5),"Yes","No")</f>
        <v>No</v>
      </c>
      <c r="S407" s="0" t="n">
        <v>0</v>
      </c>
      <c r="T407" s="0" t="str">
        <f aca="false">IF(S407&gt;0,"Yes","No")</f>
        <v>No</v>
      </c>
      <c r="U407" s="0" t="n">
        <v>0</v>
      </c>
      <c r="W407" s="0" t="str">
        <f aca="false">IF(OR(AND(M407=1,ISBLANK(V407)),AND(M407=0,NOT(ISBLANK(V407)))),"Yes","No")</f>
        <v>No</v>
      </c>
      <c r="X407" s="0" t="n">
        <v>41.4</v>
      </c>
      <c r="Y407" s="3" t="s">
        <v>30</v>
      </c>
      <c r="Z407" s="0" t="str">
        <f aca="false">IF(M407=1,P407,"")</f>
        <v/>
      </c>
    </row>
    <row r="408" customFormat="false" ht="15" hidden="false" customHeight="false" outlineLevel="0" collapsed="false">
      <c r="A408" s="0" t="s">
        <v>451</v>
      </c>
      <c r="B408" s="2" t="n">
        <v>45788</v>
      </c>
      <c r="C408" s="3" t="s">
        <v>27</v>
      </c>
      <c r="D408" s="3" t="s">
        <v>34</v>
      </c>
      <c r="E408" s="3" t="s">
        <v>35</v>
      </c>
      <c r="F408" s="3" t="s">
        <v>30</v>
      </c>
      <c r="G408" s="3" t="s">
        <v>36</v>
      </c>
      <c r="H408" s="3" t="s">
        <v>30</v>
      </c>
      <c r="I408" s="3" t="s">
        <v>32</v>
      </c>
      <c r="J408" s="0" t="n">
        <v>1</v>
      </c>
      <c r="K408" s="0" t="n">
        <v>0</v>
      </c>
      <c r="L408" s="0" t="n">
        <v>0</v>
      </c>
      <c r="M408" s="0" t="n">
        <v>0</v>
      </c>
      <c r="N408" s="0" t="str">
        <f aca="false">IF(OR(NOT(OR(J408=0,J408=1)),NOT(OR(K408=0,K408=1)),NOT(OR(L408=0,L408=1)),NOT(OR(M408=0,M408=1)),NOT(OR(U408=0,U408=1))),"Yes","No")</f>
        <v>No</v>
      </c>
      <c r="O408" s="0" t="str">
        <f aca="false">IF(OR(AND(M408=1,L408=0),AND(L408=1,K408=0),AND(K408=1,J408=0)),"Yes","No")</f>
        <v>No</v>
      </c>
      <c r="P408" s="0" t="n">
        <v>0</v>
      </c>
      <c r="Q408" s="0" t="str">
        <f aca="false">IF(OR(AND(M408=0,P408&gt;0),AND(M408=1,P408&lt;=0)),"Yes","No")</f>
        <v>No</v>
      </c>
      <c r="R408" s="0" t="str">
        <f aca="false">IF(AND(M408=1,P408&gt;calc_helpers!$B$5),"Yes","No")</f>
        <v>No</v>
      </c>
      <c r="S408" s="0" t="n">
        <v>0</v>
      </c>
      <c r="T408" s="0" t="str">
        <f aca="false">IF(S408&gt;0,"Yes","No")</f>
        <v>No</v>
      </c>
      <c r="U408" s="0" t="n">
        <v>0</v>
      </c>
      <c r="W408" s="0" t="str">
        <f aca="false">IF(OR(AND(M408=1,ISBLANK(V408)),AND(M408=0,NOT(ISBLANK(V408)))),"Yes","No")</f>
        <v>No</v>
      </c>
      <c r="X408" s="0" t="n">
        <v>60.9</v>
      </c>
      <c r="Y408" s="3" t="s">
        <v>30</v>
      </c>
      <c r="Z408" s="0" t="str">
        <f aca="false">IF(M408=1,P408,"")</f>
        <v/>
      </c>
    </row>
    <row r="409" customFormat="false" ht="15" hidden="false" customHeight="false" outlineLevel="0" collapsed="false">
      <c r="A409" s="0" t="s">
        <v>452</v>
      </c>
      <c r="B409" s="2" t="n">
        <v>45694</v>
      </c>
      <c r="C409" s="3" t="s">
        <v>27</v>
      </c>
      <c r="D409" s="3" t="s">
        <v>43</v>
      </c>
      <c r="E409" s="3" t="s">
        <v>35</v>
      </c>
      <c r="F409" s="3" t="s">
        <v>30</v>
      </c>
      <c r="G409" s="3" t="s">
        <v>36</v>
      </c>
      <c r="H409" s="3" t="s">
        <v>30</v>
      </c>
      <c r="I409" s="3" t="s">
        <v>32</v>
      </c>
      <c r="J409" s="0" t="n">
        <v>0</v>
      </c>
      <c r="K409" s="0" t="n">
        <v>0</v>
      </c>
      <c r="L409" s="0" t="n">
        <v>0</v>
      </c>
      <c r="M409" s="0" t="n">
        <v>0</v>
      </c>
      <c r="N409" s="0" t="str">
        <f aca="false">IF(OR(NOT(OR(J409=0,J409=1)),NOT(OR(K409=0,K409=1)),NOT(OR(L409=0,L409=1)),NOT(OR(M409=0,M409=1)),NOT(OR(U409=0,U409=1))),"Yes","No")</f>
        <v>No</v>
      </c>
      <c r="O409" s="0" t="str">
        <f aca="false">IF(OR(AND(M409=1,L409=0),AND(L409=1,K409=0),AND(K409=1,J409=0)),"Yes","No")</f>
        <v>No</v>
      </c>
      <c r="P409" s="0" t="n">
        <v>0</v>
      </c>
      <c r="Q409" s="0" t="str">
        <f aca="false">IF(OR(AND(M409=0,P409&gt;0),AND(M409=1,P409&lt;=0)),"Yes","No")</f>
        <v>No</v>
      </c>
      <c r="R409" s="0" t="str">
        <f aca="false">IF(AND(M409=1,P409&gt;calc_helpers!$B$5),"Yes","No")</f>
        <v>No</v>
      </c>
      <c r="S409" s="0" t="n">
        <v>1</v>
      </c>
      <c r="T409" s="0" t="str">
        <f aca="false">IF(S409&gt;0,"Yes","No")</f>
        <v>Yes</v>
      </c>
      <c r="U409" s="0" t="n">
        <v>0</v>
      </c>
      <c r="W409" s="0" t="str">
        <f aca="false">IF(OR(AND(M409=1,ISBLANK(V409)),AND(M409=0,NOT(ISBLANK(V409)))),"Yes","No")</f>
        <v>No</v>
      </c>
      <c r="X409" s="0" t="n">
        <v>63.8</v>
      </c>
      <c r="Y409" s="3" t="s">
        <v>30</v>
      </c>
      <c r="Z409" s="0" t="str">
        <f aca="false">IF(M409=1,P409,"")</f>
        <v/>
      </c>
    </row>
    <row r="410" customFormat="false" ht="15" hidden="false" customHeight="false" outlineLevel="0" collapsed="false">
      <c r="A410" s="0" t="s">
        <v>453</v>
      </c>
      <c r="B410" s="2" t="n">
        <v>45709</v>
      </c>
      <c r="C410" s="3" t="s">
        <v>27</v>
      </c>
      <c r="D410" s="3" t="s">
        <v>28</v>
      </c>
      <c r="E410" s="3" t="s">
        <v>29</v>
      </c>
      <c r="F410" s="3" t="s">
        <v>30</v>
      </c>
      <c r="G410" s="3" t="s">
        <v>36</v>
      </c>
      <c r="H410" s="3" t="s">
        <v>30</v>
      </c>
      <c r="I410" s="3" t="s">
        <v>41</v>
      </c>
      <c r="J410" s="0" t="n">
        <v>1</v>
      </c>
      <c r="K410" s="0" t="n">
        <v>0</v>
      </c>
      <c r="L410" s="0" t="n">
        <v>0</v>
      </c>
      <c r="M410" s="0" t="n">
        <v>0</v>
      </c>
      <c r="N410" s="0" t="str">
        <f aca="false">IF(OR(NOT(OR(J410=0,J410=1)),NOT(OR(K410=0,K410=1)),NOT(OR(L410=0,L410=1)),NOT(OR(M410=0,M410=1)),NOT(OR(U410=0,U410=1))),"Yes","No")</f>
        <v>No</v>
      </c>
      <c r="O410" s="0" t="str">
        <f aca="false">IF(OR(AND(M410=1,L410=0),AND(L410=1,K410=0),AND(K410=1,J410=0)),"Yes","No")</f>
        <v>No</v>
      </c>
      <c r="P410" s="0" t="n">
        <v>0</v>
      </c>
      <c r="Q410" s="0" t="str">
        <f aca="false">IF(OR(AND(M410=0,P410&gt;0),AND(M410=1,P410&lt;=0)),"Yes","No")</f>
        <v>No</v>
      </c>
      <c r="R410" s="0" t="str">
        <f aca="false">IF(AND(M410=1,P410&gt;calc_helpers!$B$5),"Yes","No")</f>
        <v>No</v>
      </c>
      <c r="S410" s="0" t="n">
        <v>0</v>
      </c>
      <c r="T410" s="0" t="str">
        <f aca="false">IF(S410&gt;0,"Yes","No")</f>
        <v>No</v>
      </c>
      <c r="U410" s="0" t="n">
        <v>0</v>
      </c>
      <c r="W410" s="0" t="str">
        <f aca="false">IF(OR(AND(M410=1,ISBLANK(V410)),AND(M410=0,NOT(ISBLANK(V410)))),"Yes","No")</f>
        <v>No</v>
      </c>
      <c r="X410" s="0" t="n">
        <v>79.2</v>
      </c>
      <c r="Y410" s="3" t="s">
        <v>30</v>
      </c>
      <c r="Z410" s="0" t="str">
        <f aca="false">IF(M410=1,P410,"")</f>
        <v/>
      </c>
    </row>
    <row r="411" customFormat="false" ht="15" hidden="false" customHeight="false" outlineLevel="0" collapsed="false">
      <c r="A411" s="0" t="s">
        <v>454</v>
      </c>
      <c r="B411" s="2" t="n">
        <v>45670</v>
      </c>
      <c r="C411" s="3" t="s">
        <v>27</v>
      </c>
      <c r="D411" s="3" t="s">
        <v>34</v>
      </c>
      <c r="E411" s="3" t="s">
        <v>35</v>
      </c>
      <c r="F411" s="3" t="s">
        <v>30</v>
      </c>
      <c r="G411" s="3" t="s">
        <v>31</v>
      </c>
      <c r="H411" s="3" t="s">
        <v>30</v>
      </c>
      <c r="I411" s="3" t="s">
        <v>41</v>
      </c>
      <c r="J411" s="0" t="n">
        <v>1</v>
      </c>
      <c r="K411" s="0" t="n">
        <v>1</v>
      </c>
      <c r="L411" s="0" t="n">
        <v>1</v>
      </c>
      <c r="M411" s="0" t="n">
        <v>0</v>
      </c>
      <c r="N411" s="0" t="str">
        <f aca="false">IF(OR(NOT(OR(J411=0,J411=1)),NOT(OR(K411=0,K411=1)),NOT(OR(L411=0,L411=1)),NOT(OR(M411=0,M411=1)),NOT(OR(U411=0,U411=1))),"Yes","No")</f>
        <v>No</v>
      </c>
      <c r="O411" s="0" t="str">
        <f aca="false">IF(OR(AND(M411=1,L411=0),AND(L411=1,K411=0),AND(K411=1,J411=0)),"Yes","No")</f>
        <v>No</v>
      </c>
      <c r="P411" s="0" t="n">
        <v>0</v>
      </c>
      <c r="Q411" s="0" t="str">
        <f aca="false">IF(OR(AND(M411=0,P411&gt;0),AND(M411=1,P411&lt;=0)),"Yes","No")</f>
        <v>No</v>
      </c>
      <c r="R411" s="0" t="str">
        <f aca="false">IF(AND(M411=1,P411&gt;calc_helpers!$B$5),"Yes","No")</f>
        <v>No</v>
      </c>
      <c r="S411" s="0" t="n">
        <v>0</v>
      </c>
      <c r="T411" s="0" t="str">
        <f aca="false">IF(S411&gt;0,"Yes","No")</f>
        <v>No</v>
      </c>
      <c r="U411" s="0" t="n">
        <v>0</v>
      </c>
      <c r="W411" s="0" t="str">
        <f aca="false">IF(OR(AND(M411=1,ISBLANK(V411)),AND(M411=0,NOT(ISBLANK(V411)))),"Yes","No")</f>
        <v>No</v>
      </c>
      <c r="X411" s="0" t="n">
        <v>53.3</v>
      </c>
      <c r="Y411" s="3" t="s">
        <v>30</v>
      </c>
      <c r="Z411" s="0" t="str">
        <f aca="false">IF(M411=1,P411,"")</f>
        <v/>
      </c>
    </row>
    <row r="412" customFormat="false" ht="15" hidden="false" customHeight="false" outlineLevel="0" collapsed="false">
      <c r="A412" s="0" t="s">
        <v>455</v>
      </c>
      <c r="B412" s="2" t="n">
        <v>45723</v>
      </c>
      <c r="C412" s="3" t="s">
        <v>27</v>
      </c>
      <c r="D412" s="3" t="s">
        <v>28</v>
      </c>
      <c r="E412" s="3" t="s">
        <v>35</v>
      </c>
      <c r="F412" s="3" t="s">
        <v>30</v>
      </c>
      <c r="G412" s="3" t="s">
        <v>50</v>
      </c>
      <c r="H412" s="3" t="s">
        <v>30</v>
      </c>
      <c r="I412" s="3" t="s">
        <v>41</v>
      </c>
      <c r="J412" s="0" t="n">
        <v>1</v>
      </c>
      <c r="K412" s="0" t="n">
        <v>1</v>
      </c>
      <c r="L412" s="0" t="n">
        <v>1</v>
      </c>
      <c r="M412" s="0" t="n">
        <v>1</v>
      </c>
      <c r="N412" s="0" t="str">
        <f aca="false">IF(OR(NOT(OR(J412=0,J412=1)),NOT(OR(K412=0,K412=1)),NOT(OR(L412=0,L412=1)),NOT(OR(M412=0,M412=1)),NOT(OR(U412=0,U412=1))),"Yes","No")</f>
        <v>No</v>
      </c>
      <c r="O412" s="0" t="str">
        <f aca="false">IF(OR(AND(M412=1,L412=0),AND(L412=1,K412=0),AND(K412=1,J412=0)),"Yes","No")</f>
        <v>No</v>
      </c>
      <c r="P412" s="0" t="n">
        <v>2144.82</v>
      </c>
      <c r="Q412" s="0" t="str">
        <f aca="false">IF(OR(AND(M412=0,P412&gt;0),AND(M412=1,P412&lt;=0)),"Yes","No")</f>
        <v>No</v>
      </c>
      <c r="R412" s="0" t="str">
        <f aca="false">IF(AND(M412=1,P412&gt;calc_helpers!$B$5),"Yes","No")</f>
        <v>No</v>
      </c>
      <c r="S412" s="0" t="n">
        <v>0</v>
      </c>
      <c r="T412" s="0" t="str">
        <f aca="false">IF(S412&gt;0,"Yes","No")</f>
        <v>No</v>
      </c>
      <c r="U412" s="0" t="n">
        <v>0</v>
      </c>
      <c r="V412" s="0" t="n">
        <v>6</v>
      </c>
      <c r="W412" s="0" t="str">
        <f aca="false">IF(OR(AND(M412=1,ISBLANK(V412)),AND(M412=0,NOT(ISBLANK(V412)))),"Yes","No")</f>
        <v>No</v>
      </c>
      <c r="X412" s="0" t="n">
        <v>52.3</v>
      </c>
      <c r="Y412" s="3" t="s">
        <v>30</v>
      </c>
      <c r="Z412" s="3" t="n">
        <f aca="false">IF(M412=1,P412,"")</f>
        <v>2144.82</v>
      </c>
    </row>
    <row r="413" customFormat="false" ht="15" hidden="false" customHeight="false" outlineLevel="0" collapsed="false">
      <c r="A413" s="0" t="s">
        <v>456</v>
      </c>
      <c r="B413" s="2" t="n">
        <v>45714</v>
      </c>
      <c r="C413" s="3" t="s">
        <v>27</v>
      </c>
      <c r="D413" s="3" t="s">
        <v>34</v>
      </c>
      <c r="E413" s="3" t="s">
        <v>29</v>
      </c>
      <c r="F413" s="3" t="s">
        <v>30</v>
      </c>
      <c r="G413" s="3" t="s">
        <v>36</v>
      </c>
      <c r="H413" s="3" t="s">
        <v>30</v>
      </c>
      <c r="I413" s="3" t="s">
        <v>32</v>
      </c>
      <c r="J413" s="0" t="n">
        <v>1</v>
      </c>
      <c r="K413" s="0" t="n">
        <v>1</v>
      </c>
      <c r="L413" s="0" t="n">
        <v>0</v>
      </c>
      <c r="M413" s="0" t="n">
        <v>0</v>
      </c>
      <c r="N413" s="0" t="str">
        <f aca="false">IF(OR(NOT(OR(J413=0,J413=1)),NOT(OR(K413=0,K413=1)),NOT(OR(L413=0,L413=1)),NOT(OR(M413=0,M413=1)),NOT(OR(U413=0,U413=1))),"Yes","No")</f>
        <v>No</v>
      </c>
      <c r="O413" s="0" t="str">
        <f aca="false">IF(OR(AND(M413=1,L413=0),AND(L413=1,K413=0),AND(K413=1,J413=0)),"Yes","No")</f>
        <v>No</v>
      </c>
      <c r="P413" s="0" t="n">
        <v>0</v>
      </c>
      <c r="Q413" s="0" t="str">
        <f aca="false">IF(OR(AND(M413=0,P413&gt;0),AND(M413=1,P413&lt;=0)),"Yes","No")</f>
        <v>No</v>
      </c>
      <c r="R413" s="0" t="str">
        <f aca="false">IF(AND(M413=1,P413&gt;calc_helpers!$B$5),"Yes","No")</f>
        <v>No</v>
      </c>
      <c r="S413" s="0" t="n">
        <v>0</v>
      </c>
      <c r="T413" s="0" t="str">
        <f aca="false">IF(S413&gt;0,"Yes","No")</f>
        <v>No</v>
      </c>
      <c r="U413" s="0" t="n">
        <v>0</v>
      </c>
      <c r="W413" s="0" t="str">
        <f aca="false">IF(OR(AND(M413=1,ISBLANK(V413)),AND(M413=0,NOT(ISBLANK(V413)))),"Yes","No")</f>
        <v>No</v>
      </c>
      <c r="X413" s="0" t="n">
        <v>62.4</v>
      </c>
      <c r="Y413" s="3" t="s">
        <v>30</v>
      </c>
      <c r="Z413" s="0" t="str">
        <f aca="false">IF(M413=1,P413,"")</f>
        <v/>
      </c>
    </row>
    <row r="414" customFormat="false" ht="15" hidden="false" customHeight="false" outlineLevel="0" collapsed="false">
      <c r="A414" s="0" t="s">
        <v>457</v>
      </c>
      <c r="B414" s="2" t="n">
        <v>45782</v>
      </c>
      <c r="C414" s="3" t="s">
        <v>27</v>
      </c>
      <c r="D414" s="3" t="s">
        <v>28</v>
      </c>
      <c r="E414" s="3" t="s">
        <v>35</v>
      </c>
      <c r="F414" s="3" t="s">
        <v>30</v>
      </c>
      <c r="G414" s="3" t="s">
        <v>50</v>
      </c>
      <c r="H414" s="3" t="s">
        <v>30</v>
      </c>
      <c r="I414" s="3" t="s">
        <v>41</v>
      </c>
      <c r="J414" s="0" t="n">
        <v>1</v>
      </c>
      <c r="K414" s="0" t="n">
        <v>0</v>
      </c>
      <c r="L414" s="0" t="n">
        <v>0</v>
      </c>
      <c r="M414" s="0" t="n">
        <v>0</v>
      </c>
      <c r="N414" s="0" t="str">
        <f aca="false">IF(OR(NOT(OR(J414=0,J414=1)),NOT(OR(K414=0,K414=1)),NOT(OR(L414=0,L414=1)),NOT(OR(M414=0,M414=1)),NOT(OR(U414=0,U414=1))),"Yes","No")</f>
        <v>No</v>
      </c>
      <c r="O414" s="0" t="str">
        <f aca="false">IF(OR(AND(M414=1,L414=0),AND(L414=1,K414=0),AND(K414=1,J414=0)),"Yes","No")</f>
        <v>No</v>
      </c>
      <c r="P414" s="0" t="n">
        <v>0</v>
      </c>
      <c r="Q414" s="0" t="str">
        <f aca="false">IF(OR(AND(M414=0,P414&gt;0),AND(M414=1,P414&lt;=0)),"Yes","No")</f>
        <v>No</v>
      </c>
      <c r="R414" s="0" t="str">
        <f aca="false">IF(AND(M414=1,P414&gt;calc_helpers!$B$5),"Yes","No")</f>
        <v>No</v>
      </c>
      <c r="S414" s="0" t="n">
        <v>0</v>
      </c>
      <c r="T414" s="0" t="str">
        <f aca="false">IF(S414&gt;0,"Yes","No")</f>
        <v>No</v>
      </c>
      <c r="U414" s="0" t="n">
        <v>0</v>
      </c>
      <c r="W414" s="0" t="str">
        <f aca="false">IF(OR(AND(M414=1,ISBLANK(V414)),AND(M414=0,NOT(ISBLANK(V414)))),"Yes","No")</f>
        <v>No</v>
      </c>
      <c r="X414" s="0" t="n">
        <v>45.5</v>
      </c>
      <c r="Y414" s="3" t="s">
        <v>30</v>
      </c>
      <c r="Z414" s="0" t="str">
        <f aca="false">IF(M414=1,P414,"")</f>
        <v/>
      </c>
    </row>
    <row r="415" customFormat="false" ht="15" hidden="false" customHeight="false" outlineLevel="0" collapsed="false">
      <c r="A415" s="0" t="s">
        <v>458</v>
      </c>
      <c r="B415" s="2" t="n">
        <v>45665</v>
      </c>
      <c r="C415" s="3" t="s">
        <v>27</v>
      </c>
      <c r="D415" s="3" t="s">
        <v>39</v>
      </c>
      <c r="E415" s="3" t="s">
        <v>29</v>
      </c>
      <c r="F415" s="3" t="s">
        <v>30</v>
      </c>
      <c r="G415" s="3" t="s">
        <v>36</v>
      </c>
      <c r="H415" s="3" t="s">
        <v>30</v>
      </c>
      <c r="I415" s="3" t="s">
        <v>32</v>
      </c>
      <c r="J415" s="0" t="n">
        <v>0</v>
      </c>
      <c r="K415" s="0" t="n">
        <v>0</v>
      </c>
      <c r="L415" s="0" t="n">
        <v>0</v>
      </c>
      <c r="M415" s="0" t="n">
        <v>0</v>
      </c>
      <c r="N415" s="0" t="str">
        <f aca="false">IF(OR(NOT(OR(J415=0,J415=1)),NOT(OR(K415=0,K415=1)),NOT(OR(L415=0,L415=1)),NOT(OR(M415=0,M415=1)),NOT(OR(U415=0,U415=1))),"Yes","No")</f>
        <v>No</v>
      </c>
      <c r="O415" s="0" t="str">
        <f aca="false">IF(OR(AND(M415=1,L415=0),AND(L415=1,K415=0),AND(K415=1,J415=0)),"Yes","No")</f>
        <v>No</v>
      </c>
      <c r="P415" s="0" t="n">
        <v>0</v>
      </c>
      <c r="Q415" s="0" t="str">
        <f aca="false">IF(OR(AND(M415=0,P415&gt;0),AND(M415=1,P415&lt;=0)),"Yes","No")</f>
        <v>No</v>
      </c>
      <c r="R415" s="0" t="str">
        <f aca="false">IF(AND(M415=1,P415&gt;calc_helpers!$B$5),"Yes","No")</f>
        <v>No</v>
      </c>
      <c r="S415" s="0" t="n">
        <v>1</v>
      </c>
      <c r="T415" s="0" t="str">
        <f aca="false">IF(S415&gt;0,"Yes","No")</f>
        <v>Yes</v>
      </c>
      <c r="U415" s="0" t="n">
        <v>0</v>
      </c>
      <c r="W415" s="0" t="str">
        <f aca="false">IF(OR(AND(M415=1,ISBLANK(V415)),AND(M415=0,NOT(ISBLANK(V415)))),"Yes","No")</f>
        <v>No</v>
      </c>
      <c r="X415" s="0" t="n">
        <v>72.6</v>
      </c>
      <c r="Y415" s="3" t="s">
        <v>30</v>
      </c>
      <c r="Z415" s="0" t="str">
        <f aca="false">IF(M415=1,P415,"")</f>
        <v/>
      </c>
    </row>
    <row r="416" customFormat="false" ht="15" hidden="false" customHeight="false" outlineLevel="0" collapsed="false">
      <c r="A416" s="0" t="s">
        <v>459</v>
      </c>
      <c r="B416" s="2" t="n">
        <v>45735</v>
      </c>
      <c r="C416" s="3" t="s">
        <v>27</v>
      </c>
      <c r="D416" s="3" t="s">
        <v>43</v>
      </c>
      <c r="E416" s="3" t="s">
        <v>35</v>
      </c>
      <c r="F416" s="3" t="s">
        <v>30</v>
      </c>
      <c r="G416" s="3" t="s">
        <v>31</v>
      </c>
      <c r="H416" s="3" t="s">
        <v>30</v>
      </c>
      <c r="I416" s="3" t="s">
        <v>41</v>
      </c>
      <c r="J416" s="0" t="n">
        <v>1</v>
      </c>
      <c r="K416" s="0" t="n">
        <v>1</v>
      </c>
      <c r="L416" s="0" t="n">
        <v>1</v>
      </c>
      <c r="M416" s="0" t="n">
        <v>0</v>
      </c>
      <c r="N416" s="0" t="str">
        <f aca="false">IF(OR(NOT(OR(J416=0,J416=1)),NOT(OR(K416=0,K416=1)),NOT(OR(L416=0,L416=1)),NOT(OR(M416=0,M416=1)),NOT(OR(U416=0,U416=1))),"Yes","No")</f>
        <v>No</v>
      </c>
      <c r="O416" s="0" t="str">
        <f aca="false">IF(OR(AND(M416=1,L416=0),AND(L416=1,K416=0),AND(K416=1,J416=0)),"Yes","No")</f>
        <v>No</v>
      </c>
      <c r="P416" s="0" t="n">
        <v>0</v>
      </c>
      <c r="Q416" s="0" t="str">
        <f aca="false">IF(OR(AND(M416=0,P416&gt;0),AND(M416=1,P416&lt;=0)),"Yes","No")</f>
        <v>No</v>
      </c>
      <c r="R416" s="0" t="str">
        <f aca="false">IF(AND(M416=1,P416&gt;calc_helpers!$B$5),"Yes","No")</f>
        <v>No</v>
      </c>
      <c r="S416" s="0" t="n">
        <v>0</v>
      </c>
      <c r="T416" s="0" t="str">
        <f aca="false">IF(S416&gt;0,"Yes","No")</f>
        <v>No</v>
      </c>
      <c r="U416" s="0" t="n">
        <v>0</v>
      </c>
      <c r="W416" s="0" t="str">
        <f aca="false">IF(OR(AND(M416=1,ISBLANK(V416)),AND(M416=0,NOT(ISBLANK(V416)))),"Yes","No")</f>
        <v>No</v>
      </c>
      <c r="X416" s="0" t="n">
        <v>50.1</v>
      </c>
      <c r="Y416" s="3" t="s">
        <v>30</v>
      </c>
      <c r="Z416" s="0" t="str">
        <f aca="false">IF(M416=1,P416,"")</f>
        <v/>
      </c>
    </row>
    <row r="417" customFormat="false" ht="15" hidden="false" customHeight="false" outlineLevel="0" collapsed="false">
      <c r="A417" s="0" t="s">
        <v>460</v>
      </c>
      <c r="B417" s="2" t="n">
        <v>45687</v>
      </c>
      <c r="C417" s="3" t="s">
        <v>27</v>
      </c>
      <c r="D417" s="3" t="s">
        <v>39</v>
      </c>
      <c r="E417" s="3" t="s">
        <v>29</v>
      </c>
      <c r="F417" s="3" t="s">
        <v>30</v>
      </c>
      <c r="G417" s="3" t="s">
        <v>40</v>
      </c>
      <c r="H417" s="3" t="s">
        <v>30</v>
      </c>
      <c r="I417" s="3" t="s">
        <v>37</v>
      </c>
      <c r="J417" s="0" t="n">
        <v>1</v>
      </c>
      <c r="K417" s="0" t="n">
        <v>1</v>
      </c>
      <c r="L417" s="0" t="n">
        <v>1</v>
      </c>
      <c r="M417" s="0" t="n">
        <v>0</v>
      </c>
      <c r="N417" s="0" t="str">
        <f aca="false">IF(OR(NOT(OR(J417=0,J417=1)),NOT(OR(K417=0,K417=1)),NOT(OR(L417=0,L417=1)),NOT(OR(M417=0,M417=1)),NOT(OR(U417=0,U417=1))),"Yes","No")</f>
        <v>No</v>
      </c>
      <c r="O417" s="0" t="str">
        <f aca="false">IF(OR(AND(M417=1,L417=0),AND(L417=1,K417=0),AND(K417=1,J417=0)),"Yes","No")</f>
        <v>No</v>
      </c>
      <c r="P417" s="0" t="n">
        <v>0</v>
      </c>
      <c r="Q417" s="0" t="str">
        <f aca="false">IF(OR(AND(M417=0,P417&gt;0),AND(M417=1,P417&lt;=0)),"Yes","No")</f>
        <v>No</v>
      </c>
      <c r="R417" s="0" t="str">
        <f aca="false">IF(AND(M417=1,P417&gt;calc_helpers!$B$5),"Yes","No")</f>
        <v>No</v>
      </c>
      <c r="S417" s="0" t="n">
        <v>2</v>
      </c>
      <c r="T417" s="0" t="str">
        <f aca="false">IF(S417&gt;0,"Yes","No")</f>
        <v>Yes</v>
      </c>
      <c r="U417" s="0" t="n">
        <v>0</v>
      </c>
      <c r="W417" s="0" t="str">
        <f aca="false">IF(OR(AND(M417=1,ISBLANK(V417)),AND(M417=0,NOT(ISBLANK(V417)))),"Yes","No")</f>
        <v>No</v>
      </c>
      <c r="X417" s="0" t="n">
        <v>58.1</v>
      </c>
      <c r="Y417" s="3" t="s">
        <v>30</v>
      </c>
      <c r="Z417" s="0" t="str">
        <f aca="false">IF(M417=1,P417,"")</f>
        <v/>
      </c>
    </row>
    <row r="418" customFormat="false" ht="15" hidden="false" customHeight="false" outlineLevel="0" collapsed="false">
      <c r="A418" s="0" t="s">
        <v>461</v>
      </c>
      <c r="B418" s="2" t="n">
        <v>45775</v>
      </c>
      <c r="C418" s="3" t="s">
        <v>27</v>
      </c>
      <c r="D418" s="3" t="s">
        <v>39</v>
      </c>
      <c r="E418" s="3" t="s">
        <v>35</v>
      </c>
      <c r="F418" s="3" t="s">
        <v>30</v>
      </c>
      <c r="G418" s="3" t="s">
        <v>36</v>
      </c>
      <c r="H418" s="3" t="s">
        <v>30</v>
      </c>
      <c r="I418" s="3" t="s">
        <v>32</v>
      </c>
      <c r="J418" s="0" t="n">
        <v>1</v>
      </c>
      <c r="K418" s="0" t="n">
        <v>0</v>
      </c>
      <c r="L418" s="0" t="n">
        <v>0</v>
      </c>
      <c r="M418" s="0" t="n">
        <v>0</v>
      </c>
      <c r="N418" s="0" t="str">
        <f aca="false">IF(OR(NOT(OR(J418=0,J418=1)),NOT(OR(K418=0,K418=1)),NOT(OR(L418=0,L418=1)),NOT(OR(M418=0,M418=1)),NOT(OR(U418=0,U418=1))),"Yes","No")</f>
        <v>No</v>
      </c>
      <c r="O418" s="0" t="str">
        <f aca="false">IF(OR(AND(M418=1,L418=0),AND(L418=1,K418=0),AND(K418=1,J418=0)),"Yes","No")</f>
        <v>No</v>
      </c>
      <c r="P418" s="0" t="n">
        <v>0</v>
      </c>
      <c r="Q418" s="0" t="str">
        <f aca="false">IF(OR(AND(M418=0,P418&gt;0),AND(M418=1,P418&lt;=0)),"Yes","No")</f>
        <v>No</v>
      </c>
      <c r="R418" s="0" t="str">
        <f aca="false">IF(AND(M418=1,P418&gt;calc_helpers!$B$5),"Yes","No")</f>
        <v>No</v>
      </c>
      <c r="S418" s="0" t="n">
        <v>0</v>
      </c>
      <c r="T418" s="0" t="str">
        <f aca="false">IF(S418&gt;0,"Yes","No")</f>
        <v>No</v>
      </c>
      <c r="U418" s="0" t="n">
        <v>0</v>
      </c>
      <c r="W418" s="0" t="str">
        <f aca="false">IF(OR(AND(M418=1,ISBLANK(V418)),AND(M418=0,NOT(ISBLANK(V418)))),"Yes","No")</f>
        <v>No</v>
      </c>
      <c r="X418" s="0" t="n">
        <v>42.9</v>
      </c>
      <c r="Y418" s="3" t="s">
        <v>30</v>
      </c>
      <c r="Z418" s="0" t="str">
        <f aca="false">IF(M418=1,P418,"")</f>
        <v/>
      </c>
    </row>
    <row r="419" customFormat="false" ht="15" hidden="false" customHeight="false" outlineLevel="0" collapsed="false">
      <c r="A419" s="0" t="s">
        <v>462</v>
      </c>
      <c r="B419" s="2" t="n">
        <v>45723</v>
      </c>
      <c r="C419" s="3" t="s">
        <v>27</v>
      </c>
      <c r="D419" s="3" t="s">
        <v>28</v>
      </c>
      <c r="E419" s="3" t="s">
        <v>35</v>
      </c>
      <c r="F419" s="3" t="s">
        <v>30</v>
      </c>
      <c r="G419" s="3" t="s">
        <v>50</v>
      </c>
      <c r="H419" s="3" t="s">
        <v>30</v>
      </c>
      <c r="I419" s="3" t="s">
        <v>32</v>
      </c>
      <c r="J419" s="0" t="n">
        <v>0</v>
      </c>
      <c r="K419" s="0" t="n">
        <v>0</v>
      </c>
      <c r="L419" s="0" t="n">
        <v>0</v>
      </c>
      <c r="M419" s="0" t="n">
        <v>0</v>
      </c>
      <c r="N419" s="0" t="str">
        <f aca="false">IF(OR(NOT(OR(J419=0,J419=1)),NOT(OR(K419=0,K419=1)),NOT(OR(L419=0,L419=1)),NOT(OR(M419=0,M419=1)),NOT(OR(U419=0,U419=1))),"Yes","No")</f>
        <v>No</v>
      </c>
      <c r="O419" s="0" t="str">
        <f aca="false">IF(OR(AND(M419=1,L419=0),AND(L419=1,K419=0),AND(K419=1,J419=0)),"Yes","No")</f>
        <v>No</v>
      </c>
      <c r="P419" s="0" t="n">
        <v>0</v>
      </c>
      <c r="Q419" s="0" t="str">
        <f aca="false">IF(OR(AND(M419=0,P419&gt;0),AND(M419=1,P419&lt;=0)),"Yes","No")</f>
        <v>No</v>
      </c>
      <c r="R419" s="0" t="str">
        <f aca="false">IF(AND(M419=1,P419&gt;calc_helpers!$B$5),"Yes","No")</f>
        <v>No</v>
      </c>
      <c r="S419" s="0" t="n">
        <v>0</v>
      </c>
      <c r="T419" s="0" t="str">
        <f aca="false">IF(S419&gt;0,"Yes","No")</f>
        <v>No</v>
      </c>
      <c r="U419" s="0" t="n">
        <v>0</v>
      </c>
      <c r="W419" s="0" t="str">
        <f aca="false">IF(OR(AND(M419=1,ISBLANK(V419)),AND(M419=0,NOT(ISBLANK(V419)))),"Yes","No")</f>
        <v>No</v>
      </c>
      <c r="X419" s="0" t="n">
        <v>69.7</v>
      </c>
      <c r="Y419" s="3" t="s">
        <v>30</v>
      </c>
      <c r="Z419" s="0" t="str">
        <f aca="false">IF(M419=1,P419,"")</f>
        <v/>
      </c>
    </row>
    <row r="420" customFormat="false" ht="15" hidden="false" customHeight="false" outlineLevel="0" collapsed="false">
      <c r="A420" s="0" t="s">
        <v>463</v>
      </c>
      <c r="B420" s="2" t="n">
        <v>45754</v>
      </c>
      <c r="C420" s="3" t="s">
        <v>27</v>
      </c>
      <c r="D420" s="3" t="s">
        <v>28</v>
      </c>
      <c r="E420" s="3" t="s">
        <v>29</v>
      </c>
      <c r="F420" s="3" t="s">
        <v>30</v>
      </c>
      <c r="G420" s="3" t="s">
        <v>36</v>
      </c>
      <c r="H420" s="3" t="s">
        <v>30</v>
      </c>
      <c r="I420" s="3" t="s">
        <v>37</v>
      </c>
      <c r="J420" s="0" t="n">
        <v>0</v>
      </c>
      <c r="K420" s="0" t="n">
        <v>0</v>
      </c>
      <c r="L420" s="0" t="n">
        <v>0</v>
      </c>
      <c r="M420" s="0" t="n">
        <v>0</v>
      </c>
      <c r="N420" s="0" t="str">
        <f aca="false">IF(OR(NOT(OR(J420=0,J420=1)),NOT(OR(K420=0,K420=1)),NOT(OR(L420=0,L420=1)),NOT(OR(M420=0,M420=1)),NOT(OR(U420=0,U420=1))),"Yes","No")</f>
        <v>No</v>
      </c>
      <c r="O420" s="0" t="str">
        <f aca="false">IF(OR(AND(M420=1,L420=0),AND(L420=1,K420=0),AND(K420=1,J420=0)),"Yes","No")</f>
        <v>No</v>
      </c>
      <c r="P420" s="0" t="n">
        <v>0</v>
      </c>
      <c r="Q420" s="0" t="str">
        <f aca="false">IF(OR(AND(M420=0,P420&gt;0),AND(M420=1,P420&lt;=0)),"Yes","No")</f>
        <v>No</v>
      </c>
      <c r="R420" s="0" t="str">
        <f aca="false">IF(AND(M420=1,P420&gt;calc_helpers!$B$5),"Yes","No")</f>
        <v>No</v>
      </c>
      <c r="S420" s="0" t="n">
        <v>0</v>
      </c>
      <c r="T420" s="0" t="str">
        <f aca="false">IF(S420&gt;0,"Yes","No")</f>
        <v>No</v>
      </c>
      <c r="U420" s="0" t="n">
        <v>0</v>
      </c>
      <c r="W420" s="0" t="str">
        <f aca="false">IF(OR(AND(M420=1,ISBLANK(V420)),AND(M420=0,NOT(ISBLANK(V420)))),"Yes","No")</f>
        <v>No</v>
      </c>
      <c r="X420" s="0" t="n">
        <v>63.3</v>
      </c>
      <c r="Y420" s="3" t="s">
        <v>30</v>
      </c>
      <c r="Z420" s="0" t="str">
        <f aca="false">IF(M420=1,P420,"")</f>
        <v/>
      </c>
    </row>
    <row r="421" customFormat="false" ht="15" hidden="false" customHeight="false" outlineLevel="0" collapsed="false">
      <c r="A421" s="0" t="s">
        <v>464</v>
      </c>
      <c r="B421" s="2" t="n">
        <v>45785</v>
      </c>
      <c r="C421" s="3" t="s">
        <v>27</v>
      </c>
      <c r="D421" s="3" t="s">
        <v>28</v>
      </c>
      <c r="E421" s="3" t="s">
        <v>29</v>
      </c>
      <c r="F421" s="3" t="s">
        <v>30</v>
      </c>
      <c r="G421" s="3" t="s">
        <v>36</v>
      </c>
      <c r="H421" s="3" t="s">
        <v>30</v>
      </c>
      <c r="I421" s="3" t="s">
        <v>41</v>
      </c>
      <c r="J421" s="0" t="n">
        <v>1</v>
      </c>
      <c r="K421" s="0" t="n">
        <v>0</v>
      </c>
      <c r="L421" s="0" t="n">
        <v>0</v>
      </c>
      <c r="M421" s="0" t="n">
        <v>0</v>
      </c>
      <c r="N421" s="0" t="str">
        <f aca="false">IF(OR(NOT(OR(J421=0,J421=1)),NOT(OR(K421=0,K421=1)),NOT(OR(L421=0,L421=1)),NOT(OR(M421=0,M421=1)),NOT(OR(U421=0,U421=1))),"Yes","No")</f>
        <v>No</v>
      </c>
      <c r="O421" s="0" t="str">
        <f aca="false">IF(OR(AND(M421=1,L421=0),AND(L421=1,K421=0),AND(K421=1,J421=0)),"Yes","No")</f>
        <v>No</v>
      </c>
      <c r="P421" s="0" t="n">
        <v>0</v>
      </c>
      <c r="Q421" s="0" t="str">
        <f aca="false">IF(OR(AND(M421=0,P421&gt;0),AND(M421=1,P421&lt;=0)),"Yes","No")</f>
        <v>No</v>
      </c>
      <c r="R421" s="0" t="str">
        <f aca="false">IF(AND(M421=1,P421&gt;calc_helpers!$B$5),"Yes","No")</f>
        <v>No</v>
      </c>
      <c r="S421" s="0" t="n">
        <v>0</v>
      </c>
      <c r="T421" s="0" t="str">
        <f aca="false">IF(S421&gt;0,"Yes","No")</f>
        <v>No</v>
      </c>
      <c r="U421" s="0" t="n">
        <v>0</v>
      </c>
      <c r="W421" s="0" t="str">
        <f aca="false">IF(OR(AND(M421=1,ISBLANK(V421)),AND(M421=0,NOT(ISBLANK(V421)))),"Yes","No")</f>
        <v>No</v>
      </c>
      <c r="X421" s="0" t="n">
        <v>71.2</v>
      </c>
      <c r="Y421" s="3" t="s">
        <v>30</v>
      </c>
      <c r="Z421" s="0" t="str">
        <f aca="false">IF(M421=1,P421,"")</f>
        <v/>
      </c>
    </row>
    <row r="422" customFormat="false" ht="15" hidden="false" customHeight="false" outlineLevel="0" collapsed="false">
      <c r="A422" s="0" t="s">
        <v>465</v>
      </c>
      <c r="B422" s="2" t="n">
        <v>45762</v>
      </c>
      <c r="C422" s="3" t="s">
        <v>27</v>
      </c>
      <c r="D422" s="3" t="s">
        <v>43</v>
      </c>
      <c r="E422" s="3" t="s">
        <v>35</v>
      </c>
      <c r="F422" s="3" t="s">
        <v>30</v>
      </c>
      <c r="G422" s="3" t="s">
        <v>31</v>
      </c>
      <c r="H422" s="3" t="s">
        <v>30</v>
      </c>
      <c r="I422" s="3" t="s">
        <v>37</v>
      </c>
      <c r="J422" s="0" t="n">
        <v>1</v>
      </c>
      <c r="K422" s="0" t="n">
        <v>0</v>
      </c>
      <c r="L422" s="0" t="n">
        <v>0</v>
      </c>
      <c r="M422" s="0" t="n">
        <v>0</v>
      </c>
      <c r="N422" s="0" t="str">
        <f aca="false">IF(OR(NOT(OR(J422=0,J422=1)),NOT(OR(K422=0,K422=1)),NOT(OR(L422=0,L422=1)),NOT(OR(M422=0,M422=1)),NOT(OR(U422=0,U422=1))),"Yes","No")</f>
        <v>No</v>
      </c>
      <c r="O422" s="0" t="str">
        <f aca="false">IF(OR(AND(M422=1,L422=0),AND(L422=1,K422=0),AND(K422=1,J422=0)),"Yes","No")</f>
        <v>No</v>
      </c>
      <c r="P422" s="0" t="n">
        <v>0</v>
      </c>
      <c r="Q422" s="0" t="str">
        <f aca="false">IF(OR(AND(M422=0,P422&gt;0),AND(M422=1,P422&lt;=0)),"Yes","No")</f>
        <v>No</v>
      </c>
      <c r="R422" s="0" t="str">
        <f aca="false">IF(AND(M422=1,P422&gt;calc_helpers!$B$5),"Yes","No")</f>
        <v>No</v>
      </c>
      <c r="S422" s="0" t="n">
        <v>0</v>
      </c>
      <c r="T422" s="0" t="str">
        <f aca="false">IF(S422&gt;0,"Yes","No")</f>
        <v>No</v>
      </c>
      <c r="U422" s="0" t="n">
        <v>0</v>
      </c>
      <c r="W422" s="0" t="str">
        <f aca="false">IF(OR(AND(M422=1,ISBLANK(V422)),AND(M422=0,NOT(ISBLANK(V422)))),"Yes","No")</f>
        <v>No</v>
      </c>
      <c r="X422" s="0" t="n">
        <v>39.1</v>
      </c>
      <c r="Y422" s="3" t="s">
        <v>30</v>
      </c>
      <c r="Z422" s="0" t="str">
        <f aca="false">IF(M422=1,P422,"")</f>
        <v/>
      </c>
    </row>
    <row r="423" customFormat="false" ht="15" hidden="false" customHeight="false" outlineLevel="0" collapsed="false">
      <c r="A423" s="0" t="s">
        <v>466</v>
      </c>
      <c r="B423" s="2" t="n">
        <v>45767</v>
      </c>
      <c r="C423" s="3" t="s">
        <v>27</v>
      </c>
      <c r="D423" s="3" t="s">
        <v>39</v>
      </c>
      <c r="E423" s="3" t="s">
        <v>29</v>
      </c>
      <c r="F423" s="3" t="s">
        <v>30</v>
      </c>
      <c r="G423" s="3" t="s">
        <v>52</v>
      </c>
      <c r="H423" s="3" t="s">
        <v>30</v>
      </c>
      <c r="I423" s="3" t="s">
        <v>37</v>
      </c>
      <c r="J423" s="0" t="n">
        <v>1</v>
      </c>
      <c r="K423" s="0" t="n">
        <v>0</v>
      </c>
      <c r="L423" s="0" t="n">
        <v>0</v>
      </c>
      <c r="M423" s="0" t="n">
        <v>0</v>
      </c>
      <c r="N423" s="0" t="str">
        <f aca="false">IF(OR(NOT(OR(J423=0,J423=1)),NOT(OR(K423=0,K423=1)),NOT(OR(L423=0,L423=1)),NOT(OR(M423=0,M423=1)),NOT(OR(U423=0,U423=1))),"Yes","No")</f>
        <v>No</v>
      </c>
      <c r="O423" s="0" t="str">
        <f aca="false">IF(OR(AND(M423=1,L423=0),AND(L423=1,K423=0),AND(K423=1,J423=0)),"Yes","No")</f>
        <v>No</v>
      </c>
      <c r="P423" s="0" t="n">
        <v>0</v>
      </c>
      <c r="Q423" s="0" t="str">
        <f aca="false">IF(OR(AND(M423=0,P423&gt;0),AND(M423=1,P423&lt;=0)),"Yes","No")</f>
        <v>No</v>
      </c>
      <c r="R423" s="0" t="str">
        <f aca="false">IF(AND(M423=1,P423&gt;calc_helpers!$B$5),"Yes","No")</f>
        <v>No</v>
      </c>
      <c r="S423" s="0" t="n">
        <v>0</v>
      </c>
      <c r="T423" s="0" t="str">
        <f aca="false">IF(S423&gt;0,"Yes","No")</f>
        <v>No</v>
      </c>
      <c r="U423" s="0" t="n">
        <v>0</v>
      </c>
      <c r="W423" s="0" t="str">
        <f aca="false">IF(OR(AND(M423=1,ISBLANK(V423)),AND(M423=0,NOT(ISBLANK(V423)))),"Yes","No")</f>
        <v>No</v>
      </c>
      <c r="X423" s="0" t="n">
        <v>42.6</v>
      </c>
      <c r="Y423" s="3" t="s">
        <v>30</v>
      </c>
      <c r="Z423" s="0" t="str">
        <f aca="false">IF(M423=1,P423,"")</f>
        <v/>
      </c>
    </row>
    <row r="424" customFormat="false" ht="15" hidden="false" customHeight="false" outlineLevel="0" collapsed="false">
      <c r="A424" s="0" t="s">
        <v>467</v>
      </c>
      <c r="B424" s="2" t="n">
        <v>45807</v>
      </c>
      <c r="C424" s="3" t="s">
        <v>27</v>
      </c>
      <c r="D424" s="3" t="s">
        <v>43</v>
      </c>
      <c r="E424" s="3" t="s">
        <v>45</v>
      </c>
      <c r="F424" s="3" t="s">
        <v>30</v>
      </c>
      <c r="G424" s="3" t="s">
        <v>36</v>
      </c>
      <c r="H424" s="3" t="s">
        <v>30</v>
      </c>
      <c r="I424" s="3" t="s">
        <v>37</v>
      </c>
      <c r="J424" s="0" t="n">
        <v>0</v>
      </c>
      <c r="K424" s="0" t="n">
        <v>0</v>
      </c>
      <c r="L424" s="0" t="n">
        <v>0</v>
      </c>
      <c r="M424" s="0" t="n">
        <v>0</v>
      </c>
      <c r="N424" s="0" t="str">
        <f aca="false">IF(OR(NOT(OR(J424=0,J424=1)),NOT(OR(K424=0,K424=1)),NOT(OR(L424=0,L424=1)),NOT(OR(M424=0,M424=1)),NOT(OR(U424=0,U424=1))),"Yes","No")</f>
        <v>No</v>
      </c>
      <c r="O424" s="0" t="str">
        <f aca="false">IF(OR(AND(M424=1,L424=0),AND(L424=1,K424=0),AND(K424=1,J424=0)),"Yes","No")</f>
        <v>No</v>
      </c>
      <c r="P424" s="0" t="n">
        <v>0</v>
      </c>
      <c r="Q424" s="0" t="str">
        <f aca="false">IF(OR(AND(M424=0,P424&gt;0),AND(M424=1,P424&lt;=0)),"Yes","No")</f>
        <v>No</v>
      </c>
      <c r="R424" s="0" t="str">
        <f aca="false">IF(AND(M424=1,P424&gt;calc_helpers!$B$5),"Yes","No")</f>
        <v>No</v>
      </c>
      <c r="S424" s="0" t="n">
        <v>0</v>
      </c>
      <c r="T424" s="0" t="str">
        <f aca="false">IF(S424&gt;0,"Yes","No")</f>
        <v>No</v>
      </c>
      <c r="U424" s="0" t="n">
        <v>0</v>
      </c>
      <c r="W424" s="0" t="str">
        <f aca="false">IF(OR(AND(M424=1,ISBLANK(V424)),AND(M424=0,NOT(ISBLANK(V424)))),"Yes","No")</f>
        <v>No</v>
      </c>
      <c r="X424" s="0" t="n">
        <v>74.4</v>
      </c>
      <c r="Y424" s="3" t="s">
        <v>30</v>
      </c>
      <c r="Z424" s="0" t="str">
        <f aca="false">IF(M424=1,P424,"")</f>
        <v/>
      </c>
    </row>
    <row r="425" customFormat="false" ht="15" hidden="false" customHeight="false" outlineLevel="0" collapsed="false">
      <c r="A425" s="0" t="s">
        <v>468</v>
      </c>
      <c r="B425" s="2" t="n">
        <v>45701</v>
      </c>
      <c r="C425" s="3" t="s">
        <v>27</v>
      </c>
      <c r="D425" s="3" t="s">
        <v>34</v>
      </c>
      <c r="E425" s="3" t="s">
        <v>35</v>
      </c>
      <c r="F425" s="3" t="s">
        <v>30</v>
      </c>
      <c r="G425" s="3" t="s">
        <v>50</v>
      </c>
      <c r="H425" s="3" t="s">
        <v>30</v>
      </c>
      <c r="I425" s="3" t="s">
        <v>37</v>
      </c>
      <c r="J425" s="0" t="n">
        <v>0</v>
      </c>
      <c r="K425" s="0" t="n">
        <v>0</v>
      </c>
      <c r="L425" s="0" t="n">
        <v>0</v>
      </c>
      <c r="M425" s="0" t="n">
        <v>0</v>
      </c>
      <c r="N425" s="0" t="str">
        <f aca="false">IF(OR(NOT(OR(J425=0,J425=1)),NOT(OR(K425=0,K425=1)),NOT(OR(L425=0,L425=1)),NOT(OR(M425=0,M425=1)),NOT(OR(U425=0,U425=1))),"Yes","No")</f>
        <v>No</v>
      </c>
      <c r="O425" s="0" t="str">
        <f aca="false">IF(OR(AND(M425=1,L425=0),AND(L425=1,K425=0),AND(K425=1,J425=0)),"Yes","No")</f>
        <v>No</v>
      </c>
      <c r="P425" s="0" t="n">
        <v>0</v>
      </c>
      <c r="Q425" s="0" t="str">
        <f aca="false">IF(OR(AND(M425=0,P425&gt;0),AND(M425=1,P425&lt;=0)),"Yes","No")</f>
        <v>No</v>
      </c>
      <c r="R425" s="0" t="str">
        <f aca="false">IF(AND(M425=1,P425&gt;calc_helpers!$B$5),"Yes","No")</f>
        <v>No</v>
      </c>
      <c r="S425" s="0" t="n">
        <v>0</v>
      </c>
      <c r="T425" s="0" t="str">
        <f aca="false">IF(S425&gt;0,"Yes","No")</f>
        <v>No</v>
      </c>
      <c r="U425" s="0" t="n">
        <v>0</v>
      </c>
      <c r="W425" s="0" t="str">
        <f aca="false">IF(OR(AND(M425=1,ISBLANK(V425)),AND(M425=0,NOT(ISBLANK(V425)))),"Yes","No")</f>
        <v>No</v>
      </c>
      <c r="X425" s="0" t="n">
        <v>55.6</v>
      </c>
      <c r="Y425" s="3" t="s">
        <v>30</v>
      </c>
      <c r="Z425" s="0" t="str">
        <f aca="false">IF(M425=1,P425,"")</f>
        <v/>
      </c>
    </row>
    <row r="426" customFormat="false" ht="15" hidden="false" customHeight="false" outlineLevel="0" collapsed="false">
      <c r="A426" s="0" t="s">
        <v>469</v>
      </c>
      <c r="B426" s="2" t="n">
        <v>45775</v>
      </c>
      <c r="C426" s="3" t="s">
        <v>27</v>
      </c>
      <c r="D426" s="3" t="s">
        <v>34</v>
      </c>
      <c r="E426" s="3" t="s">
        <v>35</v>
      </c>
      <c r="F426" s="3" t="s">
        <v>30</v>
      </c>
      <c r="G426" s="3" t="s">
        <v>52</v>
      </c>
      <c r="H426" s="3" t="s">
        <v>30</v>
      </c>
      <c r="I426" s="3" t="s">
        <v>37</v>
      </c>
      <c r="J426" s="0" t="n">
        <v>1</v>
      </c>
      <c r="K426" s="0" t="n">
        <v>0</v>
      </c>
      <c r="L426" s="0" t="n">
        <v>0</v>
      </c>
      <c r="M426" s="0" t="n">
        <v>0</v>
      </c>
      <c r="N426" s="0" t="str">
        <f aca="false">IF(OR(NOT(OR(J426=0,J426=1)),NOT(OR(K426=0,K426=1)),NOT(OR(L426=0,L426=1)),NOT(OR(M426=0,M426=1)),NOT(OR(U426=0,U426=1))),"Yes","No")</f>
        <v>No</v>
      </c>
      <c r="O426" s="0" t="str">
        <f aca="false">IF(OR(AND(M426=1,L426=0),AND(L426=1,K426=0),AND(K426=1,J426=0)),"Yes","No")</f>
        <v>No</v>
      </c>
      <c r="P426" s="0" t="n">
        <v>0</v>
      </c>
      <c r="Q426" s="0" t="str">
        <f aca="false">IF(OR(AND(M426=0,P426&gt;0),AND(M426=1,P426&lt;=0)),"Yes","No")</f>
        <v>No</v>
      </c>
      <c r="R426" s="0" t="str">
        <f aca="false">IF(AND(M426=1,P426&gt;calc_helpers!$B$5),"Yes","No")</f>
        <v>No</v>
      </c>
      <c r="S426" s="0" t="n">
        <v>0</v>
      </c>
      <c r="T426" s="0" t="str">
        <f aca="false">IF(S426&gt;0,"Yes","No")</f>
        <v>No</v>
      </c>
      <c r="U426" s="0" t="n">
        <v>0</v>
      </c>
      <c r="W426" s="0" t="str">
        <f aca="false">IF(OR(AND(M426=1,ISBLANK(V426)),AND(M426=0,NOT(ISBLANK(V426)))),"Yes","No")</f>
        <v>No</v>
      </c>
      <c r="X426" s="0" t="n">
        <v>35.8</v>
      </c>
      <c r="Y426" s="3" t="s">
        <v>30</v>
      </c>
      <c r="Z426" s="0" t="str">
        <f aca="false">IF(M426=1,P426,"")</f>
        <v/>
      </c>
    </row>
    <row r="427" customFormat="false" ht="15" hidden="false" customHeight="false" outlineLevel="0" collapsed="false">
      <c r="A427" s="0" t="s">
        <v>470</v>
      </c>
      <c r="B427" s="2" t="n">
        <v>45700</v>
      </c>
      <c r="C427" s="3" t="s">
        <v>27</v>
      </c>
      <c r="D427" s="3" t="s">
        <v>28</v>
      </c>
      <c r="E427" s="3" t="s">
        <v>35</v>
      </c>
      <c r="F427" s="3" t="s">
        <v>30</v>
      </c>
      <c r="G427" s="3" t="s">
        <v>40</v>
      </c>
      <c r="H427" s="3" t="s">
        <v>30</v>
      </c>
      <c r="I427" s="3" t="s">
        <v>32</v>
      </c>
      <c r="J427" s="0" t="n">
        <v>1</v>
      </c>
      <c r="K427" s="0" t="n">
        <v>0</v>
      </c>
      <c r="L427" s="0" t="n">
        <v>0</v>
      </c>
      <c r="M427" s="0" t="n">
        <v>0</v>
      </c>
      <c r="N427" s="0" t="str">
        <f aca="false">IF(OR(NOT(OR(J427=0,J427=1)),NOT(OR(K427=0,K427=1)),NOT(OR(L427=0,L427=1)),NOT(OR(M427=0,M427=1)),NOT(OR(U427=0,U427=1))),"Yes","No")</f>
        <v>No</v>
      </c>
      <c r="O427" s="0" t="str">
        <f aca="false">IF(OR(AND(M427=1,L427=0),AND(L427=1,K427=0),AND(K427=1,J427=0)),"Yes","No")</f>
        <v>No</v>
      </c>
      <c r="P427" s="0" t="n">
        <v>0</v>
      </c>
      <c r="Q427" s="0" t="str">
        <f aca="false">IF(OR(AND(M427=0,P427&gt;0),AND(M427=1,P427&lt;=0)),"Yes","No")</f>
        <v>No</v>
      </c>
      <c r="R427" s="0" t="str">
        <f aca="false">IF(AND(M427=1,P427&gt;calc_helpers!$B$5),"Yes","No")</f>
        <v>No</v>
      </c>
      <c r="S427" s="0" t="n">
        <v>1</v>
      </c>
      <c r="T427" s="0" t="str">
        <f aca="false">IF(S427&gt;0,"Yes","No")</f>
        <v>Yes</v>
      </c>
      <c r="U427" s="0" t="n">
        <v>0</v>
      </c>
      <c r="W427" s="0" t="str">
        <f aca="false">IF(OR(AND(M427=1,ISBLANK(V427)),AND(M427=0,NOT(ISBLANK(V427)))),"Yes","No")</f>
        <v>No</v>
      </c>
      <c r="X427" s="0" t="n">
        <v>28.2</v>
      </c>
      <c r="Y427" s="3" t="s">
        <v>30</v>
      </c>
      <c r="Z427" s="0" t="str">
        <f aca="false">IF(M427=1,P427,"")</f>
        <v/>
      </c>
    </row>
    <row r="428" customFormat="false" ht="15" hidden="false" customHeight="false" outlineLevel="0" collapsed="false">
      <c r="A428" s="0" t="s">
        <v>471</v>
      </c>
      <c r="B428" s="2" t="n">
        <v>45700</v>
      </c>
      <c r="C428" s="3" t="s">
        <v>27</v>
      </c>
      <c r="D428" s="3" t="s">
        <v>39</v>
      </c>
      <c r="E428" s="3" t="s">
        <v>35</v>
      </c>
      <c r="F428" s="3" t="s">
        <v>30</v>
      </c>
      <c r="G428" s="3" t="s">
        <v>36</v>
      </c>
      <c r="H428" s="3" t="s">
        <v>30</v>
      </c>
      <c r="I428" s="3" t="s">
        <v>37</v>
      </c>
      <c r="J428" s="0" t="n">
        <v>0</v>
      </c>
      <c r="K428" s="0" t="n">
        <v>0</v>
      </c>
      <c r="L428" s="0" t="n">
        <v>0</v>
      </c>
      <c r="M428" s="0" t="n">
        <v>0</v>
      </c>
      <c r="N428" s="0" t="str">
        <f aca="false">IF(OR(NOT(OR(J428=0,J428=1)),NOT(OR(K428=0,K428=1)),NOT(OR(L428=0,L428=1)),NOT(OR(M428=0,M428=1)),NOT(OR(U428=0,U428=1))),"Yes","No")</f>
        <v>No</v>
      </c>
      <c r="O428" s="0" t="str">
        <f aca="false">IF(OR(AND(M428=1,L428=0),AND(L428=1,K428=0),AND(K428=1,J428=0)),"Yes","No")</f>
        <v>No</v>
      </c>
      <c r="P428" s="0" t="n">
        <v>0</v>
      </c>
      <c r="Q428" s="0" t="str">
        <f aca="false">IF(OR(AND(M428=0,P428&gt;0),AND(M428=1,P428&lt;=0)),"Yes","No")</f>
        <v>No</v>
      </c>
      <c r="R428" s="0" t="str">
        <f aca="false">IF(AND(M428=1,P428&gt;calc_helpers!$B$5),"Yes","No")</f>
        <v>No</v>
      </c>
      <c r="S428" s="0" t="n">
        <v>2</v>
      </c>
      <c r="T428" s="0" t="str">
        <f aca="false">IF(S428&gt;0,"Yes","No")</f>
        <v>Yes</v>
      </c>
      <c r="U428" s="0" t="n">
        <v>0</v>
      </c>
      <c r="W428" s="0" t="str">
        <f aca="false">IF(OR(AND(M428=1,ISBLANK(V428)),AND(M428=0,NOT(ISBLANK(V428)))),"Yes","No")</f>
        <v>No</v>
      </c>
      <c r="X428" s="0" t="n">
        <v>44.4</v>
      </c>
      <c r="Y428" s="3" t="s">
        <v>30</v>
      </c>
      <c r="Z428" s="0" t="str">
        <f aca="false">IF(M428=1,P428,"")</f>
        <v/>
      </c>
    </row>
    <row r="429" customFormat="false" ht="15" hidden="false" customHeight="false" outlineLevel="0" collapsed="false">
      <c r="A429" s="0" t="s">
        <v>472</v>
      </c>
      <c r="B429" s="2" t="n">
        <v>45743</v>
      </c>
      <c r="C429" s="3" t="s">
        <v>27</v>
      </c>
      <c r="D429" s="3" t="s">
        <v>28</v>
      </c>
      <c r="E429" s="3" t="s">
        <v>35</v>
      </c>
      <c r="F429" s="3" t="s">
        <v>30</v>
      </c>
      <c r="G429" s="3" t="s">
        <v>31</v>
      </c>
      <c r="H429" s="3" t="s">
        <v>30</v>
      </c>
      <c r="I429" s="3" t="s">
        <v>41</v>
      </c>
      <c r="J429" s="0" t="n">
        <v>1</v>
      </c>
      <c r="K429" s="0" t="n">
        <v>0</v>
      </c>
      <c r="L429" s="0" t="n">
        <v>0</v>
      </c>
      <c r="M429" s="0" t="n">
        <v>0</v>
      </c>
      <c r="N429" s="0" t="str">
        <f aca="false">IF(OR(NOT(OR(J429=0,J429=1)),NOT(OR(K429=0,K429=1)),NOT(OR(L429=0,L429=1)),NOT(OR(M429=0,M429=1)),NOT(OR(U429=0,U429=1))),"Yes","No")</f>
        <v>No</v>
      </c>
      <c r="O429" s="0" t="str">
        <f aca="false">IF(OR(AND(M429=1,L429=0),AND(L429=1,K429=0),AND(K429=1,J429=0)),"Yes","No")</f>
        <v>No</v>
      </c>
      <c r="P429" s="0" t="n">
        <v>0</v>
      </c>
      <c r="Q429" s="0" t="str">
        <f aca="false">IF(OR(AND(M429=0,P429&gt;0),AND(M429=1,P429&lt;=0)),"Yes","No")</f>
        <v>No</v>
      </c>
      <c r="R429" s="0" t="str">
        <f aca="false">IF(AND(M429=1,P429&gt;calc_helpers!$B$5),"Yes","No")</f>
        <v>No</v>
      </c>
      <c r="S429" s="0" t="n">
        <v>0</v>
      </c>
      <c r="T429" s="0" t="str">
        <f aca="false">IF(S429&gt;0,"Yes","No")</f>
        <v>No</v>
      </c>
      <c r="U429" s="0" t="n">
        <v>0</v>
      </c>
      <c r="W429" s="0" t="str">
        <f aca="false">IF(OR(AND(M429=1,ISBLANK(V429)),AND(M429=0,NOT(ISBLANK(V429)))),"Yes","No")</f>
        <v>No</v>
      </c>
      <c r="X429" s="0" t="n">
        <v>49.9</v>
      </c>
      <c r="Y429" s="3" t="s">
        <v>30</v>
      </c>
      <c r="Z429" s="0" t="str">
        <f aca="false">IF(M429=1,P429,"")</f>
        <v/>
      </c>
    </row>
    <row r="430" customFormat="false" ht="15" hidden="false" customHeight="false" outlineLevel="0" collapsed="false">
      <c r="A430" s="0" t="s">
        <v>473</v>
      </c>
      <c r="B430" s="2" t="n">
        <v>45759</v>
      </c>
      <c r="C430" s="3" t="s">
        <v>27</v>
      </c>
      <c r="D430" s="3" t="s">
        <v>43</v>
      </c>
      <c r="E430" s="3" t="s">
        <v>29</v>
      </c>
      <c r="F430" s="3" t="s">
        <v>30</v>
      </c>
      <c r="G430" s="3" t="s">
        <v>36</v>
      </c>
      <c r="H430" s="3" t="s">
        <v>30</v>
      </c>
      <c r="I430" s="3" t="s">
        <v>37</v>
      </c>
      <c r="J430" s="0" t="n">
        <v>0</v>
      </c>
      <c r="K430" s="0" t="n">
        <v>0</v>
      </c>
      <c r="L430" s="0" t="n">
        <v>0</v>
      </c>
      <c r="M430" s="0" t="n">
        <v>0</v>
      </c>
      <c r="N430" s="0" t="str">
        <f aca="false">IF(OR(NOT(OR(J430=0,J430=1)),NOT(OR(K430=0,K430=1)),NOT(OR(L430=0,L430=1)),NOT(OR(M430=0,M430=1)),NOT(OR(U430=0,U430=1))),"Yes","No")</f>
        <v>No</v>
      </c>
      <c r="O430" s="0" t="str">
        <f aca="false">IF(OR(AND(M430=1,L430=0),AND(L430=1,K430=0),AND(K430=1,J430=0)),"Yes","No")</f>
        <v>No</v>
      </c>
      <c r="P430" s="0" t="n">
        <v>0</v>
      </c>
      <c r="Q430" s="0" t="str">
        <f aca="false">IF(OR(AND(M430=0,P430&gt;0),AND(M430=1,P430&lt;=0)),"Yes","No")</f>
        <v>No</v>
      </c>
      <c r="R430" s="0" t="str">
        <f aca="false">IF(AND(M430=1,P430&gt;calc_helpers!$B$5),"Yes","No")</f>
        <v>No</v>
      </c>
      <c r="S430" s="0" t="n">
        <v>0</v>
      </c>
      <c r="T430" s="0" t="str">
        <f aca="false">IF(S430&gt;0,"Yes","No")</f>
        <v>No</v>
      </c>
      <c r="U430" s="0" t="n">
        <v>0</v>
      </c>
      <c r="W430" s="0" t="str">
        <f aca="false">IF(OR(AND(M430=1,ISBLANK(V430)),AND(M430=0,NOT(ISBLANK(V430)))),"Yes","No")</f>
        <v>No</v>
      </c>
      <c r="X430" s="0" t="n">
        <v>40.4</v>
      </c>
      <c r="Y430" s="3" t="s">
        <v>30</v>
      </c>
      <c r="Z430" s="0" t="str">
        <f aca="false">IF(M430=1,P430,"")</f>
        <v/>
      </c>
    </row>
    <row r="431" customFormat="false" ht="15" hidden="false" customHeight="false" outlineLevel="0" collapsed="false">
      <c r="A431" s="0" t="s">
        <v>474</v>
      </c>
      <c r="B431" s="2" t="n">
        <v>45687</v>
      </c>
      <c r="C431" s="3" t="s">
        <v>27</v>
      </c>
      <c r="D431" s="3" t="s">
        <v>34</v>
      </c>
      <c r="E431" s="3" t="s">
        <v>35</v>
      </c>
      <c r="F431" s="3" t="s">
        <v>30</v>
      </c>
      <c r="G431" s="3" t="s">
        <v>52</v>
      </c>
      <c r="H431" s="3" t="s">
        <v>30</v>
      </c>
      <c r="I431" s="3" t="s">
        <v>37</v>
      </c>
      <c r="J431" s="0" t="n">
        <v>0</v>
      </c>
      <c r="K431" s="0" t="n">
        <v>0</v>
      </c>
      <c r="L431" s="0" t="n">
        <v>0</v>
      </c>
      <c r="M431" s="0" t="n">
        <v>0</v>
      </c>
      <c r="N431" s="0" t="str">
        <f aca="false">IF(OR(NOT(OR(J431=0,J431=1)),NOT(OR(K431=0,K431=1)),NOT(OR(L431=0,L431=1)),NOT(OR(M431=0,M431=1)),NOT(OR(U431=0,U431=1))),"Yes","No")</f>
        <v>No</v>
      </c>
      <c r="O431" s="0" t="str">
        <f aca="false">IF(OR(AND(M431=1,L431=0),AND(L431=1,K431=0),AND(K431=1,J431=0)),"Yes","No")</f>
        <v>No</v>
      </c>
      <c r="P431" s="0" t="n">
        <v>0</v>
      </c>
      <c r="Q431" s="0" t="str">
        <f aca="false">IF(OR(AND(M431=0,P431&gt;0),AND(M431=1,P431&lt;=0)),"Yes","No")</f>
        <v>No</v>
      </c>
      <c r="R431" s="0" t="str">
        <f aca="false">IF(AND(M431=1,P431&gt;calc_helpers!$B$5),"Yes","No")</f>
        <v>No</v>
      </c>
      <c r="S431" s="0" t="n">
        <v>0</v>
      </c>
      <c r="T431" s="0" t="str">
        <f aca="false">IF(S431&gt;0,"Yes","No")</f>
        <v>No</v>
      </c>
      <c r="U431" s="0" t="n">
        <v>0</v>
      </c>
      <c r="W431" s="0" t="str">
        <f aca="false">IF(OR(AND(M431=1,ISBLANK(V431)),AND(M431=0,NOT(ISBLANK(V431)))),"Yes","No")</f>
        <v>No</v>
      </c>
      <c r="X431" s="0" t="n">
        <v>60.4</v>
      </c>
      <c r="Y431" s="3" t="s">
        <v>30</v>
      </c>
      <c r="Z431" s="0" t="str">
        <f aca="false">IF(M431=1,P431,"")</f>
        <v/>
      </c>
    </row>
    <row r="432" customFormat="false" ht="15" hidden="false" customHeight="false" outlineLevel="0" collapsed="false">
      <c r="A432" s="0" t="s">
        <v>475</v>
      </c>
      <c r="B432" s="2" t="n">
        <v>45805</v>
      </c>
      <c r="C432" s="3" t="s">
        <v>27</v>
      </c>
      <c r="D432" s="3" t="s">
        <v>34</v>
      </c>
      <c r="E432" s="3" t="s">
        <v>35</v>
      </c>
      <c r="F432" s="3" t="s">
        <v>30</v>
      </c>
      <c r="G432" s="3" t="s">
        <v>52</v>
      </c>
      <c r="H432" s="3" t="s">
        <v>30</v>
      </c>
      <c r="I432" s="3" t="s">
        <v>41</v>
      </c>
      <c r="J432" s="0" t="n">
        <v>0</v>
      </c>
      <c r="K432" s="0" t="n">
        <v>0</v>
      </c>
      <c r="L432" s="0" t="n">
        <v>0</v>
      </c>
      <c r="M432" s="0" t="n">
        <v>0</v>
      </c>
      <c r="N432" s="0" t="str">
        <f aca="false">IF(OR(NOT(OR(J432=0,J432=1)),NOT(OR(K432=0,K432=1)),NOT(OR(L432=0,L432=1)),NOT(OR(M432=0,M432=1)),NOT(OR(U432=0,U432=1))),"Yes","No")</f>
        <v>No</v>
      </c>
      <c r="O432" s="0" t="str">
        <f aca="false">IF(OR(AND(M432=1,L432=0),AND(L432=1,K432=0),AND(K432=1,J432=0)),"Yes","No")</f>
        <v>No</v>
      </c>
      <c r="P432" s="0" t="n">
        <v>0</v>
      </c>
      <c r="Q432" s="0" t="str">
        <f aca="false">IF(OR(AND(M432=0,P432&gt;0),AND(M432=1,P432&lt;=0)),"Yes","No")</f>
        <v>No</v>
      </c>
      <c r="R432" s="0" t="str">
        <f aca="false">IF(AND(M432=1,P432&gt;calc_helpers!$B$5),"Yes","No")</f>
        <v>No</v>
      </c>
      <c r="S432" s="0" t="n">
        <v>1</v>
      </c>
      <c r="T432" s="0" t="str">
        <f aca="false">IF(S432&gt;0,"Yes","No")</f>
        <v>Yes</v>
      </c>
      <c r="U432" s="0" t="n">
        <v>0</v>
      </c>
      <c r="W432" s="0" t="str">
        <f aca="false">IF(OR(AND(M432=1,ISBLANK(V432)),AND(M432=0,NOT(ISBLANK(V432)))),"Yes","No")</f>
        <v>No</v>
      </c>
      <c r="X432" s="0" t="n">
        <v>52.4</v>
      </c>
      <c r="Y432" s="3" t="s">
        <v>30</v>
      </c>
      <c r="Z432" s="0" t="str">
        <f aca="false">IF(M432=1,P432,"")</f>
        <v/>
      </c>
    </row>
    <row r="433" customFormat="false" ht="15" hidden="false" customHeight="false" outlineLevel="0" collapsed="false">
      <c r="A433" s="0" t="s">
        <v>476</v>
      </c>
      <c r="B433" s="2" t="n">
        <v>45778</v>
      </c>
      <c r="C433" s="3" t="s">
        <v>27</v>
      </c>
      <c r="D433" s="3" t="s">
        <v>43</v>
      </c>
      <c r="E433" s="3" t="s">
        <v>35</v>
      </c>
      <c r="F433" s="3" t="s">
        <v>30</v>
      </c>
      <c r="G433" s="3" t="s">
        <v>36</v>
      </c>
      <c r="H433" s="3" t="s">
        <v>30</v>
      </c>
      <c r="I433" s="3" t="s">
        <v>32</v>
      </c>
      <c r="J433" s="0" t="n">
        <v>1</v>
      </c>
      <c r="K433" s="0" t="n">
        <v>1</v>
      </c>
      <c r="L433" s="0" t="n">
        <v>0</v>
      </c>
      <c r="M433" s="0" t="n">
        <v>0</v>
      </c>
      <c r="N433" s="0" t="str">
        <f aca="false">IF(OR(NOT(OR(J433=0,J433=1)),NOT(OR(K433=0,K433=1)),NOT(OR(L433=0,L433=1)),NOT(OR(M433=0,M433=1)),NOT(OR(U433=0,U433=1))),"Yes","No")</f>
        <v>No</v>
      </c>
      <c r="O433" s="0" t="str">
        <f aca="false">IF(OR(AND(M433=1,L433=0),AND(L433=1,K433=0),AND(K433=1,J433=0)),"Yes","No")</f>
        <v>No</v>
      </c>
      <c r="P433" s="0" t="n">
        <v>0</v>
      </c>
      <c r="Q433" s="0" t="str">
        <f aca="false">IF(OR(AND(M433=0,P433&gt;0),AND(M433=1,P433&lt;=0)),"Yes","No")</f>
        <v>No</v>
      </c>
      <c r="R433" s="0" t="str">
        <f aca="false">IF(AND(M433=1,P433&gt;calc_helpers!$B$5),"Yes","No")</f>
        <v>No</v>
      </c>
      <c r="S433" s="0" t="n">
        <v>0</v>
      </c>
      <c r="T433" s="0" t="str">
        <f aca="false">IF(S433&gt;0,"Yes","No")</f>
        <v>No</v>
      </c>
      <c r="U433" s="0" t="n">
        <v>0</v>
      </c>
      <c r="W433" s="0" t="str">
        <f aca="false">IF(OR(AND(M433=1,ISBLANK(V433)),AND(M433=0,NOT(ISBLANK(V433)))),"Yes","No")</f>
        <v>No</v>
      </c>
      <c r="X433" s="0" t="n">
        <v>48.8</v>
      </c>
      <c r="Y433" s="3" t="s">
        <v>30</v>
      </c>
      <c r="Z433" s="0" t="str">
        <f aca="false">IF(M433=1,P433,"")</f>
        <v/>
      </c>
    </row>
    <row r="434" customFormat="false" ht="15" hidden="false" customHeight="false" outlineLevel="0" collapsed="false">
      <c r="A434" s="0" t="s">
        <v>477</v>
      </c>
      <c r="B434" s="2" t="n">
        <v>45691</v>
      </c>
      <c r="C434" s="3" t="s">
        <v>27</v>
      </c>
      <c r="D434" s="3" t="s">
        <v>28</v>
      </c>
      <c r="E434" s="3" t="s">
        <v>45</v>
      </c>
      <c r="F434" s="3" t="s">
        <v>30</v>
      </c>
      <c r="G434" s="3" t="s">
        <v>31</v>
      </c>
      <c r="H434" s="3" t="s">
        <v>30</v>
      </c>
      <c r="I434" s="3" t="s">
        <v>32</v>
      </c>
      <c r="J434" s="0" t="n">
        <v>1</v>
      </c>
      <c r="K434" s="0" t="n">
        <v>0</v>
      </c>
      <c r="L434" s="0" t="n">
        <v>0</v>
      </c>
      <c r="M434" s="0" t="n">
        <v>0</v>
      </c>
      <c r="N434" s="0" t="str">
        <f aca="false">IF(OR(NOT(OR(J434=0,J434=1)),NOT(OR(K434=0,K434=1)),NOT(OR(L434=0,L434=1)),NOT(OR(M434=0,M434=1)),NOT(OR(U434=0,U434=1))),"Yes","No")</f>
        <v>No</v>
      </c>
      <c r="O434" s="0" t="str">
        <f aca="false">IF(OR(AND(M434=1,L434=0),AND(L434=1,K434=0),AND(K434=1,J434=0)),"Yes","No")</f>
        <v>No</v>
      </c>
      <c r="P434" s="0" t="n">
        <v>0</v>
      </c>
      <c r="Q434" s="0" t="str">
        <f aca="false">IF(OR(AND(M434=0,P434&gt;0),AND(M434=1,P434&lt;=0)),"Yes","No")</f>
        <v>No</v>
      </c>
      <c r="R434" s="0" t="str">
        <f aca="false">IF(AND(M434=1,P434&gt;calc_helpers!$B$5),"Yes","No")</f>
        <v>No</v>
      </c>
      <c r="S434" s="0" t="n">
        <v>0</v>
      </c>
      <c r="T434" s="0" t="str">
        <f aca="false">IF(S434&gt;0,"Yes","No")</f>
        <v>No</v>
      </c>
      <c r="U434" s="0" t="n">
        <v>0</v>
      </c>
      <c r="W434" s="0" t="str">
        <f aca="false">IF(OR(AND(M434=1,ISBLANK(V434)),AND(M434=0,NOT(ISBLANK(V434)))),"Yes","No")</f>
        <v>No</v>
      </c>
      <c r="X434" s="0" t="n">
        <v>60.9</v>
      </c>
      <c r="Y434" s="3" t="s">
        <v>30</v>
      </c>
      <c r="Z434" s="0" t="str">
        <f aca="false">IF(M434=1,P434,"")</f>
        <v/>
      </c>
    </row>
    <row r="435" customFormat="false" ht="15" hidden="false" customHeight="false" outlineLevel="0" collapsed="false">
      <c r="A435" s="0" t="s">
        <v>478</v>
      </c>
      <c r="B435" s="2" t="n">
        <v>45667</v>
      </c>
      <c r="C435" s="3" t="s">
        <v>27</v>
      </c>
      <c r="D435" s="3" t="s">
        <v>43</v>
      </c>
      <c r="E435" s="3" t="s">
        <v>29</v>
      </c>
      <c r="F435" s="3" t="s">
        <v>30</v>
      </c>
      <c r="G435" s="3" t="s">
        <v>52</v>
      </c>
      <c r="H435" s="3" t="s">
        <v>30</v>
      </c>
      <c r="I435" s="3" t="s">
        <v>32</v>
      </c>
      <c r="J435" s="0" t="n">
        <v>0</v>
      </c>
      <c r="K435" s="0" t="n">
        <v>0</v>
      </c>
      <c r="L435" s="0" t="n">
        <v>0</v>
      </c>
      <c r="M435" s="0" t="n">
        <v>0</v>
      </c>
      <c r="N435" s="0" t="str">
        <f aca="false">IF(OR(NOT(OR(J435=0,J435=1)),NOT(OR(K435=0,K435=1)),NOT(OR(L435=0,L435=1)),NOT(OR(M435=0,M435=1)),NOT(OR(U435=0,U435=1))),"Yes","No")</f>
        <v>No</v>
      </c>
      <c r="O435" s="0" t="str">
        <f aca="false">IF(OR(AND(M435=1,L435=0),AND(L435=1,K435=0),AND(K435=1,J435=0)),"Yes","No")</f>
        <v>No</v>
      </c>
      <c r="P435" s="0" t="n">
        <v>0</v>
      </c>
      <c r="Q435" s="0" t="str">
        <f aca="false">IF(OR(AND(M435=0,P435&gt;0),AND(M435=1,P435&lt;=0)),"Yes","No")</f>
        <v>No</v>
      </c>
      <c r="R435" s="0" t="str">
        <f aca="false">IF(AND(M435=1,P435&gt;calc_helpers!$B$5),"Yes","No")</f>
        <v>No</v>
      </c>
      <c r="S435" s="0" t="n">
        <v>0</v>
      </c>
      <c r="T435" s="0" t="str">
        <f aca="false">IF(S435&gt;0,"Yes","No")</f>
        <v>No</v>
      </c>
      <c r="U435" s="0" t="n">
        <v>0</v>
      </c>
      <c r="W435" s="0" t="str">
        <f aca="false">IF(OR(AND(M435=1,ISBLANK(V435)),AND(M435=0,NOT(ISBLANK(V435)))),"Yes","No")</f>
        <v>No</v>
      </c>
      <c r="X435" s="0" t="n">
        <v>68.2</v>
      </c>
      <c r="Y435" s="3" t="s">
        <v>30</v>
      </c>
      <c r="Z435" s="0" t="str">
        <f aca="false">IF(M435=1,P435,"")</f>
        <v/>
      </c>
    </row>
    <row r="436" customFormat="false" ht="15" hidden="false" customHeight="false" outlineLevel="0" collapsed="false">
      <c r="A436" s="0" t="s">
        <v>479</v>
      </c>
      <c r="B436" s="2" t="n">
        <v>45779</v>
      </c>
      <c r="C436" s="3" t="s">
        <v>27</v>
      </c>
      <c r="D436" s="3" t="s">
        <v>28</v>
      </c>
      <c r="E436" s="3" t="s">
        <v>29</v>
      </c>
      <c r="F436" s="3" t="s">
        <v>30</v>
      </c>
      <c r="G436" s="3" t="s">
        <v>36</v>
      </c>
      <c r="H436" s="3" t="s">
        <v>30</v>
      </c>
      <c r="I436" s="3" t="s">
        <v>32</v>
      </c>
      <c r="J436" s="0" t="n">
        <v>1</v>
      </c>
      <c r="K436" s="0" t="n">
        <v>0</v>
      </c>
      <c r="L436" s="0" t="n">
        <v>0</v>
      </c>
      <c r="M436" s="0" t="n">
        <v>0</v>
      </c>
      <c r="N436" s="0" t="str">
        <f aca="false">IF(OR(NOT(OR(J436=0,J436=1)),NOT(OR(K436=0,K436=1)),NOT(OR(L436=0,L436=1)),NOT(OR(M436=0,M436=1)),NOT(OR(U436=0,U436=1))),"Yes","No")</f>
        <v>No</v>
      </c>
      <c r="O436" s="0" t="str">
        <f aca="false">IF(OR(AND(M436=1,L436=0),AND(L436=1,K436=0),AND(K436=1,J436=0)),"Yes","No")</f>
        <v>No</v>
      </c>
      <c r="P436" s="0" t="n">
        <v>0</v>
      </c>
      <c r="Q436" s="0" t="str">
        <f aca="false">IF(OR(AND(M436=0,P436&gt;0),AND(M436=1,P436&lt;=0)),"Yes","No")</f>
        <v>No</v>
      </c>
      <c r="R436" s="0" t="str">
        <f aca="false">IF(AND(M436=1,P436&gt;calc_helpers!$B$5),"Yes","No")</f>
        <v>No</v>
      </c>
      <c r="S436" s="0" t="n">
        <v>0</v>
      </c>
      <c r="T436" s="0" t="str">
        <f aca="false">IF(S436&gt;0,"Yes","No")</f>
        <v>No</v>
      </c>
      <c r="U436" s="0" t="n">
        <v>0</v>
      </c>
      <c r="W436" s="0" t="str">
        <f aca="false">IF(OR(AND(M436=1,ISBLANK(V436)),AND(M436=0,NOT(ISBLANK(V436)))),"Yes","No")</f>
        <v>No</v>
      </c>
      <c r="X436" s="0" t="n">
        <v>65.6</v>
      </c>
      <c r="Y436" s="3" t="s">
        <v>30</v>
      </c>
      <c r="Z436" s="0" t="str">
        <f aca="false">IF(M436=1,P436,"")</f>
        <v/>
      </c>
    </row>
    <row r="437" customFormat="false" ht="15" hidden="false" customHeight="false" outlineLevel="0" collapsed="false">
      <c r="A437" s="0" t="s">
        <v>480</v>
      </c>
      <c r="B437" s="2" t="n">
        <v>45803</v>
      </c>
      <c r="C437" s="3" t="s">
        <v>27</v>
      </c>
      <c r="D437" s="3" t="s">
        <v>28</v>
      </c>
      <c r="E437" s="3" t="s">
        <v>29</v>
      </c>
      <c r="F437" s="3" t="s">
        <v>30</v>
      </c>
      <c r="G437" s="3" t="s">
        <v>36</v>
      </c>
      <c r="H437" s="3" t="s">
        <v>30</v>
      </c>
      <c r="I437" s="3" t="s">
        <v>32</v>
      </c>
      <c r="J437" s="0" t="n">
        <v>1</v>
      </c>
      <c r="K437" s="0" t="n">
        <v>0</v>
      </c>
      <c r="L437" s="0" t="n">
        <v>0</v>
      </c>
      <c r="M437" s="0" t="n">
        <v>0</v>
      </c>
      <c r="N437" s="0" t="str">
        <f aca="false">IF(OR(NOT(OR(J437=0,J437=1)),NOT(OR(K437=0,K437=1)),NOT(OR(L437=0,L437=1)),NOT(OR(M437=0,M437=1)),NOT(OR(U437=0,U437=1))),"Yes","No")</f>
        <v>No</v>
      </c>
      <c r="O437" s="0" t="str">
        <f aca="false">IF(OR(AND(M437=1,L437=0),AND(L437=1,K437=0),AND(K437=1,J437=0)),"Yes","No")</f>
        <v>No</v>
      </c>
      <c r="P437" s="0" t="n">
        <v>0</v>
      </c>
      <c r="Q437" s="0" t="str">
        <f aca="false">IF(OR(AND(M437=0,P437&gt;0),AND(M437=1,P437&lt;=0)),"Yes","No")</f>
        <v>No</v>
      </c>
      <c r="R437" s="0" t="str">
        <f aca="false">IF(AND(M437=1,P437&gt;calc_helpers!$B$5),"Yes","No")</f>
        <v>No</v>
      </c>
      <c r="S437" s="0" t="n">
        <v>0</v>
      </c>
      <c r="T437" s="0" t="str">
        <f aca="false">IF(S437&gt;0,"Yes","No")</f>
        <v>No</v>
      </c>
      <c r="U437" s="0" t="n">
        <v>0</v>
      </c>
      <c r="W437" s="0" t="str">
        <f aca="false">IF(OR(AND(M437=1,ISBLANK(V437)),AND(M437=0,NOT(ISBLANK(V437)))),"Yes","No")</f>
        <v>No</v>
      </c>
      <c r="X437" s="0" t="n">
        <v>65.4</v>
      </c>
      <c r="Y437" s="3" t="s">
        <v>30</v>
      </c>
      <c r="Z437" s="0" t="str">
        <f aca="false">IF(M437=1,P437,"")</f>
        <v/>
      </c>
    </row>
    <row r="438" customFormat="false" ht="15" hidden="false" customHeight="false" outlineLevel="0" collapsed="false">
      <c r="A438" s="0" t="s">
        <v>481</v>
      </c>
      <c r="B438" s="2" t="n">
        <v>45669</v>
      </c>
      <c r="C438" s="3" t="s">
        <v>27</v>
      </c>
      <c r="D438" s="3" t="s">
        <v>34</v>
      </c>
      <c r="E438" s="3" t="s">
        <v>35</v>
      </c>
      <c r="F438" s="3" t="s">
        <v>30</v>
      </c>
      <c r="G438" s="3" t="s">
        <v>36</v>
      </c>
      <c r="H438" s="3" t="s">
        <v>30</v>
      </c>
      <c r="I438" s="3" t="s">
        <v>32</v>
      </c>
      <c r="J438" s="0" t="n">
        <v>1</v>
      </c>
      <c r="K438" s="0" t="n">
        <v>0</v>
      </c>
      <c r="L438" s="0" t="n">
        <v>0</v>
      </c>
      <c r="M438" s="0" t="n">
        <v>0</v>
      </c>
      <c r="N438" s="0" t="str">
        <f aca="false">IF(OR(NOT(OR(J438=0,J438=1)),NOT(OR(K438=0,K438=1)),NOT(OR(L438=0,L438=1)),NOT(OR(M438=0,M438=1)),NOT(OR(U438=0,U438=1))),"Yes","No")</f>
        <v>No</v>
      </c>
      <c r="O438" s="0" t="str">
        <f aca="false">IF(OR(AND(M438=1,L438=0),AND(L438=1,K438=0),AND(K438=1,J438=0)),"Yes","No")</f>
        <v>No</v>
      </c>
      <c r="P438" s="0" t="n">
        <v>0</v>
      </c>
      <c r="Q438" s="0" t="str">
        <f aca="false">IF(OR(AND(M438=0,P438&gt;0),AND(M438=1,P438&lt;=0)),"Yes","No")</f>
        <v>No</v>
      </c>
      <c r="R438" s="0" t="str">
        <f aca="false">IF(AND(M438=1,P438&gt;calc_helpers!$B$5),"Yes","No")</f>
        <v>No</v>
      </c>
      <c r="S438" s="0" t="n">
        <v>0</v>
      </c>
      <c r="T438" s="0" t="str">
        <f aca="false">IF(S438&gt;0,"Yes","No")</f>
        <v>No</v>
      </c>
      <c r="U438" s="0" t="n">
        <v>0</v>
      </c>
      <c r="W438" s="0" t="str">
        <f aca="false">IF(OR(AND(M438=1,ISBLANK(V438)),AND(M438=0,NOT(ISBLANK(V438)))),"Yes","No")</f>
        <v>No</v>
      </c>
      <c r="X438" s="0" t="n">
        <v>78.9</v>
      </c>
      <c r="Y438" s="3" t="s">
        <v>30</v>
      </c>
      <c r="Z438" s="0" t="str">
        <f aca="false">IF(M438=1,P438,"")</f>
        <v/>
      </c>
    </row>
    <row r="439" customFormat="false" ht="15" hidden="false" customHeight="false" outlineLevel="0" collapsed="false">
      <c r="A439" s="0" t="s">
        <v>482</v>
      </c>
      <c r="B439" s="2" t="n">
        <v>45804</v>
      </c>
      <c r="C439" s="3" t="s">
        <v>27</v>
      </c>
      <c r="D439" s="3" t="s">
        <v>39</v>
      </c>
      <c r="E439" s="3" t="s">
        <v>35</v>
      </c>
      <c r="F439" s="3" t="s">
        <v>30</v>
      </c>
      <c r="G439" s="3" t="s">
        <v>40</v>
      </c>
      <c r="H439" s="3" t="s">
        <v>30</v>
      </c>
      <c r="I439" s="3" t="s">
        <v>32</v>
      </c>
      <c r="J439" s="0" t="n">
        <v>1</v>
      </c>
      <c r="K439" s="0" t="n">
        <v>1</v>
      </c>
      <c r="L439" s="0" t="n">
        <v>1</v>
      </c>
      <c r="M439" s="0" t="n">
        <v>0</v>
      </c>
      <c r="N439" s="0" t="str">
        <f aca="false">IF(OR(NOT(OR(J439=0,J439=1)),NOT(OR(K439=0,K439=1)),NOT(OR(L439=0,L439=1)),NOT(OR(M439=0,M439=1)),NOT(OR(U439=0,U439=1))),"Yes","No")</f>
        <v>No</v>
      </c>
      <c r="O439" s="0" t="str">
        <f aca="false">IF(OR(AND(M439=1,L439=0),AND(L439=1,K439=0),AND(K439=1,J439=0)),"Yes","No")</f>
        <v>No</v>
      </c>
      <c r="P439" s="0" t="n">
        <v>0</v>
      </c>
      <c r="Q439" s="0" t="str">
        <f aca="false">IF(OR(AND(M439=0,P439&gt;0),AND(M439=1,P439&lt;=0)),"Yes","No")</f>
        <v>No</v>
      </c>
      <c r="R439" s="0" t="str">
        <f aca="false">IF(AND(M439=1,P439&gt;calc_helpers!$B$5),"Yes","No")</f>
        <v>No</v>
      </c>
      <c r="S439" s="0" t="n">
        <v>0</v>
      </c>
      <c r="T439" s="0" t="str">
        <f aca="false">IF(S439&gt;0,"Yes","No")</f>
        <v>No</v>
      </c>
      <c r="U439" s="0" t="n">
        <v>0</v>
      </c>
      <c r="W439" s="0" t="str">
        <f aca="false">IF(OR(AND(M439=1,ISBLANK(V439)),AND(M439=0,NOT(ISBLANK(V439)))),"Yes","No")</f>
        <v>No</v>
      </c>
      <c r="X439" s="0" t="n">
        <v>78.3</v>
      </c>
      <c r="Y439" s="3" t="s">
        <v>30</v>
      </c>
      <c r="Z439" s="0" t="str">
        <f aca="false">IF(M439=1,P439,"")</f>
        <v/>
      </c>
    </row>
    <row r="440" customFormat="false" ht="15" hidden="false" customHeight="false" outlineLevel="0" collapsed="false">
      <c r="A440" s="0" t="s">
        <v>483</v>
      </c>
      <c r="B440" s="2" t="n">
        <v>45799</v>
      </c>
      <c r="C440" s="3" t="s">
        <v>27</v>
      </c>
      <c r="D440" s="3" t="s">
        <v>34</v>
      </c>
      <c r="E440" s="3" t="s">
        <v>29</v>
      </c>
      <c r="F440" s="3" t="s">
        <v>30</v>
      </c>
      <c r="G440" s="3" t="s">
        <v>31</v>
      </c>
      <c r="H440" s="3" t="s">
        <v>30</v>
      </c>
      <c r="I440" s="3" t="s">
        <v>32</v>
      </c>
      <c r="J440" s="0" t="n">
        <v>0</v>
      </c>
      <c r="K440" s="0" t="n">
        <v>0</v>
      </c>
      <c r="L440" s="0" t="n">
        <v>0</v>
      </c>
      <c r="M440" s="0" t="n">
        <v>0</v>
      </c>
      <c r="N440" s="0" t="str">
        <f aca="false">IF(OR(NOT(OR(J440=0,J440=1)),NOT(OR(K440=0,K440=1)),NOT(OR(L440=0,L440=1)),NOT(OR(M440=0,M440=1)),NOT(OR(U440=0,U440=1))),"Yes","No")</f>
        <v>No</v>
      </c>
      <c r="O440" s="0" t="str">
        <f aca="false">IF(OR(AND(M440=1,L440=0),AND(L440=1,K440=0),AND(K440=1,J440=0)),"Yes","No")</f>
        <v>No</v>
      </c>
      <c r="P440" s="0" t="n">
        <v>0</v>
      </c>
      <c r="Q440" s="0" t="str">
        <f aca="false">IF(OR(AND(M440=0,P440&gt;0),AND(M440=1,P440&lt;=0)),"Yes","No")</f>
        <v>No</v>
      </c>
      <c r="R440" s="0" t="str">
        <f aca="false">IF(AND(M440=1,P440&gt;calc_helpers!$B$5),"Yes","No")</f>
        <v>No</v>
      </c>
      <c r="S440" s="0" t="n">
        <v>0</v>
      </c>
      <c r="T440" s="0" t="str">
        <f aca="false">IF(S440&gt;0,"Yes","No")</f>
        <v>No</v>
      </c>
      <c r="U440" s="0" t="n">
        <v>0</v>
      </c>
      <c r="W440" s="0" t="str">
        <f aca="false">IF(OR(AND(M440=1,ISBLANK(V440)),AND(M440=0,NOT(ISBLANK(V440)))),"Yes","No")</f>
        <v>No</v>
      </c>
      <c r="X440" s="0" t="n">
        <v>49.2</v>
      </c>
      <c r="Y440" s="3" t="s">
        <v>30</v>
      </c>
      <c r="Z440" s="0" t="str">
        <f aca="false">IF(M440=1,P440,"")</f>
        <v/>
      </c>
    </row>
    <row r="441" customFormat="false" ht="15" hidden="false" customHeight="false" outlineLevel="0" collapsed="false">
      <c r="A441" s="0" t="s">
        <v>484</v>
      </c>
      <c r="B441" s="2" t="n">
        <v>45748</v>
      </c>
      <c r="C441" s="3" t="s">
        <v>27</v>
      </c>
      <c r="D441" s="3" t="s">
        <v>39</v>
      </c>
      <c r="E441" s="3" t="s">
        <v>35</v>
      </c>
      <c r="F441" s="3" t="s">
        <v>30</v>
      </c>
      <c r="G441" s="3" t="s">
        <v>52</v>
      </c>
      <c r="H441" s="3" t="s">
        <v>30</v>
      </c>
      <c r="I441" s="3" t="s">
        <v>41</v>
      </c>
      <c r="J441" s="0" t="n">
        <v>1</v>
      </c>
      <c r="K441" s="0" t="n">
        <v>1</v>
      </c>
      <c r="L441" s="0" t="n">
        <v>1</v>
      </c>
      <c r="M441" s="0" t="n">
        <v>1</v>
      </c>
      <c r="N441" s="0" t="str">
        <f aca="false">IF(OR(NOT(OR(J441=0,J441=1)),NOT(OR(K441=0,K441=1)),NOT(OR(L441=0,L441=1)),NOT(OR(M441=0,M441=1)),NOT(OR(U441=0,U441=1))),"Yes","No")</f>
        <v>No</v>
      </c>
      <c r="O441" s="0" t="str">
        <f aca="false">IF(OR(AND(M441=1,L441=0),AND(L441=1,K441=0),AND(K441=1,J441=0)),"Yes","No")</f>
        <v>No</v>
      </c>
      <c r="P441" s="0" t="n">
        <v>1518.83</v>
      </c>
      <c r="Q441" s="0" t="str">
        <f aca="false">IF(OR(AND(M441=0,P441&gt;0),AND(M441=1,P441&lt;=0)),"Yes","No")</f>
        <v>No</v>
      </c>
      <c r="R441" s="0" t="str">
        <f aca="false">IF(AND(M441=1,P441&gt;calc_helpers!$B$5),"Yes","No")</f>
        <v>No</v>
      </c>
      <c r="S441" s="0" t="n">
        <v>0</v>
      </c>
      <c r="T441" s="0" t="str">
        <f aca="false">IF(S441&gt;0,"Yes","No")</f>
        <v>No</v>
      </c>
      <c r="U441" s="0" t="n">
        <v>0</v>
      </c>
      <c r="V441" s="0" t="n">
        <v>9</v>
      </c>
      <c r="W441" s="0" t="str">
        <f aca="false">IF(OR(AND(M441=1,ISBLANK(V441)),AND(M441=0,NOT(ISBLANK(V441)))),"Yes","No")</f>
        <v>No</v>
      </c>
      <c r="X441" s="0" t="n">
        <v>32.2</v>
      </c>
      <c r="Y441" s="3" t="s">
        <v>30</v>
      </c>
      <c r="Z441" s="3" t="n">
        <f aca="false">IF(M441=1,P441,"")</f>
        <v>1518.83</v>
      </c>
    </row>
    <row r="442" customFormat="false" ht="15" hidden="false" customHeight="false" outlineLevel="0" collapsed="false">
      <c r="A442" s="0" t="s">
        <v>485</v>
      </c>
      <c r="B442" s="2" t="n">
        <v>45679</v>
      </c>
      <c r="C442" s="3" t="s">
        <v>27</v>
      </c>
      <c r="D442" s="3" t="s">
        <v>28</v>
      </c>
      <c r="E442" s="3" t="s">
        <v>35</v>
      </c>
      <c r="F442" s="3" t="s">
        <v>30</v>
      </c>
      <c r="G442" s="3" t="s">
        <v>40</v>
      </c>
      <c r="H442" s="3" t="s">
        <v>30</v>
      </c>
      <c r="I442" s="3" t="s">
        <v>32</v>
      </c>
      <c r="J442" s="0" t="n">
        <v>1</v>
      </c>
      <c r="K442" s="0" t="n">
        <v>1</v>
      </c>
      <c r="L442" s="0" t="n">
        <v>1</v>
      </c>
      <c r="M442" s="0" t="n">
        <v>0</v>
      </c>
      <c r="N442" s="0" t="str">
        <f aca="false">IF(OR(NOT(OR(J442=0,J442=1)),NOT(OR(K442=0,K442=1)),NOT(OR(L442=0,L442=1)),NOT(OR(M442=0,M442=1)),NOT(OR(U442=0,U442=1))),"Yes","No")</f>
        <v>No</v>
      </c>
      <c r="O442" s="0" t="str">
        <f aca="false">IF(OR(AND(M442=1,L442=0),AND(L442=1,K442=0),AND(K442=1,J442=0)),"Yes","No")</f>
        <v>No</v>
      </c>
      <c r="P442" s="0" t="n">
        <v>0</v>
      </c>
      <c r="Q442" s="0" t="str">
        <f aca="false">IF(OR(AND(M442=0,P442&gt;0),AND(M442=1,P442&lt;=0)),"Yes","No")</f>
        <v>No</v>
      </c>
      <c r="R442" s="0" t="str">
        <f aca="false">IF(AND(M442=1,P442&gt;calc_helpers!$B$5),"Yes","No")</f>
        <v>No</v>
      </c>
      <c r="S442" s="0" t="n">
        <v>0</v>
      </c>
      <c r="T442" s="0" t="str">
        <f aca="false">IF(S442&gt;0,"Yes","No")</f>
        <v>No</v>
      </c>
      <c r="U442" s="0" t="n">
        <v>0</v>
      </c>
      <c r="W442" s="0" t="str">
        <f aca="false">IF(OR(AND(M442=1,ISBLANK(V442)),AND(M442=0,NOT(ISBLANK(V442)))),"Yes","No")</f>
        <v>No</v>
      </c>
      <c r="X442" s="0" t="n">
        <v>46.3</v>
      </c>
      <c r="Y442" s="3" t="s">
        <v>30</v>
      </c>
      <c r="Z442" s="0" t="str">
        <f aca="false">IF(M442=1,P442,"")</f>
        <v/>
      </c>
    </row>
    <row r="443" customFormat="false" ht="15" hidden="false" customHeight="false" outlineLevel="0" collapsed="false">
      <c r="A443" s="0" t="s">
        <v>486</v>
      </c>
      <c r="B443" s="2" t="n">
        <v>45801</v>
      </c>
      <c r="C443" s="3" t="s">
        <v>27</v>
      </c>
      <c r="D443" s="3" t="s">
        <v>39</v>
      </c>
      <c r="E443" s="3" t="s">
        <v>35</v>
      </c>
      <c r="F443" s="3" t="s">
        <v>30</v>
      </c>
      <c r="G443" s="3" t="s">
        <v>40</v>
      </c>
      <c r="H443" s="3" t="s">
        <v>30</v>
      </c>
      <c r="I443" s="3" t="s">
        <v>32</v>
      </c>
      <c r="J443" s="0" t="n">
        <v>1</v>
      </c>
      <c r="K443" s="0" t="n">
        <v>0</v>
      </c>
      <c r="L443" s="0" t="n">
        <v>0</v>
      </c>
      <c r="M443" s="0" t="n">
        <v>0</v>
      </c>
      <c r="N443" s="0" t="str">
        <f aca="false">IF(OR(NOT(OR(J443=0,J443=1)),NOT(OR(K443=0,K443=1)),NOT(OR(L443=0,L443=1)),NOT(OR(M443=0,M443=1)),NOT(OR(U443=0,U443=1))),"Yes","No")</f>
        <v>No</v>
      </c>
      <c r="O443" s="0" t="str">
        <f aca="false">IF(OR(AND(M443=1,L443=0),AND(L443=1,K443=0),AND(K443=1,J443=0)),"Yes","No")</f>
        <v>No</v>
      </c>
      <c r="P443" s="0" t="n">
        <v>0</v>
      </c>
      <c r="Q443" s="0" t="str">
        <f aca="false">IF(OR(AND(M443=0,P443&gt;0),AND(M443=1,P443&lt;=0)),"Yes","No")</f>
        <v>No</v>
      </c>
      <c r="R443" s="0" t="str">
        <f aca="false">IF(AND(M443=1,P443&gt;calc_helpers!$B$5),"Yes","No")</f>
        <v>No</v>
      </c>
      <c r="S443" s="0" t="n">
        <v>0</v>
      </c>
      <c r="T443" s="0" t="str">
        <f aca="false">IF(S443&gt;0,"Yes","No")</f>
        <v>No</v>
      </c>
      <c r="U443" s="0" t="n">
        <v>0</v>
      </c>
      <c r="W443" s="0" t="str">
        <f aca="false">IF(OR(AND(M443=1,ISBLANK(V443)),AND(M443=0,NOT(ISBLANK(V443)))),"Yes","No")</f>
        <v>No</v>
      </c>
      <c r="X443" s="0" t="n">
        <v>55.7</v>
      </c>
      <c r="Y443" s="3" t="s">
        <v>30</v>
      </c>
      <c r="Z443" s="0" t="str">
        <f aca="false">IF(M443=1,P443,"")</f>
        <v/>
      </c>
    </row>
    <row r="444" customFormat="false" ht="15" hidden="false" customHeight="false" outlineLevel="0" collapsed="false">
      <c r="A444" s="0" t="s">
        <v>487</v>
      </c>
      <c r="B444" s="2" t="n">
        <v>45772</v>
      </c>
      <c r="C444" s="3" t="s">
        <v>27</v>
      </c>
      <c r="D444" s="3" t="s">
        <v>43</v>
      </c>
      <c r="E444" s="3" t="s">
        <v>35</v>
      </c>
      <c r="F444" s="3" t="s">
        <v>30</v>
      </c>
      <c r="G444" s="3" t="s">
        <v>52</v>
      </c>
      <c r="H444" s="3" t="s">
        <v>30</v>
      </c>
      <c r="I444" s="3" t="s">
        <v>37</v>
      </c>
      <c r="J444" s="0" t="n">
        <v>1</v>
      </c>
      <c r="K444" s="0" t="n">
        <v>0</v>
      </c>
      <c r="L444" s="0" t="n">
        <v>0</v>
      </c>
      <c r="M444" s="0" t="n">
        <v>0</v>
      </c>
      <c r="N444" s="0" t="str">
        <f aca="false">IF(OR(NOT(OR(J444=0,J444=1)),NOT(OR(K444=0,K444=1)),NOT(OR(L444=0,L444=1)),NOT(OR(M444=0,M444=1)),NOT(OR(U444=0,U444=1))),"Yes","No")</f>
        <v>No</v>
      </c>
      <c r="O444" s="0" t="str">
        <f aca="false">IF(OR(AND(M444=1,L444=0),AND(L444=1,K444=0),AND(K444=1,J444=0)),"Yes","No")</f>
        <v>No</v>
      </c>
      <c r="P444" s="0" t="n">
        <v>0</v>
      </c>
      <c r="Q444" s="0" t="str">
        <f aca="false">IF(OR(AND(M444=0,P444&gt;0),AND(M444=1,P444&lt;=0)),"Yes","No")</f>
        <v>No</v>
      </c>
      <c r="R444" s="0" t="str">
        <f aca="false">IF(AND(M444=1,P444&gt;calc_helpers!$B$5),"Yes","No")</f>
        <v>No</v>
      </c>
      <c r="S444" s="0" t="n">
        <v>0</v>
      </c>
      <c r="T444" s="0" t="str">
        <f aca="false">IF(S444&gt;0,"Yes","No")</f>
        <v>No</v>
      </c>
      <c r="U444" s="0" t="n">
        <v>0</v>
      </c>
      <c r="W444" s="0" t="str">
        <f aca="false">IF(OR(AND(M444=1,ISBLANK(V444)),AND(M444=0,NOT(ISBLANK(V444)))),"Yes","No")</f>
        <v>No</v>
      </c>
      <c r="X444" s="0" t="n">
        <v>44.5</v>
      </c>
      <c r="Y444" s="3" t="s">
        <v>30</v>
      </c>
      <c r="Z444" s="0" t="str">
        <f aca="false">IF(M444=1,P444,"")</f>
        <v/>
      </c>
    </row>
    <row r="445" customFormat="false" ht="15" hidden="false" customHeight="false" outlineLevel="0" collapsed="false">
      <c r="A445" s="0" t="s">
        <v>488</v>
      </c>
      <c r="B445" s="2" t="n">
        <v>45759</v>
      </c>
      <c r="C445" s="3" t="s">
        <v>27</v>
      </c>
      <c r="D445" s="3" t="s">
        <v>34</v>
      </c>
      <c r="E445" s="3" t="s">
        <v>29</v>
      </c>
      <c r="F445" s="3" t="s">
        <v>30</v>
      </c>
      <c r="G445" s="3" t="s">
        <v>50</v>
      </c>
      <c r="H445" s="3" t="s">
        <v>30</v>
      </c>
      <c r="I445" s="3" t="s">
        <v>37</v>
      </c>
      <c r="J445" s="0" t="n">
        <v>1</v>
      </c>
      <c r="K445" s="0" t="n">
        <v>1</v>
      </c>
      <c r="L445" s="0" t="n">
        <v>1</v>
      </c>
      <c r="M445" s="0" t="n">
        <v>0</v>
      </c>
      <c r="N445" s="0" t="str">
        <f aca="false">IF(OR(NOT(OR(J445=0,J445=1)),NOT(OR(K445=0,K445=1)),NOT(OR(L445=0,L445=1)),NOT(OR(M445=0,M445=1)),NOT(OR(U445=0,U445=1))),"Yes","No")</f>
        <v>No</v>
      </c>
      <c r="O445" s="0" t="str">
        <f aca="false">IF(OR(AND(M445=1,L445=0),AND(L445=1,K445=0),AND(K445=1,J445=0)),"Yes","No")</f>
        <v>No</v>
      </c>
      <c r="P445" s="0" t="n">
        <v>0</v>
      </c>
      <c r="Q445" s="0" t="str">
        <f aca="false">IF(OR(AND(M445=0,P445&gt;0),AND(M445=1,P445&lt;=0)),"Yes","No")</f>
        <v>No</v>
      </c>
      <c r="R445" s="0" t="str">
        <f aca="false">IF(AND(M445=1,P445&gt;calc_helpers!$B$5),"Yes","No")</f>
        <v>No</v>
      </c>
      <c r="S445" s="0" t="n">
        <v>1</v>
      </c>
      <c r="T445" s="0" t="str">
        <f aca="false">IF(S445&gt;0,"Yes","No")</f>
        <v>Yes</v>
      </c>
      <c r="U445" s="0" t="n">
        <v>0</v>
      </c>
      <c r="W445" s="0" t="str">
        <f aca="false">IF(OR(AND(M445=1,ISBLANK(V445)),AND(M445=0,NOT(ISBLANK(V445)))),"Yes","No")</f>
        <v>No</v>
      </c>
      <c r="X445" s="0" t="n">
        <v>47.9</v>
      </c>
      <c r="Y445" s="3" t="s">
        <v>30</v>
      </c>
      <c r="Z445" s="0" t="str">
        <f aca="false">IF(M445=1,P445,"")</f>
        <v/>
      </c>
    </row>
    <row r="446" customFormat="false" ht="15" hidden="false" customHeight="false" outlineLevel="0" collapsed="false">
      <c r="A446" s="0" t="s">
        <v>489</v>
      </c>
      <c r="B446" s="2" t="n">
        <v>45770</v>
      </c>
      <c r="C446" s="3" t="s">
        <v>27</v>
      </c>
      <c r="D446" s="3" t="s">
        <v>43</v>
      </c>
      <c r="E446" s="3" t="s">
        <v>35</v>
      </c>
      <c r="F446" s="3" t="s">
        <v>30</v>
      </c>
      <c r="G446" s="3" t="s">
        <v>36</v>
      </c>
      <c r="H446" s="3" t="s">
        <v>30</v>
      </c>
      <c r="I446" s="3" t="s">
        <v>41</v>
      </c>
      <c r="J446" s="0" t="n">
        <v>1</v>
      </c>
      <c r="K446" s="0" t="n">
        <v>0</v>
      </c>
      <c r="L446" s="0" t="n">
        <v>0</v>
      </c>
      <c r="M446" s="0" t="n">
        <v>0</v>
      </c>
      <c r="N446" s="0" t="str">
        <f aca="false">IF(OR(NOT(OR(J446=0,J446=1)),NOT(OR(K446=0,K446=1)),NOT(OR(L446=0,L446=1)),NOT(OR(M446=0,M446=1)),NOT(OR(U446=0,U446=1))),"Yes","No")</f>
        <v>No</v>
      </c>
      <c r="O446" s="0" t="str">
        <f aca="false">IF(OR(AND(M446=1,L446=0),AND(L446=1,K446=0),AND(K446=1,J446=0)),"Yes","No")</f>
        <v>No</v>
      </c>
      <c r="P446" s="0" t="n">
        <v>0</v>
      </c>
      <c r="Q446" s="0" t="str">
        <f aca="false">IF(OR(AND(M446=0,P446&gt;0),AND(M446=1,P446&lt;=0)),"Yes","No")</f>
        <v>No</v>
      </c>
      <c r="R446" s="0" t="str">
        <f aca="false">IF(AND(M446=1,P446&gt;calc_helpers!$B$5),"Yes","No")</f>
        <v>No</v>
      </c>
      <c r="S446" s="0" t="n">
        <v>0</v>
      </c>
      <c r="T446" s="0" t="str">
        <f aca="false">IF(S446&gt;0,"Yes","No")</f>
        <v>No</v>
      </c>
      <c r="U446" s="0" t="n">
        <v>0</v>
      </c>
      <c r="W446" s="0" t="str">
        <f aca="false">IF(OR(AND(M446=1,ISBLANK(V446)),AND(M446=0,NOT(ISBLANK(V446)))),"Yes","No")</f>
        <v>No</v>
      </c>
      <c r="X446" s="0" t="n">
        <v>43.9</v>
      </c>
      <c r="Y446" s="3" t="s">
        <v>30</v>
      </c>
      <c r="Z446" s="0" t="str">
        <f aca="false">IF(M446=1,P446,"")</f>
        <v/>
      </c>
    </row>
    <row r="447" customFormat="false" ht="15" hidden="false" customHeight="false" outlineLevel="0" collapsed="false">
      <c r="A447" s="0" t="s">
        <v>490</v>
      </c>
      <c r="B447" s="2" t="n">
        <v>45746</v>
      </c>
      <c r="C447" s="3" t="s">
        <v>27</v>
      </c>
      <c r="D447" s="3" t="s">
        <v>28</v>
      </c>
      <c r="E447" s="3" t="s">
        <v>29</v>
      </c>
      <c r="F447" s="3" t="s">
        <v>30</v>
      </c>
      <c r="G447" s="3" t="s">
        <v>50</v>
      </c>
      <c r="H447" s="3" t="s">
        <v>30</v>
      </c>
      <c r="I447" s="3" t="s">
        <v>37</v>
      </c>
      <c r="J447" s="0" t="n">
        <v>1</v>
      </c>
      <c r="K447" s="0" t="n">
        <v>1</v>
      </c>
      <c r="L447" s="0" t="n">
        <v>1</v>
      </c>
      <c r="M447" s="0" t="n">
        <v>0</v>
      </c>
      <c r="N447" s="0" t="str">
        <f aca="false">IF(OR(NOT(OR(J447=0,J447=1)),NOT(OR(K447=0,K447=1)),NOT(OR(L447=0,L447=1)),NOT(OR(M447=0,M447=1)),NOT(OR(U447=0,U447=1))),"Yes","No")</f>
        <v>No</v>
      </c>
      <c r="O447" s="0" t="str">
        <f aca="false">IF(OR(AND(M447=1,L447=0),AND(L447=1,K447=0),AND(K447=1,J447=0)),"Yes","No")</f>
        <v>No</v>
      </c>
      <c r="P447" s="0" t="n">
        <v>0</v>
      </c>
      <c r="Q447" s="0" t="str">
        <f aca="false">IF(OR(AND(M447=0,P447&gt;0),AND(M447=1,P447&lt;=0)),"Yes","No")</f>
        <v>No</v>
      </c>
      <c r="R447" s="0" t="str">
        <f aca="false">IF(AND(M447=1,P447&gt;calc_helpers!$B$5),"Yes","No")</f>
        <v>No</v>
      </c>
      <c r="S447" s="0" t="n">
        <v>1</v>
      </c>
      <c r="T447" s="0" t="str">
        <f aca="false">IF(S447&gt;0,"Yes","No")</f>
        <v>Yes</v>
      </c>
      <c r="U447" s="0" t="n">
        <v>0</v>
      </c>
      <c r="W447" s="0" t="str">
        <f aca="false">IF(OR(AND(M447=1,ISBLANK(V447)),AND(M447=0,NOT(ISBLANK(V447)))),"Yes","No")</f>
        <v>No</v>
      </c>
      <c r="X447" s="0" t="n">
        <v>67.7</v>
      </c>
      <c r="Y447" s="3" t="s">
        <v>30</v>
      </c>
      <c r="Z447" s="0" t="str">
        <f aca="false">IF(M447=1,P447,"")</f>
        <v/>
      </c>
    </row>
    <row r="448" customFormat="false" ht="15" hidden="false" customHeight="false" outlineLevel="0" collapsed="false">
      <c r="A448" s="0" t="s">
        <v>491</v>
      </c>
      <c r="B448" s="2" t="n">
        <v>45675</v>
      </c>
      <c r="C448" s="3" t="s">
        <v>27</v>
      </c>
      <c r="D448" s="3" t="s">
        <v>39</v>
      </c>
      <c r="E448" s="3" t="s">
        <v>35</v>
      </c>
      <c r="F448" s="3" t="s">
        <v>30</v>
      </c>
      <c r="G448" s="3" t="s">
        <v>50</v>
      </c>
      <c r="H448" s="3" t="s">
        <v>30</v>
      </c>
      <c r="I448" s="3" t="s">
        <v>32</v>
      </c>
      <c r="J448" s="0" t="n">
        <v>0</v>
      </c>
      <c r="K448" s="0" t="n">
        <v>0</v>
      </c>
      <c r="L448" s="0" t="n">
        <v>0</v>
      </c>
      <c r="M448" s="0" t="n">
        <v>0</v>
      </c>
      <c r="N448" s="0" t="str">
        <f aca="false">IF(OR(NOT(OR(J448=0,J448=1)),NOT(OR(K448=0,K448=1)),NOT(OR(L448=0,L448=1)),NOT(OR(M448=0,M448=1)),NOT(OR(U448=0,U448=1))),"Yes","No")</f>
        <v>No</v>
      </c>
      <c r="O448" s="0" t="str">
        <f aca="false">IF(OR(AND(M448=1,L448=0),AND(L448=1,K448=0),AND(K448=1,J448=0)),"Yes","No")</f>
        <v>No</v>
      </c>
      <c r="P448" s="0" t="n">
        <v>0</v>
      </c>
      <c r="Q448" s="0" t="str">
        <f aca="false">IF(OR(AND(M448=0,P448&gt;0),AND(M448=1,P448&lt;=0)),"Yes","No")</f>
        <v>No</v>
      </c>
      <c r="R448" s="0" t="str">
        <f aca="false">IF(AND(M448=1,P448&gt;calc_helpers!$B$5),"Yes","No")</f>
        <v>No</v>
      </c>
      <c r="S448" s="0" t="n">
        <v>0</v>
      </c>
      <c r="T448" s="0" t="str">
        <f aca="false">IF(S448&gt;0,"Yes","No")</f>
        <v>No</v>
      </c>
      <c r="U448" s="0" t="n">
        <v>0</v>
      </c>
      <c r="W448" s="0" t="str">
        <f aca="false">IF(OR(AND(M448=1,ISBLANK(V448)),AND(M448=0,NOT(ISBLANK(V448)))),"Yes","No")</f>
        <v>No</v>
      </c>
      <c r="X448" s="0" t="n">
        <v>43.7</v>
      </c>
      <c r="Y448" s="3" t="s">
        <v>30</v>
      </c>
      <c r="Z448" s="0" t="str">
        <f aca="false">IF(M448=1,P448,"")</f>
        <v/>
      </c>
    </row>
    <row r="449" customFormat="false" ht="15" hidden="false" customHeight="false" outlineLevel="0" collapsed="false">
      <c r="A449" s="0" t="s">
        <v>492</v>
      </c>
      <c r="B449" s="2" t="n">
        <v>45756</v>
      </c>
      <c r="C449" s="3" t="s">
        <v>27</v>
      </c>
      <c r="D449" s="3" t="s">
        <v>39</v>
      </c>
      <c r="E449" s="3" t="s">
        <v>35</v>
      </c>
      <c r="F449" s="3" t="s">
        <v>30</v>
      </c>
      <c r="G449" s="3" t="s">
        <v>36</v>
      </c>
      <c r="H449" s="3" t="s">
        <v>30</v>
      </c>
      <c r="I449" s="3" t="s">
        <v>37</v>
      </c>
      <c r="J449" s="0" t="n">
        <v>1</v>
      </c>
      <c r="K449" s="0" t="n">
        <v>0</v>
      </c>
      <c r="L449" s="0" t="n">
        <v>0</v>
      </c>
      <c r="M449" s="0" t="n">
        <v>0</v>
      </c>
      <c r="N449" s="0" t="str">
        <f aca="false">IF(OR(NOT(OR(J449=0,J449=1)),NOT(OR(K449=0,K449=1)),NOT(OR(L449=0,L449=1)),NOT(OR(M449=0,M449=1)),NOT(OR(U449=0,U449=1))),"Yes","No")</f>
        <v>No</v>
      </c>
      <c r="O449" s="0" t="str">
        <f aca="false">IF(OR(AND(M449=1,L449=0),AND(L449=1,K449=0),AND(K449=1,J449=0)),"Yes","No")</f>
        <v>No</v>
      </c>
      <c r="P449" s="0" t="n">
        <v>0</v>
      </c>
      <c r="Q449" s="0" t="str">
        <f aca="false">IF(OR(AND(M449=0,P449&gt;0),AND(M449=1,P449&lt;=0)),"Yes","No")</f>
        <v>No</v>
      </c>
      <c r="R449" s="0" t="str">
        <f aca="false">IF(AND(M449=1,P449&gt;calc_helpers!$B$5),"Yes","No")</f>
        <v>No</v>
      </c>
      <c r="S449" s="0" t="n">
        <v>0</v>
      </c>
      <c r="T449" s="0" t="str">
        <f aca="false">IF(S449&gt;0,"Yes","No")</f>
        <v>No</v>
      </c>
      <c r="U449" s="0" t="n">
        <v>0</v>
      </c>
      <c r="W449" s="0" t="str">
        <f aca="false">IF(OR(AND(M449=1,ISBLANK(V449)),AND(M449=0,NOT(ISBLANK(V449)))),"Yes","No")</f>
        <v>No</v>
      </c>
      <c r="X449" s="0" t="n">
        <v>68.8</v>
      </c>
      <c r="Y449" s="3" t="s">
        <v>30</v>
      </c>
      <c r="Z449" s="0" t="str">
        <f aca="false">IF(M449=1,P449,"")</f>
        <v/>
      </c>
    </row>
    <row r="450" customFormat="false" ht="15" hidden="false" customHeight="false" outlineLevel="0" collapsed="false">
      <c r="A450" s="0" t="s">
        <v>493</v>
      </c>
      <c r="B450" s="2" t="n">
        <v>45668</v>
      </c>
      <c r="C450" s="3" t="s">
        <v>27</v>
      </c>
      <c r="D450" s="3" t="s">
        <v>34</v>
      </c>
      <c r="E450" s="3" t="s">
        <v>35</v>
      </c>
      <c r="F450" s="3" t="s">
        <v>30</v>
      </c>
      <c r="G450" s="3" t="s">
        <v>36</v>
      </c>
      <c r="H450" s="3" t="s">
        <v>30</v>
      </c>
      <c r="I450" s="3" t="s">
        <v>37</v>
      </c>
      <c r="J450" s="0" t="n">
        <v>1</v>
      </c>
      <c r="K450" s="0" t="n">
        <v>1</v>
      </c>
      <c r="L450" s="0" t="n">
        <v>1</v>
      </c>
      <c r="M450" s="0" t="n">
        <v>0</v>
      </c>
      <c r="N450" s="0" t="str">
        <f aca="false">IF(OR(NOT(OR(J450=0,J450=1)),NOT(OR(K450=0,K450=1)),NOT(OR(L450=0,L450=1)),NOT(OR(M450=0,M450=1)),NOT(OR(U450=0,U450=1))),"Yes","No")</f>
        <v>No</v>
      </c>
      <c r="O450" s="0" t="str">
        <f aca="false">IF(OR(AND(M450=1,L450=0),AND(L450=1,K450=0),AND(K450=1,J450=0)),"Yes","No")</f>
        <v>No</v>
      </c>
      <c r="P450" s="0" t="n">
        <v>0</v>
      </c>
      <c r="Q450" s="0" t="str">
        <f aca="false">IF(OR(AND(M450=0,P450&gt;0),AND(M450=1,P450&lt;=0)),"Yes","No")</f>
        <v>No</v>
      </c>
      <c r="R450" s="0" t="str">
        <f aca="false">IF(AND(M450=1,P450&gt;calc_helpers!$B$5),"Yes","No")</f>
        <v>No</v>
      </c>
      <c r="S450" s="0" t="n">
        <v>0</v>
      </c>
      <c r="T450" s="0" t="str">
        <f aca="false">IF(S450&gt;0,"Yes","No")</f>
        <v>No</v>
      </c>
      <c r="U450" s="0" t="n">
        <v>0</v>
      </c>
      <c r="W450" s="0" t="str">
        <f aca="false">IF(OR(AND(M450=1,ISBLANK(V450)),AND(M450=0,NOT(ISBLANK(V450)))),"Yes","No")</f>
        <v>No</v>
      </c>
      <c r="X450" s="0" t="n">
        <v>59.2</v>
      </c>
      <c r="Y450" s="3" t="s">
        <v>30</v>
      </c>
      <c r="Z450" s="0" t="str">
        <f aca="false">IF(M450=1,P450,"")</f>
        <v/>
      </c>
    </row>
    <row r="451" customFormat="false" ht="15" hidden="false" customHeight="false" outlineLevel="0" collapsed="false">
      <c r="A451" s="0" t="s">
        <v>494</v>
      </c>
      <c r="B451" s="2" t="n">
        <v>45721</v>
      </c>
      <c r="C451" s="3" t="s">
        <v>27</v>
      </c>
      <c r="D451" s="3" t="s">
        <v>39</v>
      </c>
      <c r="E451" s="3" t="s">
        <v>35</v>
      </c>
      <c r="F451" s="3" t="s">
        <v>30</v>
      </c>
      <c r="G451" s="3" t="s">
        <v>40</v>
      </c>
      <c r="H451" s="3" t="s">
        <v>30</v>
      </c>
      <c r="I451" s="3" t="s">
        <v>37</v>
      </c>
      <c r="J451" s="0" t="n">
        <v>1</v>
      </c>
      <c r="K451" s="0" t="n">
        <v>0</v>
      </c>
      <c r="L451" s="0" t="n">
        <v>0</v>
      </c>
      <c r="M451" s="0" t="n">
        <v>0</v>
      </c>
      <c r="N451" s="0" t="str">
        <f aca="false">IF(OR(NOT(OR(J451=0,J451=1)),NOT(OR(K451=0,K451=1)),NOT(OR(L451=0,L451=1)),NOT(OR(M451=0,M451=1)),NOT(OR(U451=0,U451=1))),"Yes","No")</f>
        <v>No</v>
      </c>
      <c r="O451" s="0" t="str">
        <f aca="false">IF(OR(AND(M451=1,L451=0),AND(L451=1,K451=0),AND(K451=1,J451=0)),"Yes","No")</f>
        <v>No</v>
      </c>
      <c r="P451" s="0" t="n">
        <v>0</v>
      </c>
      <c r="Q451" s="0" t="str">
        <f aca="false">IF(OR(AND(M451=0,P451&gt;0),AND(M451=1,P451&lt;=0)),"Yes","No")</f>
        <v>No</v>
      </c>
      <c r="R451" s="0" t="str">
        <f aca="false">IF(AND(M451=1,P451&gt;calc_helpers!$B$5),"Yes","No")</f>
        <v>No</v>
      </c>
      <c r="S451" s="0" t="n">
        <v>0</v>
      </c>
      <c r="T451" s="0" t="str">
        <f aca="false">IF(S451&gt;0,"Yes","No")</f>
        <v>No</v>
      </c>
      <c r="U451" s="0" t="n">
        <v>0</v>
      </c>
      <c r="W451" s="0" t="str">
        <f aca="false">IF(OR(AND(M451=1,ISBLANK(V451)),AND(M451=0,NOT(ISBLANK(V451)))),"Yes","No")</f>
        <v>No</v>
      </c>
      <c r="X451" s="0" t="n">
        <v>48.6</v>
      </c>
      <c r="Y451" s="3" t="s">
        <v>30</v>
      </c>
      <c r="Z451" s="0" t="str">
        <f aca="false">IF(M451=1,P451,"")</f>
        <v/>
      </c>
    </row>
    <row r="452" customFormat="false" ht="15" hidden="false" customHeight="false" outlineLevel="0" collapsed="false">
      <c r="A452" s="0" t="s">
        <v>495</v>
      </c>
      <c r="B452" s="2" t="n">
        <v>45705</v>
      </c>
      <c r="C452" s="3" t="s">
        <v>27</v>
      </c>
      <c r="D452" s="3" t="s">
        <v>28</v>
      </c>
      <c r="E452" s="3" t="s">
        <v>45</v>
      </c>
      <c r="F452" s="3" t="s">
        <v>30</v>
      </c>
      <c r="G452" s="3" t="s">
        <v>52</v>
      </c>
      <c r="H452" s="3" t="s">
        <v>30</v>
      </c>
      <c r="I452" s="3" t="s">
        <v>37</v>
      </c>
      <c r="J452" s="0" t="n">
        <v>1</v>
      </c>
      <c r="K452" s="0" t="n">
        <v>1</v>
      </c>
      <c r="L452" s="0" t="n">
        <v>1</v>
      </c>
      <c r="M452" s="0" t="n">
        <v>0</v>
      </c>
      <c r="N452" s="0" t="str">
        <f aca="false">IF(OR(NOT(OR(J452=0,J452=1)),NOT(OR(K452=0,K452=1)),NOT(OR(L452=0,L452=1)),NOT(OR(M452=0,M452=1)),NOT(OR(U452=0,U452=1))),"Yes","No")</f>
        <v>No</v>
      </c>
      <c r="O452" s="0" t="str">
        <f aca="false">IF(OR(AND(M452=1,L452=0),AND(L452=1,K452=0),AND(K452=1,J452=0)),"Yes","No")</f>
        <v>No</v>
      </c>
      <c r="P452" s="0" t="n">
        <v>0</v>
      </c>
      <c r="Q452" s="0" t="str">
        <f aca="false">IF(OR(AND(M452=0,P452&gt;0),AND(M452=1,P452&lt;=0)),"Yes","No")</f>
        <v>No</v>
      </c>
      <c r="R452" s="0" t="str">
        <f aca="false">IF(AND(M452=1,P452&gt;calc_helpers!$B$5),"Yes","No")</f>
        <v>No</v>
      </c>
      <c r="S452" s="0" t="n">
        <v>0</v>
      </c>
      <c r="T452" s="0" t="str">
        <f aca="false">IF(S452&gt;0,"Yes","No")</f>
        <v>No</v>
      </c>
      <c r="U452" s="0" t="n">
        <v>0</v>
      </c>
      <c r="W452" s="0" t="str">
        <f aca="false">IF(OR(AND(M452=1,ISBLANK(V452)),AND(M452=0,NOT(ISBLANK(V452)))),"Yes","No")</f>
        <v>No</v>
      </c>
      <c r="X452" s="0" t="n">
        <v>56.9</v>
      </c>
      <c r="Y452" s="3" t="s">
        <v>30</v>
      </c>
      <c r="Z452" s="0" t="str">
        <f aca="false">IF(M452=1,P452,"")</f>
        <v/>
      </c>
    </row>
    <row r="453" customFormat="false" ht="15" hidden="false" customHeight="false" outlineLevel="0" collapsed="false">
      <c r="A453" s="0" t="s">
        <v>496</v>
      </c>
      <c r="B453" s="2" t="n">
        <v>45784</v>
      </c>
      <c r="C453" s="3" t="s">
        <v>27</v>
      </c>
      <c r="D453" s="3" t="s">
        <v>28</v>
      </c>
      <c r="E453" s="3" t="s">
        <v>29</v>
      </c>
      <c r="F453" s="3" t="s">
        <v>30</v>
      </c>
      <c r="G453" s="3" t="s">
        <v>40</v>
      </c>
      <c r="H453" s="3" t="s">
        <v>30</v>
      </c>
      <c r="I453" s="3" t="s">
        <v>37</v>
      </c>
      <c r="J453" s="0" t="n">
        <v>0</v>
      </c>
      <c r="K453" s="0" t="n">
        <v>0</v>
      </c>
      <c r="L453" s="0" t="n">
        <v>0</v>
      </c>
      <c r="M453" s="0" t="n">
        <v>0</v>
      </c>
      <c r="N453" s="0" t="str">
        <f aca="false">IF(OR(NOT(OR(J453=0,J453=1)),NOT(OR(K453=0,K453=1)),NOT(OR(L453=0,L453=1)),NOT(OR(M453=0,M453=1)),NOT(OR(U453=0,U453=1))),"Yes","No")</f>
        <v>No</v>
      </c>
      <c r="O453" s="0" t="str">
        <f aca="false">IF(OR(AND(M453=1,L453=0),AND(L453=1,K453=0),AND(K453=1,J453=0)),"Yes","No")</f>
        <v>No</v>
      </c>
      <c r="P453" s="0" t="n">
        <v>0</v>
      </c>
      <c r="Q453" s="0" t="str">
        <f aca="false">IF(OR(AND(M453=0,P453&gt;0),AND(M453=1,P453&lt;=0)),"Yes","No")</f>
        <v>No</v>
      </c>
      <c r="R453" s="0" t="str">
        <f aca="false">IF(AND(M453=1,P453&gt;calc_helpers!$B$5),"Yes","No")</f>
        <v>No</v>
      </c>
      <c r="S453" s="0" t="n">
        <v>0</v>
      </c>
      <c r="T453" s="0" t="str">
        <f aca="false">IF(S453&gt;0,"Yes","No")</f>
        <v>No</v>
      </c>
      <c r="U453" s="0" t="n">
        <v>0</v>
      </c>
      <c r="W453" s="0" t="str">
        <f aca="false">IF(OR(AND(M453=1,ISBLANK(V453)),AND(M453=0,NOT(ISBLANK(V453)))),"Yes","No")</f>
        <v>No</v>
      </c>
      <c r="X453" s="0" t="n">
        <v>55.8</v>
      </c>
      <c r="Y453" s="3" t="s">
        <v>30</v>
      </c>
      <c r="Z453" s="0" t="str">
        <f aca="false">IF(M453=1,P453,"")</f>
        <v/>
      </c>
    </row>
    <row r="454" customFormat="false" ht="15" hidden="false" customHeight="false" outlineLevel="0" collapsed="false">
      <c r="A454" s="0" t="s">
        <v>497</v>
      </c>
      <c r="B454" s="2" t="n">
        <v>45757</v>
      </c>
      <c r="C454" s="3" t="s">
        <v>27</v>
      </c>
      <c r="D454" s="3" t="s">
        <v>39</v>
      </c>
      <c r="E454" s="3" t="s">
        <v>35</v>
      </c>
      <c r="F454" s="3" t="s">
        <v>30</v>
      </c>
      <c r="G454" s="3" t="s">
        <v>40</v>
      </c>
      <c r="H454" s="3" t="s">
        <v>30</v>
      </c>
      <c r="I454" s="3" t="s">
        <v>41</v>
      </c>
      <c r="J454" s="0" t="n">
        <v>0</v>
      </c>
      <c r="K454" s="0" t="n">
        <v>0</v>
      </c>
      <c r="L454" s="0" t="n">
        <v>0</v>
      </c>
      <c r="M454" s="0" t="n">
        <v>0</v>
      </c>
      <c r="N454" s="0" t="str">
        <f aca="false">IF(OR(NOT(OR(J454=0,J454=1)),NOT(OR(K454=0,K454=1)),NOT(OR(L454=0,L454=1)),NOT(OR(M454=0,M454=1)),NOT(OR(U454=0,U454=1))),"Yes","No")</f>
        <v>No</v>
      </c>
      <c r="O454" s="0" t="str">
        <f aca="false">IF(OR(AND(M454=1,L454=0),AND(L454=1,K454=0),AND(K454=1,J454=0)),"Yes","No")</f>
        <v>No</v>
      </c>
      <c r="P454" s="0" t="n">
        <v>0</v>
      </c>
      <c r="Q454" s="0" t="str">
        <f aca="false">IF(OR(AND(M454=0,P454&gt;0),AND(M454=1,P454&lt;=0)),"Yes","No")</f>
        <v>No</v>
      </c>
      <c r="R454" s="0" t="str">
        <f aca="false">IF(AND(M454=1,P454&gt;calc_helpers!$B$5),"Yes","No")</f>
        <v>No</v>
      </c>
      <c r="S454" s="0" t="n">
        <v>0</v>
      </c>
      <c r="T454" s="0" t="str">
        <f aca="false">IF(S454&gt;0,"Yes","No")</f>
        <v>No</v>
      </c>
      <c r="U454" s="0" t="n">
        <v>0</v>
      </c>
      <c r="W454" s="0" t="str">
        <f aca="false">IF(OR(AND(M454=1,ISBLANK(V454)),AND(M454=0,NOT(ISBLANK(V454)))),"Yes","No")</f>
        <v>No</v>
      </c>
      <c r="X454" s="0" t="n">
        <v>63.3</v>
      </c>
      <c r="Y454" s="3" t="s">
        <v>30</v>
      </c>
      <c r="Z454" s="0" t="str">
        <f aca="false">IF(M454=1,P454,"")</f>
        <v/>
      </c>
    </row>
    <row r="455" customFormat="false" ht="15" hidden="false" customHeight="false" outlineLevel="0" collapsed="false">
      <c r="A455" s="0" t="s">
        <v>498</v>
      </c>
      <c r="B455" s="2" t="n">
        <v>45768</v>
      </c>
      <c r="C455" s="3" t="s">
        <v>27</v>
      </c>
      <c r="D455" s="3" t="s">
        <v>28</v>
      </c>
      <c r="E455" s="3" t="s">
        <v>35</v>
      </c>
      <c r="F455" s="3" t="s">
        <v>30</v>
      </c>
      <c r="G455" s="3" t="s">
        <v>52</v>
      </c>
      <c r="H455" s="3" t="s">
        <v>30</v>
      </c>
      <c r="I455" s="3" t="s">
        <v>37</v>
      </c>
      <c r="J455" s="0" t="n">
        <v>1</v>
      </c>
      <c r="K455" s="0" t="n">
        <v>0</v>
      </c>
      <c r="L455" s="0" t="n">
        <v>0</v>
      </c>
      <c r="M455" s="0" t="n">
        <v>0</v>
      </c>
      <c r="N455" s="0" t="str">
        <f aca="false">IF(OR(NOT(OR(J455=0,J455=1)),NOT(OR(K455=0,K455=1)),NOT(OR(L455=0,L455=1)),NOT(OR(M455=0,M455=1)),NOT(OR(U455=0,U455=1))),"Yes","No")</f>
        <v>No</v>
      </c>
      <c r="O455" s="0" t="str">
        <f aca="false">IF(OR(AND(M455=1,L455=0),AND(L455=1,K455=0),AND(K455=1,J455=0)),"Yes","No")</f>
        <v>No</v>
      </c>
      <c r="P455" s="0" t="n">
        <v>0</v>
      </c>
      <c r="Q455" s="0" t="str">
        <f aca="false">IF(OR(AND(M455=0,P455&gt;0),AND(M455=1,P455&lt;=0)),"Yes","No")</f>
        <v>No</v>
      </c>
      <c r="R455" s="0" t="str">
        <f aca="false">IF(AND(M455=1,P455&gt;calc_helpers!$B$5),"Yes","No")</f>
        <v>No</v>
      </c>
      <c r="S455" s="0" t="n">
        <v>0</v>
      </c>
      <c r="T455" s="0" t="str">
        <f aca="false">IF(S455&gt;0,"Yes","No")</f>
        <v>No</v>
      </c>
      <c r="U455" s="0" t="n">
        <v>0</v>
      </c>
      <c r="W455" s="0" t="str">
        <f aca="false">IF(OR(AND(M455=1,ISBLANK(V455)),AND(M455=0,NOT(ISBLANK(V455)))),"Yes","No")</f>
        <v>No</v>
      </c>
      <c r="X455" s="0" t="n">
        <v>52.2</v>
      </c>
      <c r="Y455" s="3" t="s">
        <v>30</v>
      </c>
      <c r="Z455" s="0" t="str">
        <f aca="false">IF(M455=1,P455,"")</f>
        <v/>
      </c>
    </row>
    <row r="456" customFormat="false" ht="15" hidden="false" customHeight="false" outlineLevel="0" collapsed="false">
      <c r="A456" s="0" t="s">
        <v>499</v>
      </c>
      <c r="B456" s="2" t="n">
        <v>45713</v>
      </c>
      <c r="C456" s="3" t="s">
        <v>27</v>
      </c>
      <c r="D456" s="3" t="s">
        <v>43</v>
      </c>
      <c r="E456" s="3" t="s">
        <v>45</v>
      </c>
      <c r="F456" s="3" t="s">
        <v>30</v>
      </c>
      <c r="G456" s="3" t="s">
        <v>167</v>
      </c>
      <c r="H456" s="3" t="s">
        <v>168</v>
      </c>
      <c r="I456" s="3" t="s">
        <v>37</v>
      </c>
      <c r="J456" s="0" t="n">
        <v>0</v>
      </c>
      <c r="K456" s="0" t="n">
        <v>0</v>
      </c>
      <c r="L456" s="0" t="n">
        <v>0</v>
      </c>
      <c r="M456" s="0" t="n">
        <v>0</v>
      </c>
      <c r="N456" s="0" t="str">
        <f aca="false">IF(OR(NOT(OR(J456=0,J456=1)),NOT(OR(K456=0,K456=1)),NOT(OR(L456=0,L456=1)),NOT(OR(M456=0,M456=1)),NOT(OR(U456=0,U456=1))),"Yes","No")</f>
        <v>No</v>
      </c>
      <c r="O456" s="0" t="str">
        <f aca="false">IF(OR(AND(M456=1,L456=0),AND(L456=1,K456=0),AND(K456=1,J456=0)),"Yes","No")</f>
        <v>No</v>
      </c>
      <c r="P456" s="0" t="n">
        <v>0</v>
      </c>
      <c r="Q456" s="0" t="str">
        <f aca="false">IF(OR(AND(M456=0,P456&gt;0),AND(M456=1,P456&lt;=0)),"Yes","No")</f>
        <v>No</v>
      </c>
      <c r="R456" s="0" t="str">
        <f aca="false">IF(AND(M456=1,P456&gt;calc_helpers!$B$5),"Yes","No")</f>
        <v>No</v>
      </c>
      <c r="S456" s="0" t="n">
        <v>0</v>
      </c>
      <c r="T456" s="0" t="str">
        <f aca="false">IF(S456&gt;0,"Yes","No")</f>
        <v>No</v>
      </c>
      <c r="U456" s="0" t="n">
        <v>0</v>
      </c>
      <c r="W456" s="0" t="str">
        <f aca="false">IF(OR(AND(M456=1,ISBLANK(V456)),AND(M456=0,NOT(ISBLANK(V456)))),"Yes","No")</f>
        <v>No</v>
      </c>
      <c r="X456" s="0" t="n">
        <v>51.5</v>
      </c>
      <c r="Y456" s="3" t="s">
        <v>30</v>
      </c>
      <c r="Z456" s="0" t="str">
        <f aca="false">IF(M456=1,P456,"")</f>
        <v/>
      </c>
    </row>
    <row r="457" customFormat="false" ht="15" hidden="false" customHeight="false" outlineLevel="0" collapsed="false">
      <c r="A457" s="0" t="s">
        <v>500</v>
      </c>
      <c r="B457" s="2" t="n">
        <v>45791</v>
      </c>
      <c r="C457" s="3" t="s">
        <v>27</v>
      </c>
      <c r="D457" s="3" t="s">
        <v>39</v>
      </c>
      <c r="E457" s="3" t="s">
        <v>29</v>
      </c>
      <c r="F457" s="3" t="s">
        <v>30</v>
      </c>
      <c r="G457" s="3" t="s">
        <v>36</v>
      </c>
      <c r="H457" s="3" t="s">
        <v>30</v>
      </c>
      <c r="I457" s="3" t="s">
        <v>37</v>
      </c>
      <c r="J457" s="0" t="n">
        <v>0</v>
      </c>
      <c r="K457" s="0" t="n">
        <v>0</v>
      </c>
      <c r="L457" s="0" t="n">
        <v>0</v>
      </c>
      <c r="M457" s="0" t="n">
        <v>0</v>
      </c>
      <c r="N457" s="0" t="str">
        <f aca="false">IF(OR(NOT(OR(J457=0,J457=1)),NOT(OR(K457=0,K457=1)),NOT(OR(L457=0,L457=1)),NOT(OR(M457=0,M457=1)),NOT(OR(U457=0,U457=1))),"Yes","No")</f>
        <v>No</v>
      </c>
      <c r="O457" s="0" t="str">
        <f aca="false">IF(OR(AND(M457=1,L457=0),AND(L457=1,K457=0),AND(K457=1,J457=0)),"Yes","No")</f>
        <v>No</v>
      </c>
      <c r="P457" s="0" t="n">
        <v>0</v>
      </c>
      <c r="Q457" s="0" t="str">
        <f aca="false">IF(OR(AND(M457=0,P457&gt;0),AND(M457=1,P457&lt;=0)),"Yes","No")</f>
        <v>No</v>
      </c>
      <c r="R457" s="0" t="str">
        <f aca="false">IF(AND(M457=1,P457&gt;calc_helpers!$B$5),"Yes","No")</f>
        <v>No</v>
      </c>
      <c r="S457" s="0" t="n">
        <v>0</v>
      </c>
      <c r="T457" s="0" t="str">
        <f aca="false">IF(S457&gt;0,"Yes","No")</f>
        <v>No</v>
      </c>
      <c r="U457" s="0" t="n">
        <v>0</v>
      </c>
      <c r="W457" s="0" t="str">
        <f aca="false">IF(OR(AND(M457=1,ISBLANK(V457)),AND(M457=0,NOT(ISBLANK(V457)))),"Yes","No")</f>
        <v>No</v>
      </c>
      <c r="X457" s="0" t="n">
        <v>50.3</v>
      </c>
      <c r="Y457" s="3" t="s">
        <v>30</v>
      </c>
      <c r="Z457" s="0" t="str">
        <f aca="false">IF(M457=1,P457,"")</f>
        <v/>
      </c>
    </row>
    <row r="458" customFormat="false" ht="15" hidden="false" customHeight="false" outlineLevel="0" collapsed="false">
      <c r="A458" s="0" t="s">
        <v>501</v>
      </c>
      <c r="B458" s="2" t="n">
        <v>45726</v>
      </c>
      <c r="C458" s="3" t="s">
        <v>27</v>
      </c>
      <c r="D458" s="3" t="s">
        <v>28</v>
      </c>
      <c r="E458" s="3" t="s">
        <v>35</v>
      </c>
      <c r="F458" s="3" t="s">
        <v>30</v>
      </c>
      <c r="G458" s="3" t="s">
        <v>31</v>
      </c>
      <c r="H458" s="3" t="s">
        <v>30</v>
      </c>
      <c r="I458" s="3" t="s">
        <v>32</v>
      </c>
      <c r="J458" s="0" t="n">
        <v>1</v>
      </c>
      <c r="K458" s="0" t="n">
        <v>0</v>
      </c>
      <c r="L458" s="0" t="n">
        <v>0</v>
      </c>
      <c r="M458" s="0" t="n">
        <v>0</v>
      </c>
      <c r="N458" s="0" t="str">
        <f aca="false">IF(OR(NOT(OR(J458=0,J458=1)),NOT(OR(K458=0,K458=1)),NOT(OR(L458=0,L458=1)),NOT(OR(M458=0,M458=1)),NOT(OR(U458=0,U458=1))),"Yes","No")</f>
        <v>No</v>
      </c>
      <c r="O458" s="0" t="str">
        <f aca="false">IF(OR(AND(M458=1,L458=0),AND(L458=1,K458=0),AND(K458=1,J458=0)),"Yes","No")</f>
        <v>No</v>
      </c>
      <c r="P458" s="0" t="n">
        <v>0</v>
      </c>
      <c r="Q458" s="0" t="str">
        <f aca="false">IF(OR(AND(M458=0,P458&gt;0),AND(M458=1,P458&lt;=0)),"Yes","No")</f>
        <v>No</v>
      </c>
      <c r="R458" s="0" t="str">
        <f aca="false">IF(AND(M458=1,P458&gt;calc_helpers!$B$5),"Yes","No")</f>
        <v>No</v>
      </c>
      <c r="S458" s="0" t="n">
        <v>1</v>
      </c>
      <c r="T458" s="0" t="str">
        <f aca="false">IF(S458&gt;0,"Yes","No")</f>
        <v>Yes</v>
      </c>
      <c r="U458" s="0" t="n">
        <v>0</v>
      </c>
      <c r="W458" s="0" t="str">
        <f aca="false">IF(OR(AND(M458=1,ISBLANK(V458)),AND(M458=0,NOT(ISBLANK(V458)))),"Yes","No")</f>
        <v>No</v>
      </c>
      <c r="X458" s="0" t="n">
        <v>35.4</v>
      </c>
      <c r="Y458" s="3" t="s">
        <v>30</v>
      </c>
      <c r="Z458" s="0" t="str">
        <f aca="false">IF(M458=1,P458,"")</f>
        <v/>
      </c>
    </row>
    <row r="459" customFormat="false" ht="15" hidden="false" customHeight="false" outlineLevel="0" collapsed="false">
      <c r="A459" s="0" t="s">
        <v>502</v>
      </c>
      <c r="B459" s="2" t="n">
        <v>45688</v>
      </c>
      <c r="C459" s="3" t="s">
        <v>27</v>
      </c>
      <c r="D459" s="3" t="s">
        <v>34</v>
      </c>
      <c r="E459" s="3" t="s">
        <v>29</v>
      </c>
      <c r="F459" s="3" t="s">
        <v>30</v>
      </c>
      <c r="G459" s="3" t="s">
        <v>36</v>
      </c>
      <c r="H459" s="3" t="s">
        <v>30</v>
      </c>
      <c r="I459" s="3" t="s">
        <v>41</v>
      </c>
      <c r="J459" s="0" t="n">
        <v>1</v>
      </c>
      <c r="K459" s="0" t="n">
        <v>0</v>
      </c>
      <c r="L459" s="0" t="n">
        <v>0</v>
      </c>
      <c r="M459" s="0" t="n">
        <v>0</v>
      </c>
      <c r="N459" s="0" t="str">
        <f aca="false">IF(OR(NOT(OR(J459=0,J459=1)),NOT(OR(K459=0,K459=1)),NOT(OR(L459=0,L459=1)),NOT(OR(M459=0,M459=1)),NOT(OR(U459=0,U459=1))),"Yes","No")</f>
        <v>No</v>
      </c>
      <c r="O459" s="0" t="str">
        <f aca="false">IF(OR(AND(M459=1,L459=0),AND(L459=1,K459=0),AND(K459=1,J459=0)),"Yes","No")</f>
        <v>No</v>
      </c>
      <c r="P459" s="0" t="n">
        <v>0</v>
      </c>
      <c r="Q459" s="0" t="str">
        <f aca="false">IF(OR(AND(M459=0,P459&gt;0),AND(M459=1,P459&lt;=0)),"Yes","No")</f>
        <v>No</v>
      </c>
      <c r="R459" s="0" t="str">
        <f aca="false">IF(AND(M459=1,P459&gt;calc_helpers!$B$5),"Yes","No")</f>
        <v>No</v>
      </c>
      <c r="S459" s="0" t="n">
        <v>1</v>
      </c>
      <c r="T459" s="0" t="str">
        <f aca="false">IF(S459&gt;0,"Yes","No")</f>
        <v>Yes</v>
      </c>
      <c r="U459" s="0" t="n">
        <v>0</v>
      </c>
      <c r="W459" s="0" t="str">
        <f aca="false">IF(OR(AND(M459=1,ISBLANK(V459)),AND(M459=0,NOT(ISBLANK(V459)))),"Yes","No")</f>
        <v>No</v>
      </c>
      <c r="X459" s="0" t="n">
        <v>54.1</v>
      </c>
      <c r="Y459" s="3" t="s">
        <v>30</v>
      </c>
      <c r="Z459" s="0" t="str">
        <f aca="false">IF(M459=1,P459,"")</f>
        <v/>
      </c>
    </row>
    <row r="460" customFormat="false" ht="15" hidden="false" customHeight="false" outlineLevel="0" collapsed="false">
      <c r="A460" s="0" t="s">
        <v>503</v>
      </c>
      <c r="B460" s="2" t="n">
        <v>45674</v>
      </c>
      <c r="C460" s="3" t="s">
        <v>27</v>
      </c>
      <c r="D460" s="3" t="s">
        <v>43</v>
      </c>
      <c r="E460" s="3" t="s">
        <v>35</v>
      </c>
      <c r="F460" s="3" t="s">
        <v>30</v>
      </c>
      <c r="G460" s="3" t="s">
        <v>36</v>
      </c>
      <c r="H460" s="3" t="s">
        <v>30</v>
      </c>
      <c r="I460" s="3" t="s">
        <v>41</v>
      </c>
      <c r="J460" s="0" t="n">
        <v>1</v>
      </c>
      <c r="K460" s="0" t="n">
        <v>0</v>
      </c>
      <c r="L460" s="0" t="n">
        <v>0</v>
      </c>
      <c r="M460" s="0" t="n">
        <v>0</v>
      </c>
      <c r="N460" s="0" t="str">
        <f aca="false">IF(OR(NOT(OR(J460=0,J460=1)),NOT(OR(K460=0,K460=1)),NOT(OR(L460=0,L460=1)),NOT(OR(M460=0,M460=1)),NOT(OR(U460=0,U460=1))),"Yes","No")</f>
        <v>No</v>
      </c>
      <c r="O460" s="0" t="str">
        <f aca="false">IF(OR(AND(M460=1,L460=0),AND(L460=1,K460=0),AND(K460=1,J460=0)),"Yes","No")</f>
        <v>No</v>
      </c>
      <c r="P460" s="0" t="n">
        <v>0</v>
      </c>
      <c r="Q460" s="0" t="str">
        <f aca="false">IF(OR(AND(M460=0,P460&gt;0),AND(M460=1,P460&lt;=0)),"Yes","No")</f>
        <v>No</v>
      </c>
      <c r="R460" s="0" t="str">
        <f aca="false">IF(AND(M460=1,P460&gt;calc_helpers!$B$5),"Yes","No")</f>
        <v>No</v>
      </c>
      <c r="S460" s="0" t="n">
        <v>0</v>
      </c>
      <c r="T460" s="0" t="str">
        <f aca="false">IF(S460&gt;0,"Yes","No")</f>
        <v>No</v>
      </c>
      <c r="U460" s="0" t="n">
        <v>0</v>
      </c>
      <c r="W460" s="0" t="str">
        <f aca="false">IF(OR(AND(M460=1,ISBLANK(V460)),AND(M460=0,NOT(ISBLANK(V460)))),"Yes","No")</f>
        <v>No</v>
      </c>
      <c r="X460" s="0" t="n">
        <v>56.2</v>
      </c>
      <c r="Y460" s="3" t="s">
        <v>30</v>
      </c>
      <c r="Z460" s="0" t="str">
        <f aca="false">IF(M460=1,P460,"")</f>
        <v/>
      </c>
    </row>
    <row r="461" customFormat="false" ht="15" hidden="false" customHeight="false" outlineLevel="0" collapsed="false">
      <c r="A461" s="0" t="s">
        <v>504</v>
      </c>
      <c r="B461" s="2" t="n">
        <v>45728</v>
      </c>
      <c r="C461" s="3" t="s">
        <v>27</v>
      </c>
      <c r="D461" s="3" t="s">
        <v>43</v>
      </c>
      <c r="E461" s="3" t="s">
        <v>35</v>
      </c>
      <c r="F461" s="3" t="s">
        <v>30</v>
      </c>
      <c r="G461" s="3" t="s">
        <v>40</v>
      </c>
      <c r="H461" s="3" t="s">
        <v>30</v>
      </c>
      <c r="I461" s="3" t="s">
        <v>37</v>
      </c>
      <c r="J461" s="0" t="n">
        <v>0</v>
      </c>
      <c r="K461" s="0" t="n">
        <v>0</v>
      </c>
      <c r="L461" s="0" t="n">
        <v>0</v>
      </c>
      <c r="M461" s="0" t="n">
        <v>0</v>
      </c>
      <c r="N461" s="0" t="str">
        <f aca="false">IF(OR(NOT(OR(J461=0,J461=1)),NOT(OR(K461=0,K461=1)),NOT(OR(L461=0,L461=1)),NOT(OR(M461=0,M461=1)),NOT(OR(U461=0,U461=1))),"Yes","No")</f>
        <v>No</v>
      </c>
      <c r="O461" s="0" t="str">
        <f aca="false">IF(OR(AND(M461=1,L461=0),AND(L461=1,K461=0),AND(K461=1,J461=0)),"Yes","No")</f>
        <v>No</v>
      </c>
      <c r="P461" s="0" t="n">
        <v>0</v>
      </c>
      <c r="Q461" s="0" t="str">
        <f aca="false">IF(OR(AND(M461=0,P461&gt;0),AND(M461=1,P461&lt;=0)),"Yes","No")</f>
        <v>No</v>
      </c>
      <c r="R461" s="0" t="str">
        <f aca="false">IF(AND(M461=1,P461&gt;calc_helpers!$B$5),"Yes","No")</f>
        <v>No</v>
      </c>
      <c r="S461" s="0" t="n">
        <v>3</v>
      </c>
      <c r="T461" s="0" t="str">
        <f aca="false">IF(S461&gt;0,"Yes","No")</f>
        <v>Yes</v>
      </c>
      <c r="U461" s="0" t="n">
        <v>0</v>
      </c>
      <c r="W461" s="0" t="str">
        <f aca="false">IF(OR(AND(M461=1,ISBLANK(V461)),AND(M461=0,NOT(ISBLANK(V461)))),"Yes","No")</f>
        <v>No</v>
      </c>
      <c r="X461" s="0" t="n">
        <v>43.7</v>
      </c>
      <c r="Y461" s="3" t="s">
        <v>30</v>
      </c>
      <c r="Z461" s="0" t="str">
        <f aca="false">IF(M461=1,P461,"")</f>
        <v/>
      </c>
    </row>
    <row r="462" customFormat="false" ht="15" hidden="false" customHeight="false" outlineLevel="0" collapsed="false">
      <c r="A462" s="0" t="s">
        <v>505</v>
      </c>
      <c r="B462" s="2" t="n">
        <v>45716</v>
      </c>
      <c r="C462" s="3" t="s">
        <v>27</v>
      </c>
      <c r="D462" s="3" t="s">
        <v>34</v>
      </c>
      <c r="E462" s="3" t="s">
        <v>29</v>
      </c>
      <c r="F462" s="3" t="s">
        <v>30</v>
      </c>
      <c r="G462" s="3" t="s">
        <v>36</v>
      </c>
      <c r="H462" s="3" t="s">
        <v>30</v>
      </c>
      <c r="I462" s="3" t="s">
        <v>41</v>
      </c>
      <c r="J462" s="0" t="n">
        <v>1</v>
      </c>
      <c r="K462" s="0" t="n">
        <v>1</v>
      </c>
      <c r="L462" s="0" t="n">
        <v>0</v>
      </c>
      <c r="M462" s="0" t="n">
        <v>0</v>
      </c>
      <c r="N462" s="0" t="str">
        <f aca="false">IF(OR(NOT(OR(J462=0,J462=1)),NOT(OR(K462=0,K462=1)),NOT(OR(L462=0,L462=1)),NOT(OR(M462=0,M462=1)),NOT(OR(U462=0,U462=1))),"Yes","No")</f>
        <v>No</v>
      </c>
      <c r="O462" s="0" t="str">
        <f aca="false">IF(OR(AND(M462=1,L462=0),AND(L462=1,K462=0),AND(K462=1,J462=0)),"Yes","No")</f>
        <v>No</v>
      </c>
      <c r="P462" s="0" t="n">
        <v>0</v>
      </c>
      <c r="Q462" s="0" t="str">
        <f aca="false">IF(OR(AND(M462=0,P462&gt;0),AND(M462=1,P462&lt;=0)),"Yes","No")</f>
        <v>No</v>
      </c>
      <c r="R462" s="0" t="str">
        <f aca="false">IF(AND(M462=1,P462&gt;calc_helpers!$B$5),"Yes","No")</f>
        <v>No</v>
      </c>
      <c r="S462" s="0" t="n">
        <v>0</v>
      </c>
      <c r="T462" s="0" t="str">
        <f aca="false">IF(S462&gt;0,"Yes","No")</f>
        <v>No</v>
      </c>
      <c r="U462" s="0" t="n">
        <v>0</v>
      </c>
      <c r="W462" s="0" t="str">
        <f aca="false">IF(OR(AND(M462=1,ISBLANK(V462)),AND(M462=0,NOT(ISBLANK(V462)))),"Yes","No")</f>
        <v>No</v>
      </c>
      <c r="X462" s="0" t="n">
        <v>51.3</v>
      </c>
      <c r="Y462" s="3" t="s">
        <v>30</v>
      </c>
      <c r="Z462" s="0" t="str">
        <f aca="false">IF(M462=1,P462,"")</f>
        <v/>
      </c>
    </row>
    <row r="463" customFormat="false" ht="15" hidden="false" customHeight="false" outlineLevel="0" collapsed="false">
      <c r="A463" s="0" t="s">
        <v>506</v>
      </c>
      <c r="B463" s="2" t="n">
        <v>45796</v>
      </c>
      <c r="C463" s="3" t="s">
        <v>27</v>
      </c>
      <c r="D463" s="3" t="s">
        <v>28</v>
      </c>
      <c r="E463" s="3" t="s">
        <v>167</v>
      </c>
      <c r="F463" s="3" t="s">
        <v>168</v>
      </c>
      <c r="G463" s="3" t="s">
        <v>36</v>
      </c>
      <c r="H463" s="3" t="s">
        <v>30</v>
      </c>
      <c r="I463" s="3" t="s">
        <v>32</v>
      </c>
      <c r="J463" s="0" t="n">
        <v>1</v>
      </c>
      <c r="K463" s="0" t="n">
        <v>0</v>
      </c>
      <c r="L463" s="0" t="n">
        <v>0</v>
      </c>
      <c r="M463" s="0" t="n">
        <v>0</v>
      </c>
      <c r="N463" s="0" t="str">
        <f aca="false">IF(OR(NOT(OR(J463=0,J463=1)),NOT(OR(K463=0,K463=1)),NOT(OR(L463=0,L463=1)),NOT(OR(M463=0,M463=1)),NOT(OR(U463=0,U463=1))),"Yes","No")</f>
        <v>No</v>
      </c>
      <c r="O463" s="0" t="str">
        <f aca="false">IF(OR(AND(M463=1,L463=0),AND(L463=1,K463=0),AND(K463=1,J463=0)),"Yes","No")</f>
        <v>No</v>
      </c>
      <c r="P463" s="0" t="n">
        <v>0</v>
      </c>
      <c r="Q463" s="0" t="str">
        <f aca="false">IF(OR(AND(M463=0,P463&gt;0),AND(M463=1,P463&lt;=0)),"Yes","No")</f>
        <v>No</v>
      </c>
      <c r="R463" s="0" t="str">
        <f aca="false">IF(AND(M463=1,P463&gt;calc_helpers!$B$5),"Yes","No")</f>
        <v>No</v>
      </c>
      <c r="S463" s="0" t="n">
        <v>0</v>
      </c>
      <c r="T463" s="0" t="str">
        <f aca="false">IF(S463&gt;0,"Yes","No")</f>
        <v>No</v>
      </c>
      <c r="U463" s="0" t="n">
        <v>0</v>
      </c>
      <c r="W463" s="0" t="str">
        <f aca="false">IF(OR(AND(M463=1,ISBLANK(V463)),AND(M463=0,NOT(ISBLANK(V463)))),"Yes","No")</f>
        <v>No</v>
      </c>
      <c r="X463" s="0" t="n">
        <v>50.5</v>
      </c>
      <c r="Y463" s="3" t="s">
        <v>30</v>
      </c>
      <c r="Z463" s="0" t="str">
        <f aca="false">IF(M463=1,P463,"")</f>
        <v/>
      </c>
    </row>
    <row r="464" customFormat="false" ht="15" hidden="false" customHeight="false" outlineLevel="0" collapsed="false">
      <c r="A464" s="0" t="s">
        <v>507</v>
      </c>
      <c r="B464" s="2" t="n">
        <v>45711</v>
      </c>
      <c r="C464" s="3" t="s">
        <v>27</v>
      </c>
      <c r="D464" s="3" t="s">
        <v>28</v>
      </c>
      <c r="E464" s="3" t="s">
        <v>35</v>
      </c>
      <c r="F464" s="3" t="s">
        <v>30</v>
      </c>
      <c r="G464" s="3" t="s">
        <v>50</v>
      </c>
      <c r="H464" s="3" t="s">
        <v>30</v>
      </c>
      <c r="I464" s="3" t="s">
        <v>32</v>
      </c>
      <c r="J464" s="0" t="n">
        <v>1</v>
      </c>
      <c r="K464" s="0" t="n">
        <v>0</v>
      </c>
      <c r="L464" s="0" t="n">
        <v>0</v>
      </c>
      <c r="M464" s="0" t="n">
        <v>0</v>
      </c>
      <c r="N464" s="0" t="str">
        <f aca="false">IF(OR(NOT(OR(J464=0,J464=1)),NOT(OR(K464=0,K464=1)),NOT(OR(L464=0,L464=1)),NOT(OR(M464=0,M464=1)),NOT(OR(U464=0,U464=1))),"Yes","No")</f>
        <v>No</v>
      </c>
      <c r="O464" s="0" t="str">
        <f aca="false">IF(OR(AND(M464=1,L464=0),AND(L464=1,K464=0),AND(K464=1,J464=0)),"Yes","No")</f>
        <v>No</v>
      </c>
      <c r="P464" s="0" t="n">
        <v>0</v>
      </c>
      <c r="Q464" s="0" t="str">
        <f aca="false">IF(OR(AND(M464=0,P464&gt;0),AND(M464=1,P464&lt;=0)),"Yes","No")</f>
        <v>No</v>
      </c>
      <c r="R464" s="0" t="str">
        <f aca="false">IF(AND(M464=1,P464&gt;calc_helpers!$B$5),"Yes","No")</f>
        <v>No</v>
      </c>
      <c r="S464" s="0" t="n">
        <v>0</v>
      </c>
      <c r="T464" s="0" t="str">
        <f aca="false">IF(S464&gt;0,"Yes","No")</f>
        <v>No</v>
      </c>
      <c r="U464" s="0" t="n">
        <v>0</v>
      </c>
      <c r="W464" s="0" t="str">
        <f aca="false">IF(OR(AND(M464=1,ISBLANK(V464)),AND(M464=0,NOT(ISBLANK(V464)))),"Yes","No")</f>
        <v>No</v>
      </c>
      <c r="X464" s="0" t="n">
        <v>57.3</v>
      </c>
      <c r="Y464" s="3" t="s">
        <v>30</v>
      </c>
      <c r="Z464" s="0" t="str">
        <f aca="false">IF(M464=1,P464,"")</f>
        <v/>
      </c>
    </row>
    <row r="465" customFormat="false" ht="15" hidden="false" customHeight="false" outlineLevel="0" collapsed="false">
      <c r="A465" s="0" t="s">
        <v>508</v>
      </c>
      <c r="B465" s="2" t="n">
        <v>45708</v>
      </c>
      <c r="C465" s="3" t="s">
        <v>27</v>
      </c>
      <c r="D465" s="3" t="s">
        <v>34</v>
      </c>
      <c r="E465" s="3" t="s">
        <v>29</v>
      </c>
      <c r="F465" s="3" t="s">
        <v>30</v>
      </c>
      <c r="G465" s="3" t="s">
        <v>36</v>
      </c>
      <c r="H465" s="3" t="s">
        <v>30</v>
      </c>
      <c r="I465" s="3" t="s">
        <v>37</v>
      </c>
      <c r="J465" s="0" t="n">
        <v>1</v>
      </c>
      <c r="K465" s="0" t="n">
        <v>1</v>
      </c>
      <c r="L465" s="0" t="n">
        <v>1</v>
      </c>
      <c r="M465" s="0" t="n">
        <v>0</v>
      </c>
      <c r="N465" s="0" t="str">
        <f aca="false">IF(OR(NOT(OR(J465=0,J465=1)),NOT(OR(K465=0,K465=1)),NOT(OR(L465=0,L465=1)),NOT(OR(M465=0,M465=1)),NOT(OR(U465=0,U465=1))),"Yes","No")</f>
        <v>No</v>
      </c>
      <c r="O465" s="0" t="str">
        <f aca="false">IF(OR(AND(M465=1,L465=0),AND(L465=1,K465=0),AND(K465=1,J465=0)),"Yes","No")</f>
        <v>No</v>
      </c>
      <c r="P465" s="0" t="n">
        <v>0</v>
      </c>
      <c r="Q465" s="0" t="str">
        <f aca="false">IF(OR(AND(M465=0,P465&gt;0),AND(M465=1,P465&lt;=0)),"Yes","No")</f>
        <v>No</v>
      </c>
      <c r="R465" s="0" t="str">
        <f aca="false">IF(AND(M465=1,P465&gt;calc_helpers!$B$5),"Yes","No")</f>
        <v>No</v>
      </c>
      <c r="S465" s="0" t="n">
        <v>0</v>
      </c>
      <c r="T465" s="0" t="str">
        <f aca="false">IF(S465&gt;0,"Yes","No")</f>
        <v>No</v>
      </c>
      <c r="U465" s="0" t="n">
        <v>0</v>
      </c>
      <c r="W465" s="0" t="str">
        <f aca="false">IF(OR(AND(M465=1,ISBLANK(V465)),AND(M465=0,NOT(ISBLANK(V465)))),"Yes","No")</f>
        <v>No</v>
      </c>
      <c r="X465" s="0" t="n">
        <v>58.4</v>
      </c>
      <c r="Y465" s="3" t="s">
        <v>30</v>
      </c>
      <c r="Z465" s="0" t="str">
        <f aca="false">IF(M465=1,P465,"")</f>
        <v/>
      </c>
    </row>
    <row r="466" customFormat="false" ht="15" hidden="false" customHeight="false" outlineLevel="0" collapsed="false">
      <c r="A466" s="0" t="s">
        <v>509</v>
      </c>
      <c r="B466" s="2" t="n">
        <v>45759</v>
      </c>
      <c r="C466" s="3" t="s">
        <v>27</v>
      </c>
      <c r="D466" s="3" t="s">
        <v>28</v>
      </c>
      <c r="E466" s="3" t="s">
        <v>35</v>
      </c>
      <c r="F466" s="3" t="s">
        <v>30</v>
      </c>
      <c r="G466" s="3" t="s">
        <v>167</v>
      </c>
      <c r="H466" s="3" t="s">
        <v>168</v>
      </c>
      <c r="I466" s="3" t="s">
        <v>37</v>
      </c>
      <c r="J466" s="0" t="n">
        <v>0</v>
      </c>
      <c r="K466" s="0" t="n">
        <v>0</v>
      </c>
      <c r="L466" s="0" t="n">
        <v>0</v>
      </c>
      <c r="M466" s="0" t="n">
        <v>0</v>
      </c>
      <c r="N466" s="0" t="str">
        <f aca="false">IF(OR(NOT(OR(J466=0,J466=1)),NOT(OR(K466=0,K466=1)),NOT(OR(L466=0,L466=1)),NOT(OR(M466=0,M466=1)),NOT(OR(U466=0,U466=1))),"Yes","No")</f>
        <v>No</v>
      </c>
      <c r="O466" s="0" t="str">
        <f aca="false">IF(OR(AND(M466=1,L466=0),AND(L466=1,K466=0),AND(K466=1,J466=0)),"Yes","No")</f>
        <v>No</v>
      </c>
      <c r="P466" s="0" t="n">
        <v>0</v>
      </c>
      <c r="Q466" s="0" t="str">
        <f aca="false">IF(OR(AND(M466=0,P466&gt;0),AND(M466=1,P466&lt;=0)),"Yes","No")</f>
        <v>No</v>
      </c>
      <c r="R466" s="0" t="str">
        <f aca="false">IF(AND(M466=1,P466&gt;calc_helpers!$B$5),"Yes","No")</f>
        <v>No</v>
      </c>
      <c r="S466" s="0" t="n">
        <v>0</v>
      </c>
      <c r="T466" s="0" t="str">
        <f aca="false">IF(S466&gt;0,"Yes","No")</f>
        <v>No</v>
      </c>
      <c r="U466" s="0" t="n">
        <v>0</v>
      </c>
      <c r="W466" s="0" t="str">
        <f aca="false">IF(OR(AND(M466=1,ISBLANK(V466)),AND(M466=0,NOT(ISBLANK(V466)))),"Yes","No")</f>
        <v>No</v>
      </c>
      <c r="X466" s="0" t="n">
        <v>56.5</v>
      </c>
      <c r="Y466" s="3" t="s">
        <v>30</v>
      </c>
      <c r="Z466" s="0" t="str">
        <f aca="false">IF(M466=1,P466,"")</f>
        <v/>
      </c>
    </row>
    <row r="467" customFormat="false" ht="15" hidden="false" customHeight="false" outlineLevel="0" collapsed="false">
      <c r="A467" s="0" t="s">
        <v>510</v>
      </c>
      <c r="B467" s="2" t="n">
        <v>45665</v>
      </c>
      <c r="C467" s="3" t="s">
        <v>27</v>
      </c>
      <c r="D467" s="3" t="s">
        <v>34</v>
      </c>
      <c r="E467" s="3" t="s">
        <v>35</v>
      </c>
      <c r="F467" s="3" t="s">
        <v>30</v>
      </c>
      <c r="G467" s="3" t="s">
        <v>31</v>
      </c>
      <c r="H467" s="3" t="s">
        <v>30</v>
      </c>
      <c r="I467" s="3" t="s">
        <v>37</v>
      </c>
      <c r="J467" s="0" t="n">
        <v>0</v>
      </c>
      <c r="K467" s="0" t="n">
        <v>0</v>
      </c>
      <c r="L467" s="0" t="n">
        <v>0</v>
      </c>
      <c r="M467" s="0" t="n">
        <v>0</v>
      </c>
      <c r="N467" s="0" t="str">
        <f aca="false">IF(OR(NOT(OR(J467=0,J467=1)),NOT(OR(K467=0,K467=1)),NOT(OR(L467=0,L467=1)),NOT(OR(M467=0,M467=1)),NOT(OR(U467=0,U467=1))),"Yes","No")</f>
        <v>No</v>
      </c>
      <c r="O467" s="0" t="str">
        <f aca="false">IF(OR(AND(M467=1,L467=0),AND(L467=1,K467=0),AND(K467=1,J467=0)),"Yes","No")</f>
        <v>No</v>
      </c>
      <c r="P467" s="0" t="n">
        <v>0</v>
      </c>
      <c r="Q467" s="0" t="str">
        <f aca="false">IF(OR(AND(M467=0,P467&gt;0),AND(M467=1,P467&lt;=0)),"Yes","No")</f>
        <v>No</v>
      </c>
      <c r="R467" s="0" t="str">
        <f aca="false">IF(AND(M467=1,P467&gt;calc_helpers!$B$5),"Yes","No")</f>
        <v>No</v>
      </c>
      <c r="S467" s="0" t="n">
        <v>0</v>
      </c>
      <c r="T467" s="0" t="str">
        <f aca="false">IF(S467&gt;0,"Yes","No")</f>
        <v>No</v>
      </c>
      <c r="U467" s="0" t="n">
        <v>0</v>
      </c>
      <c r="W467" s="0" t="str">
        <f aca="false">IF(OR(AND(M467=1,ISBLANK(V467)),AND(M467=0,NOT(ISBLANK(V467)))),"Yes","No")</f>
        <v>No</v>
      </c>
      <c r="X467" s="0" t="n">
        <v>69.6</v>
      </c>
      <c r="Y467" s="3" t="s">
        <v>30</v>
      </c>
      <c r="Z467" s="0" t="str">
        <f aca="false">IF(M467=1,P467,"")</f>
        <v/>
      </c>
    </row>
    <row r="468" customFormat="false" ht="15" hidden="false" customHeight="false" outlineLevel="0" collapsed="false">
      <c r="A468" s="0" t="s">
        <v>511</v>
      </c>
      <c r="B468" s="2" t="n">
        <v>45701</v>
      </c>
      <c r="C468" s="3" t="s">
        <v>27</v>
      </c>
      <c r="D468" s="3" t="s">
        <v>34</v>
      </c>
      <c r="E468" s="3" t="s">
        <v>35</v>
      </c>
      <c r="F468" s="3" t="s">
        <v>30</v>
      </c>
      <c r="G468" s="3" t="s">
        <v>36</v>
      </c>
      <c r="H468" s="3" t="s">
        <v>30</v>
      </c>
      <c r="I468" s="3" t="s">
        <v>32</v>
      </c>
      <c r="J468" s="0" t="n">
        <v>0</v>
      </c>
      <c r="K468" s="0" t="n">
        <v>0</v>
      </c>
      <c r="L468" s="0" t="n">
        <v>0</v>
      </c>
      <c r="M468" s="0" t="n">
        <v>0</v>
      </c>
      <c r="N468" s="0" t="str">
        <f aca="false">IF(OR(NOT(OR(J468=0,J468=1)),NOT(OR(K468=0,K468=1)),NOT(OR(L468=0,L468=1)),NOT(OR(M468=0,M468=1)),NOT(OR(U468=0,U468=1))),"Yes","No")</f>
        <v>No</v>
      </c>
      <c r="O468" s="0" t="str">
        <f aca="false">IF(OR(AND(M468=1,L468=0),AND(L468=1,K468=0),AND(K468=1,J468=0)),"Yes","No")</f>
        <v>No</v>
      </c>
      <c r="P468" s="0" t="n">
        <v>0</v>
      </c>
      <c r="Q468" s="0" t="str">
        <f aca="false">IF(OR(AND(M468=0,P468&gt;0),AND(M468=1,P468&lt;=0)),"Yes","No")</f>
        <v>No</v>
      </c>
      <c r="R468" s="0" t="str">
        <f aca="false">IF(AND(M468=1,P468&gt;calc_helpers!$B$5),"Yes","No")</f>
        <v>No</v>
      </c>
      <c r="S468" s="0" t="n">
        <v>0</v>
      </c>
      <c r="T468" s="0" t="str">
        <f aca="false">IF(S468&gt;0,"Yes","No")</f>
        <v>No</v>
      </c>
      <c r="U468" s="0" t="n">
        <v>0</v>
      </c>
      <c r="W468" s="0" t="str">
        <f aca="false">IF(OR(AND(M468=1,ISBLANK(V468)),AND(M468=0,NOT(ISBLANK(V468)))),"Yes","No")</f>
        <v>No</v>
      </c>
      <c r="X468" s="0" t="n">
        <v>6.2</v>
      </c>
      <c r="Y468" s="3" t="s">
        <v>30</v>
      </c>
      <c r="Z468" s="0" t="str">
        <f aca="false">IF(M468=1,P468,"")</f>
        <v/>
      </c>
    </row>
    <row r="469" customFormat="false" ht="15" hidden="false" customHeight="false" outlineLevel="0" collapsed="false">
      <c r="A469" s="0" t="s">
        <v>512</v>
      </c>
      <c r="B469" s="2" t="n">
        <v>45798</v>
      </c>
      <c r="C469" s="3" t="s">
        <v>27</v>
      </c>
      <c r="D469" s="3" t="s">
        <v>39</v>
      </c>
      <c r="E469" s="3" t="s">
        <v>29</v>
      </c>
      <c r="F469" s="3" t="s">
        <v>30</v>
      </c>
      <c r="G469" s="3" t="s">
        <v>31</v>
      </c>
      <c r="H469" s="3" t="s">
        <v>30</v>
      </c>
      <c r="I469" s="3" t="s">
        <v>37</v>
      </c>
      <c r="J469" s="0" t="n">
        <v>1</v>
      </c>
      <c r="K469" s="0" t="n">
        <v>1</v>
      </c>
      <c r="L469" s="0" t="n">
        <v>1</v>
      </c>
      <c r="M469" s="0" t="n">
        <v>0</v>
      </c>
      <c r="N469" s="0" t="str">
        <f aca="false">IF(OR(NOT(OR(J469=0,J469=1)),NOT(OR(K469=0,K469=1)),NOT(OR(L469=0,L469=1)),NOT(OR(M469=0,M469=1)),NOT(OR(U469=0,U469=1))),"Yes","No")</f>
        <v>No</v>
      </c>
      <c r="O469" s="0" t="str">
        <f aca="false">IF(OR(AND(M469=1,L469=0),AND(L469=1,K469=0),AND(K469=1,J469=0)),"Yes","No")</f>
        <v>No</v>
      </c>
      <c r="P469" s="0" t="n">
        <v>0</v>
      </c>
      <c r="Q469" s="0" t="str">
        <f aca="false">IF(OR(AND(M469=0,P469&gt;0),AND(M469=1,P469&lt;=0)),"Yes","No")</f>
        <v>No</v>
      </c>
      <c r="R469" s="0" t="str">
        <f aca="false">IF(AND(M469=1,P469&gt;calc_helpers!$B$5),"Yes","No")</f>
        <v>No</v>
      </c>
      <c r="S469" s="0" t="n">
        <v>0</v>
      </c>
      <c r="T469" s="0" t="str">
        <f aca="false">IF(S469&gt;0,"Yes","No")</f>
        <v>No</v>
      </c>
      <c r="U469" s="0" t="n">
        <v>0</v>
      </c>
      <c r="W469" s="0" t="str">
        <f aca="false">IF(OR(AND(M469=1,ISBLANK(V469)),AND(M469=0,NOT(ISBLANK(V469)))),"Yes","No")</f>
        <v>No</v>
      </c>
      <c r="X469" s="0" t="n">
        <v>54.3</v>
      </c>
      <c r="Y469" s="3" t="s">
        <v>30</v>
      </c>
      <c r="Z469" s="0" t="str">
        <f aca="false">IF(M469=1,P469,"")</f>
        <v/>
      </c>
    </row>
    <row r="470" customFormat="false" ht="15" hidden="false" customHeight="false" outlineLevel="0" collapsed="false">
      <c r="A470" s="0" t="s">
        <v>513</v>
      </c>
      <c r="B470" s="2" t="n">
        <v>45807</v>
      </c>
      <c r="C470" s="3" t="s">
        <v>27</v>
      </c>
      <c r="D470" s="3" t="s">
        <v>28</v>
      </c>
      <c r="E470" s="3" t="s">
        <v>35</v>
      </c>
      <c r="F470" s="3" t="s">
        <v>30</v>
      </c>
      <c r="G470" s="3" t="s">
        <v>36</v>
      </c>
      <c r="H470" s="3" t="s">
        <v>30</v>
      </c>
      <c r="I470" s="3" t="s">
        <v>32</v>
      </c>
      <c r="J470" s="0" t="n">
        <v>0</v>
      </c>
      <c r="K470" s="0" t="n">
        <v>0</v>
      </c>
      <c r="L470" s="0" t="n">
        <v>0</v>
      </c>
      <c r="M470" s="0" t="n">
        <v>0</v>
      </c>
      <c r="N470" s="0" t="str">
        <f aca="false">IF(OR(NOT(OR(J470=0,J470=1)),NOT(OR(K470=0,K470=1)),NOT(OR(L470=0,L470=1)),NOT(OR(M470=0,M470=1)),NOT(OR(U470=0,U470=1))),"Yes","No")</f>
        <v>No</v>
      </c>
      <c r="O470" s="0" t="str">
        <f aca="false">IF(OR(AND(M470=1,L470=0),AND(L470=1,K470=0),AND(K470=1,J470=0)),"Yes","No")</f>
        <v>No</v>
      </c>
      <c r="P470" s="0" t="n">
        <v>0</v>
      </c>
      <c r="Q470" s="0" t="str">
        <f aca="false">IF(OR(AND(M470=0,P470&gt;0),AND(M470=1,P470&lt;=0)),"Yes","No")</f>
        <v>No</v>
      </c>
      <c r="R470" s="0" t="str">
        <f aca="false">IF(AND(M470=1,P470&gt;calc_helpers!$B$5),"Yes","No")</f>
        <v>No</v>
      </c>
      <c r="S470" s="0" t="n">
        <v>0</v>
      </c>
      <c r="T470" s="0" t="str">
        <f aca="false">IF(S470&gt;0,"Yes","No")</f>
        <v>No</v>
      </c>
      <c r="U470" s="0" t="n">
        <v>0</v>
      </c>
      <c r="W470" s="0" t="str">
        <f aca="false">IF(OR(AND(M470=1,ISBLANK(V470)),AND(M470=0,NOT(ISBLANK(V470)))),"Yes","No")</f>
        <v>No</v>
      </c>
      <c r="X470" s="0" t="n">
        <v>59.8</v>
      </c>
      <c r="Y470" s="3" t="s">
        <v>30</v>
      </c>
      <c r="Z470" s="0" t="str">
        <f aca="false">IF(M470=1,P470,"")</f>
        <v/>
      </c>
    </row>
    <row r="471" customFormat="false" ht="15" hidden="false" customHeight="false" outlineLevel="0" collapsed="false">
      <c r="A471" s="0" t="s">
        <v>514</v>
      </c>
      <c r="B471" s="2" t="n">
        <v>45797</v>
      </c>
      <c r="C471" s="3" t="s">
        <v>27</v>
      </c>
      <c r="D471" s="3" t="s">
        <v>34</v>
      </c>
      <c r="E471" s="3" t="s">
        <v>35</v>
      </c>
      <c r="F471" s="3" t="s">
        <v>30</v>
      </c>
      <c r="G471" s="3" t="s">
        <v>40</v>
      </c>
      <c r="H471" s="3" t="s">
        <v>30</v>
      </c>
      <c r="I471" s="3" t="s">
        <v>37</v>
      </c>
      <c r="J471" s="0" t="n">
        <v>0</v>
      </c>
      <c r="K471" s="0" t="n">
        <v>0</v>
      </c>
      <c r="L471" s="0" t="n">
        <v>0</v>
      </c>
      <c r="M471" s="0" t="n">
        <v>0</v>
      </c>
      <c r="N471" s="0" t="str">
        <f aca="false">IF(OR(NOT(OR(J471=0,J471=1)),NOT(OR(K471=0,K471=1)),NOT(OR(L471=0,L471=1)),NOT(OR(M471=0,M471=1)),NOT(OR(U471=0,U471=1))),"Yes","No")</f>
        <v>No</v>
      </c>
      <c r="O471" s="0" t="str">
        <f aca="false">IF(OR(AND(M471=1,L471=0),AND(L471=1,K471=0),AND(K471=1,J471=0)),"Yes","No")</f>
        <v>No</v>
      </c>
      <c r="P471" s="0" t="n">
        <v>0</v>
      </c>
      <c r="Q471" s="0" t="str">
        <f aca="false">IF(OR(AND(M471=0,P471&gt;0),AND(M471=1,P471&lt;=0)),"Yes","No")</f>
        <v>No</v>
      </c>
      <c r="R471" s="0" t="str">
        <f aca="false">IF(AND(M471=1,P471&gt;calc_helpers!$B$5),"Yes","No")</f>
        <v>No</v>
      </c>
      <c r="S471" s="0" t="n">
        <v>0</v>
      </c>
      <c r="T471" s="0" t="str">
        <f aca="false">IF(S471&gt;0,"Yes","No")</f>
        <v>No</v>
      </c>
      <c r="U471" s="0" t="n">
        <v>0</v>
      </c>
      <c r="W471" s="0" t="str">
        <f aca="false">IF(OR(AND(M471=1,ISBLANK(V471)),AND(M471=0,NOT(ISBLANK(V471)))),"Yes","No")</f>
        <v>No</v>
      </c>
      <c r="X471" s="0" t="n">
        <v>58.9</v>
      </c>
      <c r="Y471" s="3" t="s">
        <v>30</v>
      </c>
      <c r="Z471" s="0" t="str">
        <f aca="false">IF(M471=1,P471,"")</f>
        <v/>
      </c>
    </row>
    <row r="472" customFormat="false" ht="15" hidden="false" customHeight="false" outlineLevel="0" collapsed="false">
      <c r="A472" s="0" t="s">
        <v>515</v>
      </c>
      <c r="B472" s="2" t="n">
        <v>45666</v>
      </c>
      <c r="C472" s="3" t="s">
        <v>27</v>
      </c>
      <c r="D472" s="3" t="s">
        <v>39</v>
      </c>
      <c r="E472" s="3" t="s">
        <v>29</v>
      </c>
      <c r="F472" s="3" t="s">
        <v>30</v>
      </c>
      <c r="G472" s="3" t="s">
        <v>36</v>
      </c>
      <c r="H472" s="3" t="s">
        <v>30</v>
      </c>
      <c r="I472" s="3" t="s">
        <v>37</v>
      </c>
      <c r="J472" s="0" t="n">
        <v>0</v>
      </c>
      <c r="K472" s="0" t="n">
        <v>0</v>
      </c>
      <c r="L472" s="0" t="n">
        <v>0</v>
      </c>
      <c r="M472" s="0" t="n">
        <v>0</v>
      </c>
      <c r="N472" s="0" t="str">
        <f aca="false">IF(OR(NOT(OR(J472=0,J472=1)),NOT(OR(K472=0,K472=1)),NOT(OR(L472=0,L472=1)),NOT(OR(M472=0,M472=1)),NOT(OR(U472=0,U472=1))),"Yes","No")</f>
        <v>No</v>
      </c>
      <c r="O472" s="0" t="str">
        <f aca="false">IF(OR(AND(M472=1,L472=0),AND(L472=1,K472=0),AND(K472=1,J472=0)),"Yes","No")</f>
        <v>No</v>
      </c>
      <c r="P472" s="0" t="n">
        <v>0</v>
      </c>
      <c r="Q472" s="0" t="str">
        <f aca="false">IF(OR(AND(M472=0,P472&gt;0),AND(M472=1,P472&lt;=0)),"Yes","No")</f>
        <v>No</v>
      </c>
      <c r="R472" s="0" t="str">
        <f aca="false">IF(AND(M472=1,P472&gt;calc_helpers!$B$5),"Yes","No")</f>
        <v>No</v>
      </c>
      <c r="S472" s="0" t="n">
        <v>1</v>
      </c>
      <c r="T472" s="0" t="str">
        <f aca="false">IF(S472&gt;0,"Yes","No")</f>
        <v>Yes</v>
      </c>
      <c r="U472" s="0" t="n">
        <v>0</v>
      </c>
      <c r="W472" s="0" t="str">
        <f aca="false">IF(OR(AND(M472=1,ISBLANK(V472)),AND(M472=0,NOT(ISBLANK(V472)))),"Yes","No")</f>
        <v>No</v>
      </c>
      <c r="X472" s="0" t="n">
        <v>52.9</v>
      </c>
      <c r="Y472" s="3" t="s">
        <v>30</v>
      </c>
      <c r="Z472" s="0" t="str">
        <f aca="false">IF(M472=1,P472,"")</f>
        <v/>
      </c>
    </row>
    <row r="473" customFormat="false" ht="15" hidden="false" customHeight="false" outlineLevel="0" collapsed="false">
      <c r="A473" s="0" t="s">
        <v>516</v>
      </c>
      <c r="B473" s="2" t="n">
        <v>45723</v>
      </c>
      <c r="C473" s="3" t="s">
        <v>27</v>
      </c>
      <c r="D473" s="3" t="s">
        <v>34</v>
      </c>
      <c r="E473" s="3" t="s">
        <v>35</v>
      </c>
      <c r="F473" s="3" t="s">
        <v>30</v>
      </c>
      <c r="G473" s="3" t="s">
        <v>36</v>
      </c>
      <c r="H473" s="3" t="s">
        <v>30</v>
      </c>
      <c r="I473" s="3" t="s">
        <v>37</v>
      </c>
      <c r="J473" s="0" t="n">
        <v>0</v>
      </c>
      <c r="K473" s="0" t="n">
        <v>0</v>
      </c>
      <c r="L473" s="0" t="n">
        <v>0</v>
      </c>
      <c r="M473" s="0" t="n">
        <v>0</v>
      </c>
      <c r="N473" s="0" t="str">
        <f aca="false">IF(OR(NOT(OR(J473=0,J473=1)),NOT(OR(K473=0,K473=1)),NOT(OR(L473=0,L473=1)),NOT(OR(M473=0,M473=1)),NOT(OR(U473=0,U473=1))),"Yes","No")</f>
        <v>No</v>
      </c>
      <c r="O473" s="0" t="str">
        <f aca="false">IF(OR(AND(M473=1,L473=0),AND(L473=1,K473=0),AND(K473=1,J473=0)),"Yes","No")</f>
        <v>No</v>
      </c>
      <c r="P473" s="0" t="n">
        <v>0</v>
      </c>
      <c r="Q473" s="0" t="str">
        <f aca="false">IF(OR(AND(M473=0,P473&gt;0),AND(M473=1,P473&lt;=0)),"Yes","No")</f>
        <v>No</v>
      </c>
      <c r="R473" s="0" t="str">
        <f aca="false">IF(AND(M473=1,P473&gt;calc_helpers!$B$5),"Yes","No")</f>
        <v>No</v>
      </c>
      <c r="S473" s="0" t="n">
        <v>0</v>
      </c>
      <c r="T473" s="0" t="str">
        <f aca="false">IF(S473&gt;0,"Yes","No")</f>
        <v>No</v>
      </c>
      <c r="U473" s="0" t="n">
        <v>0</v>
      </c>
      <c r="W473" s="0" t="str">
        <f aca="false">IF(OR(AND(M473=1,ISBLANK(V473)),AND(M473=0,NOT(ISBLANK(V473)))),"Yes","No")</f>
        <v>No</v>
      </c>
      <c r="X473" s="0" t="n">
        <v>67.8</v>
      </c>
      <c r="Y473" s="3" t="s">
        <v>30</v>
      </c>
      <c r="Z473" s="0" t="str">
        <f aca="false">IF(M473=1,P473,"")</f>
        <v/>
      </c>
    </row>
    <row r="474" customFormat="false" ht="15" hidden="false" customHeight="false" outlineLevel="0" collapsed="false">
      <c r="A474" s="0" t="s">
        <v>517</v>
      </c>
      <c r="B474" s="2" t="n">
        <v>45770</v>
      </c>
      <c r="C474" s="3" t="s">
        <v>27</v>
      </c>
      <c r="D474" s="3" t="s">
        <v>43</v>
      </c>
      <c r="E474" s="3" t="s">
        <v>35</v>
      </c>
      <c r="F474" s="3" t="s">
        <v>30</v>
      </c>
      <c r="G474" s="3" t="s">
        <v>52</v>
      </c>
      <c r="H474" s="3" t="s">
        <v>30</v>
      </c>
      <c r="I474" s="3" t="s">
        <v>37</v>
      </c>
      <c r="J474" s="0" t="n">
        <v>0</v>
      </c>
      <c r="K474" s="0" t="n">
        <v>0</v>
      </c>
      <c r="L474" s="0" t="n">
        <v>0</v>
      </c>
      <c r="M474" s="0" t="n">
        <v>0</v>
      </c>
      <c r="N474" s="0" t="str">
        <f aca="false">IF(OR(NOT(OR(J474=0,J474=1)),NOT(OR(K474=0,K474=1)),NOT(OR(L474=0,L474=1)),NOT(OR(M474=0,M474=1)),NOT(OR(U474=0,U474=1))),"Yes","No")</f>
        <v>No</v>
      </c>
      <c r="O474" s="0" t="str">
        <f aca="false">IF(OR(AND(M474=1,L474=0),AND(L474=1,K474=0),AND(K474=1,J474=0)),"Yes","No")</f>
        <v>No</v>
      </c>
      <c r="P474" s="0" t="n">
        <v>0</v>
      </c>
      <c r="Q474" s="0" t="str">
        <f aca="false">IF(OR(AND(M474=0,P474&gt;0),AND(M474=1,P474&lt;=0)),"Yes","No")</f>
        <v>No</v>
      </c>
      <c r="R474" s="0" t="str">
        <f aca="false">IF(AND(M474=1,P474&gt;calc_helpers!$B$5),"Yes","No")</f>
        <v>No</v>
      </c>
      <c r="S474" s="0" t="n">
        <v>0</v>
      </c>
      <c r="T474" s="0" t="str">
        <f aca="false">IF(S474&gt;0,"Yes","No")</f>
        <v>No</v>
      </c>
      <c r="U474" s="0" t="n">
        <v>0</v>
      </c>
      <c r="W474" s="0" t="str">
        <f aca="false">IF(OR(AND(M474=1,ISBLANK(V474)),AND(M474=0,NOT(ISBLANK(V474)))),"Yes","No")</f>
        <v>No</v>
      </c>
      <c r="X474" s="0" t="n">
        <v>48.7</v>
      </c>
      <c r="Y474" s="3" t="s">
        <v>30</v>
      </c>
      <c r="Z474" s="0" t="str">
        <f aca="false">IF(M474=1,P474,"")</f>
        <v/>
      </c>
    </row>
    <row r="475" customFormat="false" ht="15" hidden="false" customHeight="false" outlineLevel="0" collapsed="false">
      <c r="A475" s="0" t="s">
        <v>518</v>
      </c>
      <c r="B475" s="2" t="n">
        <v>45724</v>
      </c>
      <c r="C475" s="3" t="s">
        <v>27</v>
      </c>
      <c r="D475" s="3" t="s">
        <v>39</v>
      </c>
      <c r="E475" s="3" t="s">
        <v>35</v>
      </c>
      <c r="F475" s="3" t="s">
        <v>30</v>
      </c>
      <c r="G475" s="3" t="s">
        <v>36</v>
      </c>
      <c r="H475" s="3" t="s">
        <v>30</v>
      </c>
      <c r="I475" s="3" t="s">
        <v>32</v>
      </c>
      <c r="J475" s="0" t="n">
        <v>0</v>
      </c>
      <c r="K475" s="0" t="n">
        <v>0</v>
      </c>
      <c r="L475" s="0" t="n">
        <v>0</v>
      </c>
      <c r="M475" s="0" t="n">
        <v>0</v>
      </c>
      <c r="N475" s="0" t="str">
        <f aca="false">IF(OR(NOT(OR(J475=0,J475=1)),NOT(OR(K475=0,K475=1)),NOT(OR(L475=0,L475=1)),NOT(OR(M475=0,M475=1)),NOT(OR(U475=0,U475=1))),"Yes","No")</f>
        <v>No</v>
      </c>
      <c r="O475" s="0" t="str">
        <f aca="false">IF(OR(AND(M475=1,L475=0),AND(L475=1,K475=0),AND(K475=1,J475=0)),"Yes","No")</f>
        <v>No</v>
      </c>
      <c r="P475" s="0" t="n">
        <v>0</v>
      </c>
      <c r="Q475" s="0" t="str">
        <f aca="false">IF(OR(AND(M475=0,P475&gt;0),AND(M475=1,P475&lt;=0)),"Yes","No")</f>
        <v>No</v>
      </c>
      <c r="R475" s="0" t="str">
        <f aca="false">IF(AND(M475=1,P475&gt;calc_helpers!$B$5),"Yes","No")</f>
        <v>No</v>
      </c>
      <c r="S475" s="0" t="n">
        <v>0</v>
      </c>
      <c r="T475" s="0" t="str">
        <f aca="false">IF(S475&gt;0,"Yes","No")</f>
        <v>No</v>
      </c>
      <c r="U475" s="0" t="n">
        <v>0</v>
      </c>
      <c r="W475" s="0" t="str">
        <f aca="false">IF(OR(AND(M475=1,ISBLANK(V475)),AND(M475=0,NOT(ISBLANK(V475)))),"Yes","No")</f>
        <v>No</v>
      </c>
      <c r="X475" s="0" t="n">
        <v>59</v>
      </c>
      <c r="Y475" s="3" t="s">
        <v>30</v>
      </c>
      <c r="Z475" s="0" t="str">
        <f aca="false">IF(M475=1,P475,"")</f>
        <v/>
      </c>
    </row>
    <row r="476" customFormat="false" ht="15" hidden="false" customHeight="false" outlineLevel="0" collapsed="false">
      <c r="A476" s="0" t="s">
        <v>519</v>
      </c>
      <c r="B476" s="2" t="n">
        <v>45702</v>
      </c>
      <c r="C476" s="3" t="s">
        <v>27</v>
      </c>
      <c r="D476" s="3" t="s">
        <v>43</v>
      </c>
      <c r="E476" s="3" t="s">
        <v>35</v>
      </c>
      <c r="F476" s="3" t="s">
        <v>30</v>
      </c>
      <c r="G476" s="3" t="s">
        <v>50</v>
      </c>
      <c r="H476" s="3" t="s">
        <v>30</v>
      </c>
      <c r="I476" s="3" t="s">
        <v>37</v>
      </c>
      <c r="J476" s="0" t="n">
        <v>0</v>
      </c>
      <c r="K476" s="0" t="n">
        <v>0</v>
      </c>
      <c r="L476" s="0" t="n">
        <v>0</v>
      </c>
      <c r="M476" s="0" t="n">
        <v>0</v>
      </c>
      <c r="N476" s="0" t="str">
        <f aca="false">IF(OR(NOT(OR(J476=0,J476=1)),NOT(OR(K476=0,K476=1)),NOT(OR(L476=0,L476=1)),NOT(OR(M476=0,M476=1)),NOT(OR(U476=0,U476=1))),"Yes","No")</f>
        <v>No</v>
      </c>
      <c r="O476" s="0" t="str">
        <f aca="false">IF(OR(AND(M476=1,L476=0),AND(L476=1,K476=0),AND(K476=1,J476=0)),"Yes","No")</f>
        <v>No</v>
      </c>
      <c r="P476" s="0" t="n">
        <v>0</v>
      </c>
      <c r="Q476" s="0" t="str">
        <f aca="false">IF(OR(AND(M476=0,P476&gt;0),AND(M476=1,P476&lt;=0)),"Yes","No")</f>
        <v>No</v>
      </c>
      <c r="R476" s="0" t="str">
        <f aca="false">IF(AND(M476=1,P476&gt;calc_helpers!$B$5),"Yes","No")</f>
        <v>No</v>
      </c>
      <c r="S476" s="0" t="n">
        <v>0</v>
      </c>
      <c r="T476" s="0" t="str">
        <f aca="false">IF(S476&gt;0,"Yes","No")</f>
        <v>No</v>
      </c>
      <c r="U476" s="0" t="n">
        <v>0</v>
      </c>
      <c r="W476" s="0" t="str">
        <f aca="false">IF(OR(AND(M476=1,ISBLANK(V476)),AND(M476=0,NOT(ISBLANK(V476)))),"Yes","No")</f>
        <v>No</v>
      </c>
      <c r="X476" s="0" t="n">
        <v>63.2</v>
      </c>
      <c r="Y476" s="3" t="s">
        <v>30</v>
      </c>
      <c r="Z476" s="0" t="str">
        <f aca="false">IF(M476=1,P476,"")</f>
        <v/>
      </c>
    </row>
    <row r="477" customFormat="false" ht="15" hidden="false" customHeight="false" outlineLevel="0" collapsed="false">
      <c r="A477" s="0" t="s">
        <v>520</v>
      </c>
      <c r="B477" s="2" t="n">
        <v>45794</v>
      </c>
      <c r="C477" s="3" t="s">
        <v>27</v>
      </c>
      <c r="D477" s="3" t="s">
        <v>34</v>
      </c>
      <c r="E477" s="3" t="s">
        <v>35</v>
      </c>
      <c r="F477" s="3" t="s">
        <v>30</v>
      </c>
      <c r="G477" s="3" t="s">
        <v>50</v>
      </c>
      <c r="H477" s="3" t="s">
        <v>30</v>
      </c>
      <c r="I477" s="3" t="s">
        <v>32</v>
      </c>
      <c r="J477" s="0" t="n">
        <v>1</v>
      </c>
      <c r="K477" s="0" t="n">
        <v>0</v>
      </c>
      <c r="L477" s="0" t="n">
        <v>0</v>
      </c>
      <c r="M477" s="0" t="n">
        <v>0</v>
      </c>
      <c r="N477" s="0" t="str">
        <f aca="false">IF(OR(NOT(OR(J477=0,J477=1)),NOT(OR(K477=0,K477=1)),NOT(OR(L477=0,L477=1)),NOT(OR(M477=0,M477=1)),NOT(OR(U477=0,U477=1))),"Yes","No")</f>
        <v>No</v>
      </c>
      <c r="O477" s="0" t="str">
        <f aca="false">IF(OR(AND(M477=1,L477=0),AND(L477=1,K477=0),AND(K477=1,J477=0)),"Yes","No")</f>
        <v>No</v>
      </c>
      <c r="P477" s="0" t="n">
        <v>0</v>
      </c>
      <c r="Q477" s="0" t="str">
        <f aca="false">IF(OR(AND(M477=0,P477&gt;0),AND(M477=1,P477&lt;=0)),"Yes","No")</f>
        <v>No</v>
      </c>
      <c r="R477" s="0" t="str">
        <f aca="false">IF(AND(M477=1,P477&gt;calc_helpers!$B$5),"Yes","No")</f>
        <v>No</v>
      </c>
      <c r="S477" s="0" t="n">
        <v>0</v>
      </c>
      <c r="T477" s="0" t="str">
        <f aca="false">IF(S477&gt;0,"Yes","No")</f>
        <v>No</v>
      </c>
      <c r="U477" s="0" t="n">
        <v>0</v>
      </c>
      <c r="W477" s="0" t="str">
        <f aca="false">IF(OR(AND(M477=1,ISBLANK(V477)),AND(M477=0,NOT(ISBLANK(V477)))),"Yes","No")</f>
        <v>No</v>
      </c>
      <c r="X477" s="0" t="n">
        <v>68.7</v>
      </c>
      <c r="Y477" s="3" t="s">
        <v>30</v>
      </c>
      <c r="Z477" s="0" t="str">
        <f aca="false">IF(M477=1,P477,"")</f>
        <v/>
      </c>
    </row>
    <row r="478" customFormat="false" ht="15" hidden="false" customHeight="false" outlineLevel="0" collapsed="false">
      <c r="A478" s="0" t="s">
        <v>521</v>
      </c>
      <c r="B478" s="2" t="n">
        <v>45772</v>
      </c>
      <c r="C478" s="3" t="s">
        <v>27</v>
      </c>
      <c r="D478" s="3" t="s">
        <v>43</v>
      </c>
      <c r="E478" s="3" t="s">
        <v>35</v>
      </c>
      <c r="F478" s="3" t="s">
        <v>30</v>
      </c>
      <c r="G478" s="3" t="s">
        <v>50</v>
      </c>
      <c r="H478" s="3" t="s">
        <v>30</v>
      </c>
      <c r="I478" s="3" t="s">
        <v>37</v>
      </c>
      <c r="J478" s="0" t="n">
        <v>0</v>
      </c>
      <c r="K478" s="0" t="n">
        <v>0</v>
      </c>
      <c r="L478" s="0" t="n">
        <v>0</v>
      </c>
      <c r="M478" s="0" t="n">
        <v>0</v>
      </c>
      <c r="N478" s="0" t="str">
        <f aca="false">IF(OR(NOT(OR(J478=0,J478=1)),NOT(OR(K478=0,K478=1)),NOT(OR(L478=0,L478=1)),NOT(OR(M478=0,M478=1)),NOT(OR(U478=0,U478=1))),"Yes","No")</f>
        <v>No</v>
      </c>
      <c r="O478" s="0" t="str">
        <f aca="false">IF(OR(AND(M478=1,L478=0),AND(L478=1,K478=0),AND(K478=1,J478=0)),"Yes","No")</f>
        <v>No</v>
      </c>
      <c r="P478" s="0" t="n">
        <v>0</v>
      </c>
      <c r="Q478" s="0" t="str">
        <f aca="false">IF(OR(AND(M478=0,P478&gt;0),AND(M478=1,P478&lt;=0)),"Yes","No")</f>
        <v>No</v>
      </c>
      <c r="R478" s="0" t="str">
        <f aca="false">IF(AND(M478=1,P478&gt;calc_helpers!$B$5),"Yes","No")</f>
        <v>No</v>
      </c>
      <c r="S478" s="0" t="n">
        <v>0</v>
      </c>
      <c r="T478" s="0" t="str">
        <f aca="false">IF(S478&gt;0,"Yes","No")</f>
        <v>No</v>
      </c>
      <c r="U478" s="0" t="n">
        <v>0</v>
      </c>
      <c r="W478" s="0" t="str">
        <f aca="false">IF(OR(AND(M478=1,ISBLANK(V478)),AND(M478=0,NOT(ISBLANK(V478)))),"Yes","No")</f>
        <v>No</v>
      </c>
      <c r="X478" s="0" t="n">
        <v>52.1</v>
      </c>
      <c r="Y478" s="3" t="s">
        <v>30</v>
      </c>
      <c r="Z478" s="0" t="str">
        <f aca="false">IF(M478=1,P478,"")</f>
        <v/>
      </c>
    </row>
    <row r="479" customFormat="false" ht="15" hidden="false" customHeight="false" outlineLevel="0" collapsed="false">
      <c r="A479" s="0" t="s">
        <v>522</v>
      </c>
      <c r="B479" s="2" t="n">
        <v>45720</v>
      </c>
      <c r="C479" s="3" t="s">
        <v>27</v>
      </c>
      <c r="D479" s="3" t="s">
        <v>43</v>
      </c>
      <c r="E479" s="3" t="s">
        <v>29</v>
      </c>
      <c r="F479" s="3" t="s">
        <v>30</v>
      </c>
      <c r="G479" s="3" t="s">
        <v>52</v>
      </c>
      <c r="H479" s="3" t="s">
        <v>30</v>
      </c>
      <c r="I479" s="3" t="s">
        <v>32</v>
      </c>
      <c r="J479" s="0" t="n">
        <v>0</v>
      </c>
      <c r="K479" s="0" t="n">
        <v>0</v>
      </c>
      <c r="L479" s="0" t="n">
        <v>0</v>
      </c>
      <c r="M479" s="0" t="n">
        <v>0</v>
      </c>
      <c r="N479" s="0" t="str">
        <f aca="false">IF(OR(NOT(OR(J479=0,J479=1)),NOT(OR(K479=0,K479=1)),NOT(OR(L479=0,L479=1)),NOT(OR(M479=0,M479=1)),NOT(OR(U479=0,U479=1))),"Yes","No")</f>
        <v>No</v>
      </c>
      <c r="O479" s="0" t="str">
        <f aca="false">IF(OR(AND(M479=1,L479=0),AND(L479=1,K479=0),AND(K479=1,J479=0)),"Yes","No")</f>
        <v>No</v>
      </c>
      <c r="P479" s="0" t="n">
        <v>0</v>
      </c>
      <c r="Q479" s="0" t="str">
        <f aca="false">IF(OR(AND(M479=0,P479&gt;0),AND(M479=1,P479&lt;=0)),"Yes","No")</f>
        <v>No</v>
      </c>
      <c r="R479" s="0" t="str">
        <f aca="false">IF(AND(M479=1,P479&gt;calc_helpers!$B$5),"Yes","No")</f>
        <v>No</v>
      </c>
      <c r="S479" s="0" t="n">
        <v>0</v>
      </c>
      <c r="T479" s="0" t="str">
        <f aca="false">IF(S479&gt;0,"Yes","No")</f>
        <v>No</v>
      </c>
      <c r="U479" s="0" t="n">
        <v>0</v>
      </c>
      <c r="W479" s="0" t="str">
        <f aca="false">IF(OR(AND(M479=1,ISBLANK(V479)),AND(M479=0,NOT(ISBLANK(V479)))),"Yes","No")</f>
        <v>No</v>
      </c>
      <c r="X479" s="0" t="n">
        <v>56.5</v>
      </c>
      <c r="Y479" s="3" t="s">
        <v>30</v>
      </c>
      <c r="Z479" s="0" t="str">
        <f aca="false">IF(M479=1,P479,"")</f>
        <v/>
      </c>
    </row>
    <row r="480" customFormat="false" ht="15" hidden="false" customHeight="false" outlineLevel="0" collapsed="false">
      <c r="A480" s="0" t="s">
        <v>523</v>
      </c>
      <c r="B480" s="2" t="n">
        <v>45734</v>
      </c>
      <c r="C480" s="3" t="s">
        <v>27</v>
      </c>
      <c r="D480" s="3" t="s">
        <v>43</v>
      </c>
      <c r="E480" s="3" t="s">
        <v>35</v>
      </c>
      <c r="F480" s="3" t="s">
        <v>30</v>
      </c>
      <c r="G480" s="3" t="s">
        <v>36</v>
      </c>
      <c r="H480" s="3" t="s">
        <v>30</v>
      </c>
      <c r="I480" s="3" t="s">
        <v>37</v>
      </c>
      <c r="J480" s="0" t="n">
        <v>1</v>
      </c>
      <c r="K480" s="0" t="n">
        <v>0</v>
      </c>
      <c r="L480" s="0" t="n">
        <v>0</v>
      </c>
      <c r="M480" s="0" t="n">
        <v>0</v>
      </c>
      <c r="N480" s="0" t="str">
        <f aca="false">IF(OR(NOT(OR(J480=0,J480=1)),NOT(OR(K480=0,K480=1)),NOT(OR(L480=0,L480=1)),NOT(OR(M480=0,M480=1)),NOT(OR(U480=0,U480=1))),"Yes","No")</f>
        <v>No</v>
      </c>
      <c r="O480" s="0" t="str">
        <f aca="false">IF(OR(AND(M480=1,L480=0),AND(L480=1,K480=0),AND(K480=1,J480=0)),"Yes","No")</f>
        <v>No</v>
      </c>
      <c r="P480" s="0" t="n">
        <v>0</v>
      </c>
      <c r="Q480" s="0" t="str">
        <f aca="false">IF(OR(AND(M480=0,P480&gt;0),AND(M480=1,P480&lt;=0)),"Yes","No")</f>
        <v>No</v>
      </c>
      <c r="R480" s="0" t="str">
        <f aca="false">IF(AND(M480=1,P480&gt;calc_helpers!$B$5),"Yes","No")</f>
        <v>No</v>
      </c>
      <c r="S480" s="0" t="n">
        <v>0</v>
      </c>
      <c r="T480" s="0" t="str">
        <f aca="false">IF(S480&gt;0,"Yes","No")</f>
        <v>No</v>
      </c>
      <c r="U480" s="0" t="n">
        <v>0</v>
      </c>
      <c r="W480" s="0" t="str">
        <f aca="false">IF(OR(AND(M480=1,ISBLANK(V480)),AND(M480=0,NOT(ISBLANK(V480)))),"Yes","No")</f>
        <v>No</v>
      </c>
      <c r="X480" s="0" t="n">
        <v>64.4</v>
      </c>
      <c r="Y480" s="3" t="s">
        <v>30</v>
      </c>
      <c r="Z480" s="0" t="str">
        <f aca="false">IF(M480=1,P480,"")</f>
        <v/>
      </c>
    </row>
    <row r="481" customFormat="false" ht="15" hidden="false" customHeight="false" outlineLevel="0" collapsed="false">
      <c r="A481" s="0" t="s">
        <v>524</v>
      </c>
      <c r="B481" s="2" t="n">
        <v>45687</v>
      </c>
      <c r="C481" s="3" t="s">
        <v>27</v>
      </c>
      <c r="D481" s="3" t="s">
        <v>34</v>
      </c>
      <c r="E481" s="3" t="s">
        <v>35</v>
      </c>
      <c r="F481" s="3" t="s">
        <v>30</v>
      </c>
      <c r="G481" s="3" t="s">
        <v>40</v>
      </c>
      <c r="H481" s="3" t="s">
        <v>30</v>
      </c>
      <c r="I481" s="3" t="s">
        <v>41</v>
      </c>
      <c r="J481" s="0" t="n">
        <v>1</v>
      </c>
      <c r="K481" s="0" t="n">
        <v>0</v>
      </c>
      <c r="L481" s="0" t="n">
        <v>0</v>
      </c>
      <c r="M481" s="0" t="n">
        <v>0</v>
      </c>
      <c r="N481" s="0" t="str">
        <f aca="false">IF(OR(NOT(OR(J481=0,J481=1)),NOT(OR(K481=0,K481=1)),NOT(OR(L481=0,L481=1)),NOT(OR(M481=0,M481=1)),NOT(OR(U481=0,U481=1))),"Yes","No")</f>
        <v>No</v>
      </c>
      <c r="O481" s="0" t="str">
        <f aca="false">IF(OR(AND(M481=1,L481=0),AND(L481=1,K481=0),AND(K481=1,J481=0)),"Yes","No")</f>
        <v>No</v>
      </c>
      <c r="P481" s="0" t="n">
        <v>0</v>
      </c>
      <c r="Q481" s="0" t="str">
        <f aca="false">IF(OR(AND(M481=0,P481&gt;0),AND(M481=1,P481&lt;=0)),"Yes","No")</f>
        <v>No</v>
      </c>
      <c r="R481" s="0" t="str">
        <f aca="false">IF(AND(M481=1,P481&gt;calc_helpers!$B$5),"Yes","No")</f>
        <v>No</v>
      </c>
      <c r="S481" s="0" t="n">
        <v>0</v>
      </c>
      <c r="T481" s="0" t="str">
        <f aca="false">IF(S481&gt;0,"Yes","No")</f>
        <v>No</v>
      </c>
      <c r="U481" s="0" t="n">
        <v>0</v>
      </c>
      <c r="W481" s="0" t="str">
        <f aca="false">IF(OR(AND(M481=1,ISBLANK(V481)),AND(M481=0,NOT(ISBLANK(V481)))),"Yes","No")</f>
        <v>No</v>
      </c>
      <c r="X481" s="0" t="n">
        <v>65.9</v>
      </c>
      <c r="Y481" s="3" t="s">
        <v>30</v>
      </c>
      <c r="Z481" s="0" t="str">
        <f aca="false">IF(M481=1,P481,"")</f>
        <v/>
      </c>
    </row>
    <row r="482" customFormat="false" ht="15" hidden="false" customHeight="false" outlineLevel="0" collapsed="false">
      <c r="A482" s="0" t="s">
        <v>525</v>
      </c>
      <c r="B482" s="2" t="n">
        <v>45797</v>
      </c>
      <c r="C482" s="3" t="s">
        <v>27</v>
      </c>
      <c r="D482" s="3" t="s">
        <v>34</v>
      </c>
      <c r="E482" s="3" t="s">
        <v>45</v>
      </c>
      <c r="F482" s="3" t="s">
        <v>30</v>
      </c>
      <c r="G482" s="3" t="s">
        <v>50</v>
      </c>
      <c r="H482" s="3" t="s">
        <v>30</v>
      </c>
      <c r="I482" s="3" t="s">
        <v>37</v>
      </c>
      <c r="J482" s="0" t="n">
        <v>1</v>
      </c>
      <c r="K482" s="0" t="n">
        <v>1</v>
      </c>
      <c r="L482" s="0" t="n">
        <v>1</v>
      </c>
      <c r="M482" s="0" t="n">
        <v>0</v>
      </c>
      <c r="N482" s="0" t="str">
        <f aca="false">IF(OR(NOT(OR(J482=0,J482=1)),NOT(OR(K482=0,K482=1)),NOT(OR(L482=0,L482=1)),NOT(OR(M482=0,M482=1)),NOT(OR(U482=0,U482=1))),"Yes","No")</f>
        <v>No</v>
      </c>
      <c r="O482" s="0" t="str">
        <f aca="false">IF(OR(AND(M482=1,L482=0),AND(L482=1,K482=0),AND(K482=1,J482=0)),"Yes","No")</f>
        <v>No</v>
      </c>
      <c r="P482" s="0" t="n">
        <v>0</v>
      </c>
      <c r="Q482" s="0" t="str">
        <f aca="false">IF(OR(AND(M482=0,P482&gt;0),AND(M482=1,P482&lt;=0)),"Yes","No")</f>
        <v>No</v>
      </c>
      <c r="R482" s="0" t="str">
        <f aca="false">IF(AND(M482=1,P482&gt;calc_helpers!$B$5),"Yes","No")</f>
        <v>No</v>
      </c>
      <c r="S482" s="0" t="n">
        <v>0</v>
      </c>
      <c r="T482" s="0" t="str">
        <f aca="false">IF(S482&gt;0,"Yes","No")</f>
        <v>No</v>
      </c>
      <c r="U482" s="0" t="n">
        <v>0</v>
      </c>
      <c r="W482" s="0" t="str">
        <f aca="false">IF(OR(AND(M482=1,ISBLANK(V482)),AND(M482=0,NOT(ISBLANK(V482)))),"Yes","No")</f>
        <v>No</v>
      </c>
      <c r="X482" s="0" t="n">
        <v>100</v>
      </c>
      <c r="Y482" s="3" t="s">
        <v>30</v>
      </c>
      <c r="Z482" s="0" t="str">
        <f aca="false">IF(M482=1,P482,"")</f>
        <v/>
      </c>
    </row>
    <row r="483" customFormat="false" ht="15" hidden="false" customHeight="false" outlineLevel="0" collapsed="false">
      <c r="A483" s="0" t="s">
        <v>526</v>
      </c>
      <c r="B483" s="2" t="n">
        <v>45701</v>
      </c>
      <c r="C483" s="3" t="s">
        <v>27</v>
      </c>
      <c r="D483" s="3" t="s">
        <v>28</v>
      </c>
      <c r="E483" s="3" t="s">
        <v>167</v>
      </c>
      <c r="F483" s="3" t="s">
        <v>168</v>
      </c>
      <c r="G483" s="3" t="s">
        <v>36</v>
      </c>
      <c r="H483" s="3" t="s">
        <v>30</v>
      </c>
      <c r="I483" s="3" t="s">
        <v>32</v>
      </c>
      <c r="J483" s="0" t="n">
        <v>1</v>
      </c>
      <c r="K483" s="0" t="n">
        <v>1</v>
      </c>
      <c r="L483" s="0" t="n">
        <v>1</v>
      </c>
      <c r="M483" s="0" t="n">
        <v>0</v>
      </c>
      <c r="N483" s="0" t="str">
        <f aca="false">IF(OR(NOT(OR(J483=0,J483=1)),NOT(OR(K483=0,K483=1)),NOT(OR(L483=0,L483=1)),NOT(OR(M483=0,M483=1)),NOT(OR(U483=0,U483=1))),"Yes","No")</f>
        <v>No</v>
      </c>
      <c r="O483" s="0" t="str">
        <f aca="false">IF(OR(AND(M483=1,L483=0),AND(L483=1,K483=0),AND(K483=1,J483=0)),"Yes","No")</f>
        <v>No</v>
      </c>
      <c r="P483" s="0" t="n">
        <v>0</v>
      </c>
      <c r="Q483" s="0" t="str">
        <f aca="false">IF(OR(AND(M483=0,P483&gt;0),AND(M483=1,P483&lt;=0)),"Yes","No")</f>
        <v>No</v>
      </c>
      <c r="R483" s="0" t="str">
        <f aca="false">IF(AND(M483=1,P483&gt;calc_helpers!$B$5),"Yes","No")</f>
        <v>No</v>
      </c>
      <c r="S483" s="0" t="n">
        <v>0</v>
      </c>
      <c r="T483" s="0" t="str">
        <f aca="false">IF(S483&gt;0,"Yes","No")</f>
        <v>No</v>
      </c>
      <c r="U483" s="0" t="n">
        <v>0</v>
      </c>
      <c r="W483" s="0" t="str">
        <f aca="false">IF(OR(AND(M483=1,ISBLANK(V483)),AND(M483=0,NOT(ISBLANK(V483)))),"Yes","No")</f>
        <v>No</v>
      </c>
      <c r="X483" s="0" t="n">
        <v>50.4</v>
      </c>
      <c r="Y483" s="3" t="s">
        <v>30</v>
      </c>
      <c r="Z483" s="0" t="str">
        <f aca="false">IF(M483=1,P483,"")</f>
        <v/>
      </c>
    </row>
    <row r="484" customFormat="false" ht="15" hidden="false" customHeight="false" outlineLevel="0" collapsed="false">
      <c r="A484" s="0" t="s">
        <v>527</v>
      </c>
      <c r="B484" s="2" t="n">
        <v>45759</v>
      </c>
      <c r="C484" s="3" t="s">
        <v>27</v>
      </c>
      <c r="D484" s="3" t="s">
        <v>34</v>
      </c>
      <c r="E484" s="3" t="s">
        <v>29</v>
      </c>
      <c r="F484" s="3" t="s">
        <v>30</v>
      </c>
      <c r="G484" s="3" t="s">
        <v>36</v>
      </c>
      <c r="H484" s="3" t="s">
        <v>30</v>
      </c>
      <c r="I484" s="3" t="s">
        <v>32</v>
      </c>
      <c r="J484" s="0" t="n">
        <v>0</v>
      </c>
      <c r="K484" s="0" t="n">
        <v>0</v>
      </c>
      <c r="L484" s="0" t="n">
        <v>0</v>
      </c>
      <c r="M484" s="0" t="n">
        <v>0</v>
      </c>
      <c r="N484" s="0" t="str">
        <f aca="false">IF(OR(NOT(OR(J484=0,J484=1)),NOT(OR(K484=0,K484=1)),NOT(OR(L484=0,L484=1)),NOT(OR(M484=0,M484=1)),NOT(OR(U484=0,U484=1))),"Yes","No")</f>
        <v>No</v>
      </c>
      <c r="O484" s="0" t="str">
        <f aca="false">IF(OR(AND(M484=1,L484=0),AND(L484=1,K484=0),AND(K484=1,J484=0)),"Yes","No")</f>
        <v>No</v>
      </c>
      <c r="P484" s="0" t="n">
        <v>0</v>
      </c>
      <c r="Q484" s="0" t="str">
        <f aca="false">IF(OR(AND(M484=0,P484&gt;0),AND(M484=1,P484&lt;=0)),"Yes","No")</f>
        <v>No</v>
      </c>
      <c r="R484" s="0" t="str">
        <f aca="false">IF(AND(M484=1,P484&gt;calc_helpers!$B$5),"Yes","No")</f>
        <v>No</v>
      </c>
      <c r="S484" s="0" t="n">
        <v>0</v>
      </c>
      <c r="T484" s="0" t="str">
        <f aca="false">IF(S484&gt;0,"Yes","No")</f>
        <v>No</v>
      </c>
      <c r="U484" s="0" t="n">
        <v>0</v>
      </c>
      <c r="W484" s="0" t="str">
        <f aca="false">IF(OR(AND(M484=1,ISBLANK(V484)),AND(M484=0,NOT(ISBLANK(V484)))),"Yes","No")</f>
        <v>No</v>
      </c>
      <c r="X484" s="0" t="n">
        <v>41.5</v>
      </c>
      <c r="Y484" s="3" t="s">
        <v>30</v>
      </c>
      <c r="Z484" s="0" t="str">
        <f aca="false">IF(M484=1,P484,"")</f>
        <v/>
      </c>
    </row>
    <row r="485" customFormat="false" ht="15" hidden="false" customHeight="false" outlineLevel="0" collapsed="false">
      <c r="A485" s="0" t="s">
        <v>528</v>
      </c>
      <c r="B485" s="2" t="n">
        <v>45754</v>
      </c>
      <c r="C485" s="3" t="s">
        <v>27</v>
      </c>
      <c r="D485" s="3" t="s">
        <v>28</v>
      </c>
      <c r="E485" s="3" t="s">
        <v>35</v>
      </c>
      <c r="F485" s="3" t="s">
        <v>30</v>
      </c>
      <c r="G485" s="3" t="s">
        <v>31</v>
      </c>
      <c r="H485" s="3" t="s">
        <v>30</v>
      </c>
      <c r="I485" s="3" t="s">
        <v>37</v>
      </c>
      <c r="J485" s="0" t="n">
        <v>0</v>
      </c>
      <c r="K485" s="0" t="n">
        <v>0</v>
      </c>
      <c r="L485" s="0" t="n">
        <v>0</v>
      </c>
      <c r="M485" s="0" t="n">
        <v>0</v>
      </c>
      <c r="N485" s="0" t="str">
        <f aca="false">IF(OR(NOT(OR(J485=0,J485=1)),NOT(OR(K485=0,K485=1)),NOT(OR(L485=0,L485=1)),NOT(OR(M485=0,M485=1)),NOT(OR(U485=0,U485=1))),"Yes","No")</f>
        <v>No</v>
      </c>
      <c r="O485" s="0" t="str">
        <f aca="false">IF(OR(AND(M485=1,L485=0),AND(L485=1,K485=0),AND(K485=1,J485=0)),"Yes","No")</f>
        <v>No</v>
      </c>
      <c r="P485" s="0" t="n">
        <v>0</v>
      </c>
      <c r="Q485" s="0" t="str">
        <f aca="false">IF(OR(AND(M485=0,P485&gt;0),AND(M485=1,P485&lt;=0)),"Yes","No")</f>
        <v>No</v>
      </c>
      <c r="R485" s="0" t="str">
        <f aca="false">IF(AND(M485=1,P485&gt;calc_helpers!$B$5),"Yes","No")</f>
        <v>No</v>
      </c>
      <c r="S485" s="0" t="n">
        <v>0</v>
      </c>
      <c r="T485" s="0" t="str">
        <f aca="false">IF(S485&gt;0,"Yes","No")</f>
        <v>No</v>
      </c>
      <c r="U485" s="0" t="n">
        <v>0</v>
      </c>
      <c r="W485" s="0" t="str">
        <f aca="false">IF(OR(AND(M485=1,ISBLANK(V485)),AND(M485=0,NOT(ISBLANK(V485)))),"Yes","No")</f>
        <v>No</v>
      </c>
      <c r="X485" s="0" t="n">
        <v>86.2</v>
      </c>
      <c r="Y485" s="3" t="s">
        <v>30</v>
      </c>
      <c r="Z485" s="0" t="str">
        <f aca="false">IF(M485=1,P485,"")</f>
        <v/>
      </c>
    </row>
    <row r="486" customFormat="false" ht="15" hidden="false" customHeight="false" outlineLevel="0" collapsed="false">
      <c r="A486" s="0" t="s">
        <v>529</v>
      </c>
      <c r="B486" s="2" t="n">
        <v>45728</v>
      </c>
      <c r="C486" s="3" t="s">
        <v>27</v>
      </c>
      <c r="D486" s="3" t="s">
        <v>28</v>
      </c>
      <c r="E486" s="3" t="s">
        <v>29</v>
      </c>
      <c r="F486" s="3" t="s">
        <v>30</v>
      </c>
      <c r="G486" s="3" t="s">
        <v>52</v>
      </c>
      <c r="H486" s="3" t="s">
        <v>30</v>
      </c>
      <c r="I486" s="3" t="s">
        <v>37</v>
      </c>
      <c r="J486" s="0" t="n">
        <v>1</v>
      </c>
      <c r="K486" s="0" t="n">
        <v>1</v>
      </c>
      <c r="L486" s="0" t="n">
        <v>1</v>
      </c>
      <c r="M486" s="0" t="n">
        <v>0</v>
      </c>
      <c r="N486" s="0" t="str">
        <f aca="false">IF(OR(NOT(OR(J486=0,J486=1)),NOT(OR(K486=0,K486=1)),NOT(OR(L486=0,L486=1)),NOT(OR(M486=0,M486=1)),NOT(OR(U486=0,U486=1))),"Yes","No")</f>
        <v>No</v>
      </c>
      <c r="O486" s="0" t="str">
        <f aca="false">IF(OR(AND(M486=1,L486=0),AND(L486=1,K486=0),AND(K486=1,J486=0)),"Yes","No")</f>
        <v>No</v>
      </c>
      <c r="P486" s="0" t="n">
        <v>0</v>
      </c>
      <c r="Q486" s="0" t="str">
        <f aca="false">IF(OR(AND(M486=0,P486&gt;0),AND(M486=1,P486&lt;=0)),"Yes","No")</f>
        <v>No</v>
      </c>
      <c r="R486" s="0" t="str">
        <f aca="false">IF(AND(M486=1,P486&gt;calc_helpers!$B$5),"Yes","No")</f>
        <v>No</v>
      </c>
      <c r="S486" s="0" t="n">
        <v>2</v>
      </c>
      <c r="T486" s="0" t="str">
        <f aca="false">IF(S486&gt;0,"Yes","No")</f>
        <v>Yes</v>
      </c>
      <c r="U486" s="0" t="n">
        <v>0</v>
      </c>
      <c r="W486" s="0" t="str">
        <f aca="false">IF(OR(AND(M486=1,ISBLANK(V486)),AND(M486=0,NOT(ISBLANK(V486)))),"Yes","No")</f>
        <v>No</v>
      </c>
      <c r="X486" s="0" t="n">
        <v>50.8</v>
      </c>
      <c r="Y486" s="3" t="s">
        <v>30</v>
      </c>
      <c r="Z486" s="0" t="str">
        <f aca="false">IF(M486=1,P486,"")</f>
        <v/>
      </c>
    </row>
    <row r="487" customFormat="false" ht="15" hidden="false" customHeight="false" outlineLevel="0" collapsed="false">
      <c r="A487" s="0" t="s">
        <v>530</v>
      </c>
      <c r="B487" s="2" t="n">
        <v>45695</v>
      </c>
      <c r="C487" s="3" t="s">
        <v>27</v>
      </c>
      <c r="D487" s="3" t="s">
        <v>34</v>
      </c>
      <c r="E487" s="3" t="s">
        <v>35</v>
      </c>
      <c r="F487" s="3" t="s">
        <v>30</v>
      </c>
      <c r="G487" s="3" t="s">
        <v>36</v>
      </c>
      <c r="H487" s="3" t="s">
        <v>30</v>
      </c>
      <c r="I487" s="3" t="s">
        <v>37</v>
      </c>
      <c r="J487" s="0" t="n">
        <v>1</v>
      </c>
      <c r="K487" s="0" t="n">
        <v>0</v>
      </c>
      <c r="L487" s="0" t="n">
        <v>0</v>
      </c>
      <c r="M487" s="0" t="n">
        <v>0</v>
      </c>
      <c r="N487" s="0" t="str">
        <f aca="false">IF(OR(NOT(OR(J487=0,J487=1)),NOT(OR(K487=0,K487=1)),NOT(OR(L487=0,L487=1)),NOT(OR(M487=0,M487=1)),NOT(OR(U487=0,U487=1))),"Yes","No")</f>
        <v>No</v>
      </c>
      <c r="O487" s="0" t="str">
        <f aca="false">IF(OR(AND(M487=1,L487=0),AND(L487=1,K487=0),AND(K487=1,J487=0)),"Yes","No")</f>
        <v>No</v>
      </c>
      <c r="P487" s="0" t="n">
        <v>0</v>
      </c>
      <c r="Q487" s="0" t="str">
        <f aca="false">IF(OR(AND(M487=0,P487&gt;0),AND(M487=1,P487&lt;=0)),"Yes","No")</f>
        <v>No</v>
      </c>
      <c r="R487" s="0" t="str">
        <f aca="false">IF(AND(M487=1,P487&gt;calc_helpers!$B$5),"Yes","No")</f>
        <v>No</v>
      </c>
      <c r="S487" s="0" t="n">
        <v>0</v>
      </c>
      <c r="T487" s="0" t="str">
        <f aca="false">IF(S487&gt;0,"Yes","No")</f>
        <v>No</v>
      </c>
      <c r="U487" s="0" t="n">
        <v>0</v>
      </c>
      <c r="W487" s="0" t="str">
        <f aca="false">IF(OR(AND(M487=1,ISBLANK(V487)),AND(M487=0,NOT(ISBLANK(V487)))),"Yes","No")</f>
        <v>No</v>
      </c>
      <c r="X487" s="0" t="n">
        <v>50.9</v>
      </c>
      <c r="Y487" s="3" t="s">
        <v>30</v>
      </c>
      <c r="Z487" s="0" t="str">
        <f aca="false">IF(M487=1,P487,"")</f>
        <v/>
      </c>
    </row>
    <row r="488" customFormat="false" ht="15" hidden="false" customHeight="false" outlineLevel="0" collapsed="false">
      <c r="A488" s="0" t="s">
        <v>531</v>
      </c>
      <c r="B488" s="2" t="n">
        <v>45782</v>
      </c>
      <c r="C488" s="3" t="s">
        <v>27</v>
      </c>
      <c r="D488" s="3" t="s">
        <v>28</v>
      </c>
      <c r="E488" s="3" t="s">
        <v>35</v>
      </c>
      <c r="F488" s="3" t="s">
        <v>30</v>
      </c>
      <c r="G488" s="3" t="s">
        <v>36</v>
      </c>
      <c r="H488" s="3" t="s">
        <v>30</v>
      </c>
      <c r="I488" s="3" t="s">
        <v>41</v>
      </c>
      <c r="J488" s="0" t="n">
        <v>1</v>
      </c>
      <c r="K488" s="0" t="n">
        <v>1</v>
      </c>
      <c r="L488" s="0" t="n">
        <v>0</v>
      </c>
      <c r="M488" s="0" t="n">
        <v>0</v>
      </c>
      <c r="N488" s="0" t="str">
        <f aca="false">IF(OR(NOT(OR(J488=0,J488=1)),NOT(OR(K488=0,K488=1)),NOT(OR(L488=0,L488=1)),NOT(OR(M488=0,M488=1)),NOT(OR(U488=0,U488=1))),"Yes","No")</f>
        <v>No</v>
      </c>
      <c r="O488" s="0" t="str">
        <f aca="false">IF(OR(AND(M488=1,L488=0),AND(L488=1,K488=0),AND(K488=1,J488=0)),"Yes","No")</f>
        <v>No</v>
      </c>
      <c r="P488" s="0" t="n">
        <v>0</v>
      </c>
      <c r="Q488" s="0" t="str">
        <f aca="false">IF(OR(AND(M488=0,P488&gt;0),AND(M488=1,P488&lt;=0)),"Yes","No")</f>
        <v>No</v>
      </c>
      <c r="R488" s="0" t="str">
        <f aca="false">IF(AND(M488=1,P488&gt;calc_helpers!$B$5),"Yes","No")</f>
        <v>No</v>
      </c>
      <c r="S488" s="0" t="n">
        <v>0</v>
      </c>
      <c r="T488" s="0" t="str">
        <f aca="false">IF(S488&gt;0,"Yes","No")</f>
        <v>No</v>
      </c>
      <c r="U488" s="0" t="n">
        <v>0</v>
      </c>
      <c r="W488" s="0" t="str">
        <f aca="false">IF(OR(AND(M488=1,ISBLANK(V488)),AND(M488=0,NOT(ISBLANK(V488)))),"Yes","No")</f>
        <v>No</v>
      </c>
      <c r="X488" s="0" t="n">
        <v>87.5</v>
      </c>
      <c r="Y488" s="3" t="s">
        <v>30</v>
      </c>
      <c r="Z488" s="0" t="str">
        <f aca="false">IF(M488=1,P488,"")</f>
        <v/>
      </c>
    </row>
    <row r="489" customFormat="false" ht="15" hidden="false" customHeight="false" outlineLevel="0" collapsed="false">
      <c r="A489" s="0" t="s">
        <v>532</v>
      </c>
      <c r="B489" s="2" t="n">
        <v>45734</v>
      </c>
      <c r="C489" s="3" t="s">
        <v>27</v>
      </c>
      <c r="D489" s="3" t="s">
        <v>43</v>
      </c>
      <c r="E489" s="3" t="s">
        <v>35</v>
      </c>
      <c r="F489" s="3" t="s">
        <v>30</v>
      </c>
      <c r="G489" s="3" t="s">
        <v>50</v>
      </c>
      <c r="H489" s="3" t="s">
        <v>30</v>
      </c>
      <c r="I489" s="3" t="s">
        <v>37</v>
      </c>
      <c r="J489" s="0" t="n">
        <v>0</v>
      </c>
      <c r="K489" s="0" t="n">
        <v>0</v>
      </c>
      <c r="L489" s="0" t="n">
        <v>0</v>
      </c>
      <c r="M489" s="0" t="n">
        <v>0</v>
      </c>
      <c r="N489" s="0" t="str">
        <f aca="false">IF(OR(NOT(OR(J489=0,J489=1)),NOT(OR(K489=0,K489=1)),NOT(OR(L489=0,L489=1)),NOT(OR(M489=0,M489=1)),NOT(OR(U489=0,U489=1))),"Yes","No")</f>
        <v>No</v>
      </c>
      <c r="O489" s="0" t="str">
        <f aca="false">IF(OR(AND(M489=1,L489=0),AND(L489=1,K489=0),AND(K489=1,J489=0)),"Yes","No")</f>
        <v>No</v>
      </c>
      <c r="P489" s="0" t="n">
        <v>0</v>
      </c>
      <c r="Q489" s="0" t="str">
        <f aca="false">IF(OR(AND(M489=0,P489&gt;0),AND(M489=1,P489&lt;=0)),"Yes","No")</f>
        <v>No</v>
      </c>
      <c r="R489" s="0" t="str">
        <f aca="false">IF(AND(M489=1,P489&gt;calc_helpers!$B$5),"Yes","No")</f>
        <v>No</v>
      </c>
      <c r="S489" s="0" t="n">
        <v>0</v>
      </c>
      <c r="T489" s="0" t="str">
        <f aca="false">IF(S489&gt;0,"Yes","No")</f>
        <v>No</v>
      </c>
      <c r="U489" s="0" t="n">
        <v>0</v>
      </c>
      <c r="W489" s="0" t="str">
        <f aca="false">IF(OR(AND(M489=1,ISBLANK(V489)),AND(M489=0,NOT(ISBLANK(V489)))),"Yes","No")</f>
        <v>No</v>
      </c>
      <c r="X489" s="0" t="n">
        <v>43.6</v>
      </c>
      <c r="Y489" s="3" t="s">
        <v>30</v>
      </c>
      <c r="Z489" s="0" t="str">
        <f aca="false">IF(M489=1,P489,"")</f>
        <v/>
      </c>
    </row>
    <row r="490" customFormat="false" ht="15" hidden="false" customHeight="false" outlineLevel="0" collapsed="false">
      <c r="A490" s="0" t="s">
        <v>533</v>
      </c>
      <c r="B490" s="2" t="n">
        <v>45662</v>
      </c>
      <c r="C490" s="3" t="s">
        <v>27</v>
      </c>
      <c r="D490" s="3" t="s">
        <v>43</v>
      </c>
      <c r="E490" s="3" t="s">
        <v>35</v>
      </c>
      <c r="F490" s="3" t="s">
        <v>30</v>
      </c>
      <c r="G490" s="3" t="s">
        <v>40</v>
      </c>
      <c r="H490" s="3" t="s">
        <v>30</v>
      </c>
      <c r="I490" s="3" t="s">
        <v>32</v>
      </c>
      <c r="J490" s="0" t="n">
        <v>1</v>
      </c>
      <c r="K490" s="0" t="n">
        <v>0</v>
      </c>
      <c r="L490" s="0" t="n">
        <v>0</v>
      </c>
      <c r="M490" s="0" t="n">
        <v>0</v>
      </c>
      <c r="N490" s="0" t="str">
        <f aca="false">IF(OR(NOT(OR(J490=0,J490=1)),NOT(OR(K490=0,K490=1)),NOT(OR(L490=0,L490=1)),NOT(OR(M490=0,M490=1)),NOT(OR(U490=0,U490=1))),"Yes","No")</f>
        <v>No</v>
      </c>
      <c r="O490" s="0" t="str">
        <f aca="false">IF(OR(AND(M490=1,L490=0),AND(L490=1,K490=0),AND(K490=1,J490=0)),"Yes","No")</f>
        <v>No</v>
      </c>
      <c r="P490" s="0" t="n">
        <v>0</v>
      </c>
      <c r="Q490" s="0" t="str">
        <f aca="false">IF(OR(AND(M490=0,P490&gt;0),AND(M490=1,P490&lt;=0)),"Yes","No")</f>
        <v>No</v>
      </c>
      <c r="R490" s="0" t="str">
        <f aca="false">IF(AND(M490=1,P490&gt;calc_helpers!$B$5),"Yes","No")</f>
        <v>No</v>
      </c>
      <c r="S490" s="0" t="n">
        <v>0</v>
      </c>
      <c r="T490" s="0" t="str">
        <f aca="false">IF(S490&gt;0,"Yes","No")</f>
        <v>No</v>
      </c>
      <c r="U490" s="0" t="n">
        <v>0</v>
      </c>
      <c r="W490" s="0" t="str">
        <f aca="false">IF(OR(AND(M490=1,ISBLANK(V490)),AND(M490=0,NOT(ISBLANK(V490)))),"Yes","No")</f>
        <v>No</v>
      </c>
      <c r="X490" s="0" t="n">
        <v>55.5</v>
      </c>
      <c r="Y490" s="3" t="s">
        <v>30</v>
      </c>
      <c r="Z490" s="0" t="str">
        <f aca="false">IF(M490=1,P490,"")</f>
        <v/>
      </c>
    </row>
    <row r="491" customFormat="false" ht="15" hidden="false" customHeight="false" outlineLevel="0" collapsed="false">
      <c r="A491" s="0" t="s">
        <v>534</v>
      </c>
      <c r="B491" s="2" t="n">
        <v>45787</v>
      </c>
      <c r="C491" s="3" t="s">
        <v>27</v>
      </c>
      <c r="D491" s="3" t="s">
        <v>43</v>
      </c>
      <c r="E491" s="3" t="s">
        <v>29</v>
      </c>
      <c r="F491" s="3" t="s">
        <v>30</v>
      </c>
      <c r="G491" s="3" t="s">
        <v>50</v>
      </c>
      <c r="H491" s="3" t="s">
        <v>30</v>
      </c>
      <c r="I491" s="3" t="s">
        <v>32</v>
      </c>
      <c r="J491" s="0" t="n">
        <v>0</v>
      </c>
      <c r="K491" s="0" t="n">
        <v>0</v>
      </c>
      <c r="L491" s="0" t="n">
        <v>0</v>
      </c>
      <c r="M491" s="0" t="n">
        <v>0</v>
      </c>
      <c r="N491" s="0" t="str">
        <f aca="false">IF(OR(NOT(OR(J491=0,J491=1)),NOT(OR(K491=0,K491=1)),NOT(OR(L491=0,L491=1)),NOT(OR(M491=0,M491=1)),NOT(OR(U491=0,U491=1))),"Yes","No")</f>
        <v>No</v>
      </c>
      <c r="O491" s="0" t="str">
        <f aca="false">IF(OR(AND(M491=1,L491=0),AND(L491=1,K491=0),AND(K491=1,J491=0)),"Yes","No")</f>
        <v>No</v>
      </c>
      <c r="P491" s="0" t="n">
        <v>0</v>
      </c>
      <c r="Q491" s="0" t="str">
        <f aca="false">IF(OR(AND(M491=0,P491&gt;0),AND(M491=1,P491&lt;=0)),"Yes","No")</f>
        <v>No</v>
      </c>
      <c r="R491" s="0" t="str">
        <f aca="false">IF(AND(M491=1,P491&gt;calc_helpers!$B$5),"Yes","No")</f>
        <v>No</v>
      </c>
      <c r="S491" s="0" t="n">
        <v>0</v>
      </c>
      <c r="T491" s="0" t="str">
        <f aca="false">IF(S491&gt;0,"Yes","No")</f>
        <v>No</v>
      </c>
      <c r="U491" s="0" t="n">
        <v>0</v>
      </c>
      <c r="W491" s="0" t="str">
        <f aca="false">IF(OR(AND(M491=1,ISBLANK(V491)),AND(M491=0,NOT(ISBLANK(V491)))),"Yes","No")</f>
        <v>No</v>
      </c>
      <c r="X491" s="0" t="n">
        <v>78.6</v>
      </c>
      <c r="Y491" s="3" t="s">
        <v>30</v>
      </c>
      <c r="Z491" s="0" t="str">
        <f aca="false">IF(M491=1,P491,"")</f>
        <v/>
      </c>
    </row>
    <row r="492" customFormat="false" ht="15" hidden="false" customHeight="false" outlineLevel="0" collapsed="false">
      <c r="A492" s="0" t="s">
        <v>535</v>
      </c>
      <c r="B492" s="2" t="n">
        <v>45660</v>
      </c>
      <c r="C492" s="3" t="s">
        <v>27</v>
      </c>
      <c r="D492" s="3" t="s">
        <v>43</v>
      </c>
      <c r="E492" s="3" t="s">
        <v>35</v>
      </c>
      <c r="F492" s="3" t="s">
        <v>30</v>
      </c>
      <c r="G492" s="3" t="s">
        <v>52</v>
      </c>
      <c r="H492" s="3" t="s">
        <v>30</v>
      </c>
      <c r="I492" s="3" t="s">
        <v>32</v>
      </c>
      <c r="J492" s="0" t="n">
        <v>1</v>
      </c>
      <c r="K492" s="0" t="n">
        <v>1</v>
      </c>
      <c r="L492" s="0" t="n">
        <v>0</v>
      </c>
      <c r="M492" s="0" t="n">
        <v>0</v>
      </c>
      <c r="N492" s="0" t="str">
        <f aca="false">IF(OR(NOT(OR(J492=0,J492=1)),NOT(OR(K492=0,K492=1)),NOT(OR(L492=0,L492=1)),NOT(OR(M492=0,M492=1)),NOT(OR(U492=0,U492=1))),"Yes","No")</f>
        <v>No</v>
      </c>
      <c r="O492" s="0" t="str">
        <f aca="false">IF(OR(AND(M492=1,L492=0),AND(L492=1,K492=0),AND(K492=1,J492=0)),"Yes","No")</f>
        <v>No</v>
      </c>
      <c r="P492" s="0" t="n">
        <v>0</v>
      </c>
      <c r="Q492" s="0" t="str">
        <f aca="false">IF(OR(AND(M492=0,P492&gt;0),AND(M492=1,P492&lt;=0)),"Yes","No")</f>
        <v>No</v>
      </c>
      <c r="R492" s="0" t="str">
        <f aca="false">IF(AND(M492=1,P492&gt;calc_helpers!$B$5),"Yes","No")</f>
        <v>No</v>
      </c>
      <c r="S492" s="0" t="n">
        <v>1</v>
      </c>
      <c r="T492" s="0" t="str">
        <f aca="false">IF(S492&gt;0,"Yes","No")</f>
        <v>Yes</v>
      </c>
      <c r="U492" s="0" t="n">
        <v>0</v>
      </c>
      <c r="W492" s="0" t="str">
        <f aca="false">IF(OR(AND(M492=1,ISBLANK(V492)),AND(M492=0,NOT(ISBLANK(V492)))),"Yes","No")</f>
        <v>No</v>
      </c>
      <c r="X492" s="0" t="n">
        <v>44.3</v>
      </c>
      <c r="Y492" s="3" t="s">
        <v>30</v>
      </c>
      <c r="Z492" s="0" t="str">
        <f aca="false">IF(M492=1,P492,"")</f>
        <v/>
      </c>
    </row>
    <row r="493" customFormat="false" ht="15" hidden="false" customHeight="false" outlineLevel="0" collapsed="false">
      <c r="A493" s="0" t="s">
        <v>536</v>
      </c>
      <c r="B493" s="2" t="n">
        <v>45785</v>
      </c>
      <c r="C493" s="3" t="s">
        <v>27</v>
      </c>
      <c r="D493" s="3" t="s">
        <v>43</v>
      </c>
      <c r="E493" s="3" t="s">
        <v>35</v>
      </c>
      <c r="F493" s="3" t="s">
        <v>30</v>
      </c>
      <c r="G493" s="3" t="s">
        <v>40</v>
      </c>
      <c r="H493" s="3" t="s">
        <v>30</v>
      </c>
      <c r="I493" s="3" t="s">
        <v>37</v>
      </c>
      <c r="J493" s="0" t="n">
        <v>1</v>
      </c>
      <c r="K493" s="0" t="n">
        <v>1</v>
      </c>
      <c r="L493" s="0" t="n">
        <v>0</v>
      </c>
      <c r="M493" s="0" t="n">
        <v>0</v>
      </c>
      <c r="N493" s="0" t="str">
        <f aca="false">IF(OR(NOT(OR(J493=0,J493=1)),NOT(OR(K493=0,K493=1)),NOT(OR(L493=0,L493=1)),NOT(OR(M493=0,M493=1)),NOT(OR(U493=0,U493=1))),"Yes","No")</f>
        <v>No</v>
      </c>
      <c r="O493" s="0" t="str">
        <f aca="false">IF(OR(AND(M493=1,L493=0),AND(L493=1,K493=0),AND(K493=1,J493=0)),"Yes","No")</f>
        <v>No</v>
      </c>
      <c r="P493" s="0" t="n">
        <v>0</v>
      </c>
      <c r="Q493" s="0" t="str">
        <f aca="false">IF(OR(AND(M493=0,P493&gt;0),AND(M493=1,P493&lt;=0)),"Yes","No")</f>
        <v>No</v>
      </c>
      <c r="R493" s="0" t="str">
        <f aca="false">IF(AND(M493=1,P493&gt;calc_helpers!$B$5),"Yes","No")</f>
        <v>No</v>
      </c>
      <c r="S493" s="0" t="n">
        <v>0</v>
      </c>
      <c r="T493" s="0" t="str">
        <f aca="false">IF(S493&gt;0,"Yes","No")</f>
        <v>No</v>
      </c>
      <c r="U493" s="0" t="n">
        <v>0</v>
      </c>
      <c r="W493" s="0" t="str">
        <f aca="false">IF(OR(AND(M493=1,ISBLANK(V493)),AND(M493=0,NOT(ISBLANK(V493)))),"Yes","No")</f>
        <v>No</v>
      </c>
      <c r="X493" s="0" t="n">
        <v>45.2</v>
      </c>
      <c r="Y493" s="3" t="s">
        <v>30</v>
      </c>
      <c r="Z493" s="0" t="str">
        <f aca="false">IF(M493=1,P493,"")</f>
        <v/>
      </c>
    </row>
    <row r="494" customFormat="false" ht="15" hidden="false" customHeight="false" outlineLevel="0" collapsed="false">
      <c r="A494" s="0" t="s">
        <v>537</v>
      </c>
      <c r="B494" s="2" t="n">
        <v>45721</v>
      </c>
      <c r="C494" s="3" t="s">
        <v>27</v>
      </c>
      <c r="D494" s="3" t="s">
        <v>43</v>
      </c>
      <c r="E494" s="3" t="s">
        <v>29</v>
      </c>
      <c r="F494" s="3" t="s">
        <v>30</v>
      </c>
      <c r="G494" s="3" t="s">
        <v>31</v>
      </c>
      <c r="H494" s="3" t="s">
        <v>30</v>
      </c>
      <c r="I494" s="3" t="s">
        <v>32</v>
      </c>
      <c r="J494" s="0" t="n">
        <v>1</v>
      </c>
      <c r="K494" s="0" t="n">
        <v>0</v>
      </c>
      <c r="L494" s="0" t="n">
        <v>0</v>
      </c>
      <c r="M494" s="0" t="n">
        <v>0</v>
      </c>
      <c r="N494" s="0" t="str">
        <f aca="false">IF(OR(NOT(OR(J494=0,J494=1)),NOT(OR(K494=0,K494=1)),NOT(OR(L494=0,L494=1)),NOT(OR(M494=0,M494=1)),NOT(OR(U494=0,U494=1))),"Yes","No")</f>
        <v>No</v>
      </c>
      <c r="O494" s="0" t="str">
        <f aca="false">IF(OR(AND(M494=1,L494=0),AND(L494=1,K494=0),AND(K494=1,J494=0)),"Yes","No")</f>
        <v>No</v>
      </c>
      <c r="P494" s="0" t="n">
        <v>0</v>
      </c>
      <c r="Q494" s="0" t="str">
        <f aca="false">IF(OR(AND(M494=0,P494&gt;0),AND(M494=1,P494&lt;=0)),"Yes","No")</f>
        <v>No</v>
      </c>
      <c r="R494" s="0" t="str">
        <f aca="false">IF(AND(M494=1,P494&gt;calc_helpers!$B$5),"Yes","No")</f>
        <v>No</v>
      </c>
      <c r="S494" s="0" t="n">
        <v>2</v>
      </c>
      <c r="T494" s="0" t="str">
        <f aca="false">IF(S494&gt;0,"Yes","No")</f>
        <v>Yes</v>
      </c>
      <c r="U494" s="0" t="n">
        <v>0</v>
      </c>
      <c r="W494" s="0" t="str">
        <f aca="false">IF(OR(AND(M494=1,ISBLANK(V494)),AND(M494=0,NOT(ISBLANK(V494)))),"Yes","No")</f>
        <v>No</v>
      </c>
      <c r="X494" s="0" t="n">
        <v>46.1</v>
      </c>
      <c r="Y494" s="3" t="s">
        <v>30</v>
      </c>
      <c r="Z494" s="0" t="str">
        <f aca="false">IF(M494=1,P494,"")</f>
        <v/>
      </c>
    </row>
    <row r="495" customFormat="false" ht="15" hidden="false" customHeight="false" outlineLevel="0" collapsed="false">
      <c r="A495" s="0" t="s">
        <v>538</v>
      </c>
      <c r="B495" s="2" t="n">
        <v>45705</v>
      </c>
      <c r="C495" s="3" t="s">
        <v>27</v>
      </c>
      <c r="D495" s="3" t="s">
        <v>28</v>
      </c>
      <c r="E495" s="3" t="s">
        <v>35</v>
      </c>
      <c r="F495" s="3" t="s">
        <v>30</v>
      </c>
      <c r="G495" s="3" t="s">
        <v>36</v>
      </c>
      <c r="H495" s="3" t="s">
        <v>30</v>
      </c>
      <c r="I495" s="3" t="s">
        <v>41</v>
      </c>
      <c r="J495" s="0" t="n">
        <v>1</v>
      </c>
      <c r="K495" s="0" t="n">
        <v>0</v>
      </c>
      <c r="L495" s="0" t="n">
        <v>0</v>
      </c>
      <c r="M495" s="0" t="n">
        <v>0</v>
      </c>
      <c r="N495" s="0" t="str">
        <f aca="false">IF(OR(NOT(OR(J495=0,J495=1)),NOT(OR(K495=0,K495=1)),NOT(OR(L495=0,L495=1)),NOT(OR(M495=0,M495=1)),NOT(OR(U495=0,U495=1))),"Yes","No")</f>
        <v>No</v>
      </c>
      <c r="O495" s="0" t="str">
        <f aca="false">IF(OR(AND(M495=1,L495=0),AND(L495=1,K495=0),AND(K495=1,J495=0)),"Yes","No")</f>
        <v>No</v>
      </c>
      <c r="P495" s="0" t="n">
        <v>0</v>
      </c>
      <c r="Q495" s="0" t="str">
        <f aca="false">IF(OR(AND(M495=0,P495&gt;0),AND(M495=1,P495&lt;=0)),"Yes","No")</f>
        <v>No</v>
      </c>
      <c r="R495" s="0" t="str">
        <f aca="false">IF(AND(M495=1,P495&gt;calc_helpers!$B$5),"Yes","No")</f>
        <v>No</v>
      </c>
      <c r="S495" s="0" t="n">
        <v>0</v>
      </c>
      <c r="T495" s="0" t="str">
        <f aca="false">IF(S495&gt;0,"Yes","No")</f>
        <v>No</v>
      </c>
      <c r="U495" s="0" t="n">
        <v>0</v>
      </c>
      <c r="W495" s="0" t="str">
        <f aca="false">IF(OR(AND(M495=1,ISBLANK(V495)),AND(M495=0,NOT(ISBLANK(V495)))),"Yes","No")</f>
        <v>No</v>
      </c>
      <c r="X495" s="0" t="n">
        <v>49.6</v>
      </c>
      <c r="Y495" s="3" t="s">
        <v>30</v>
      </c>
      <c r="Z495" s="0" t="str">
        <f aca="false">IF(M495=1,P495,"")</f>
        <v/>
      </c>
    </row>
    <row r="496" customFormat="false" ht="15" hidden="false" customHeight="false" outlineLevel="0" collapsed="false">
      <c r="A496" s="0" t="s">
        <v>539</v>
      </c>
      <c r="B496" s="2" t="n">
        <v>45666</v>
      </c>
      <c r="C496" s="3" t="s">
        <v>27</v>
      </c>
      <c r="D496" s="3" t="s">
        <v>43</v>
      </c>
      <c r="E496" s="3" t="s">
        <v>35</v>
      </c>
      <c r="F496" s="3" t="s">
        <v>30</v>
      </c>
      <c r="G496" s="3" t="s">
        <v>50</v>
      </c>
      <c r="H496" s="3" t="s">
        <v>30</v>
      </c>
      <c r="I496" s="3" t="s">
        <v>32</v>
      </c>
      <c r="J496" s="0" t="n">
        <v>0</v>
      </c>
      <c r="K496" s="0" t="n">
        <v>0</v>
      </c>
      <c r="L496" s="0" t="n">
        <v>0</v>
      </c>
      <c r="M496" s="0" t="n">
        <v>0</v>
      </c>
      <c r="N496" s="0" t="str">
        <f aca="false">IF(OR(NOT(OR(J496=0,J496=1)),NOT(OR(K496=0,K496=1)),NOT(OR(L496=0,L496=1)),NOT(OR(M496=0,M496=1)),NOT(OR(U496=0,U496=1))),"Yes","No")</f>
        <v>No</v>
      </c>
      <c r="O496" s="0" t="str">
        <f aca="false">IF(OR(AND(M496=1,L496=0),AND(L496=1,K496=0),AND(K496=1,J496=0)),"Yes","No")</f>
        <v>No</v>
      </c>
      <c r="P496" s="0" t="n">
        <v>0</v>
      </c>
      <c r="Q496" s="0" t="str">
        <f aca="false">IF(OR(AND(M496=0,P496&gt;0),AND(M496=1,P496&lt;=0)),"Yes","No")</f>
        <v>No</v>
      </c>
      <c r="R496" s="0" t="str">
        <f aca="false">IF(AND(M496=1,P496&gt;calc_helpers!$B$5),"Yes","No")</f>
        <v>No</v>
      </c>
      <c r="S496" s="0" t="n">
        <v>0</v>
      </c>
      <c r="T496" s="0" t="str">
        <f aca="false">IF(S496&gt;0,"Yes","No")</f>
        <v>No</v>
      </c>
      <c r="U496" s="0" t="n">
        <v>0</v>
      </c>
      <c r="W496" s="0" t="str">
        <f aca="false">IF(OR(AND(M496=1,ISBLANK(V496)),AND(M496=0,NOT(ISBLANK(V496)))),"Yes","No")</f>
        <v>No</v>
      </c>
      <c r="X496" s="0" t="n">
        <v>70.5</v>
      </c>
      <c r="Y496" s="3" t="s">
        <v>30</v>
      </c>
      <c r="Z496" s="0" t="str">
        <f aca="false">IF(M496=1,P496,"")</f>
        <v/>
      </c>
    </row>
    <row r="497" customFormat="false" ht="15" hidden="false" customHeight="false" outlineLevel="0" collapsed="false">
      <c r="A497" s="0" t="s">
        <v>540</v>
      </c>
      <c r="B497" s="2" t="n">
        <v>45782</v>
      </c>
      <c r="C497" s="3" t="s">
        <v>27</v>
      </c>
      <c r="D497" s="3" t="s">
        <v>43</v>
      </c>
      <c r="E497" s="3" t="s">
        <v>35</v>
      </c>
      <c r="F497" s="3" t="s">
        <v>30</v>
      </c>
      <c r="G497" s="3" t="s">
        <v>31</v>
      </c>
      <c r="H497" s="3" t="s">
        <v>30</v>
      </c>
      <c r="I497" s="3" t="s">
        <v>32</v>
      </c>
      <c r="J497" s="0" t="n">
        <v>0</v>
      </c>
      <c r="K497" s="0" t="n">
        <v>0</v>
      </c>
      <c r="L497" s="0" t="n">
        <v>0</v>
      </c>
      <c r="M497" s="0" t="n">
        <v>0</v>
      </c>
      <c r="N497" s="0" t="str">
        <f aca="false">IF(OR(NOT(OR(J497=0,J497=1)),NOT(OR(K497=0,K497=1)),NOT(OR(L497=0,L497=1)),NOT(OR(M497=0,M497=1)),NOT(OR(U497=0,U497=1))),"Yes","No")</f>
        <v>No</v>
      </c>
      <c r="O497" s="0" t="str">
        <f aca="false">IF(OR(AND(M497=1,L497=0),AND(L497=1,K497=0),AND(K497=1,J497=0)),"Yes","No")</f>
        <v>No</v>
      </c>
      <c r="P497" s="0" t="n">
        <v>0</v>
      </c>
      <c r="Q497" s="0" t="str">
        <f aca="false">IF(OR(AND(M497=0,P497&gt;0),AND(M497=1,P497&lt;=0)),"Yes","No")</f>
        <v>No</v>
      </c>
      <c r="R497" s="0" t="str">
        <f aca="false">IF(AND(M497=1,P497&gt;calc_helpers!$B$5),"Yes","No")</f>
        <v>No</v>
      </c>
      <c r="S497" s="0" t="n">
        <v>1</v>
      </c>
      <c r="T497" s="0" t="str">
        <f aca="false">IF(S497&gt;0,"Yes","No")</f>
        <v>Yes</v>
      </c>
      <c r="U497" s="0" t="n">
        <v>0</v>
      </c>
      <c r="W497" s="0" t="str">
        <f aca="false">IF(OR(AND(M497=1,ISBLANK(V497)),AND(M497=0,NOT(ISBLANK(V497)))),"Yes","No")</f>
        <v>No</v>
      </c>
      <c r="X497" s="0" t="n">
        <v>60.8</v>
      </c>
      <c r="Y497" s="3" t="s">
        <v>30</v>
      </c>
      <c r="Z497" s="0" t="str">
        <f aca="false">IF(M497=1,P497,"")</f>
        <v/>
      </c>
    </row>
    <row r="498" customFormat="false" ht="15" hidden="false" customHeight="false" outlineLevel="0" collapsed="false">
      <c r="A498" s="0" t="s">
        <v>541</v>
      </c>
      <c r="B498" s="2" t="n">
        <v>45763</v>
      </c>
      <c r="C498" s="3" t="s">
        <v>27</v>
      </c>
      <c r="D498" s="3" t="s">
        <v>39</v>
      </c>
      <c r="E498" s="3" t="s">
        <v>35</v>
      </c>
      <c r="F498" s="3" t="s">
        <v>30</v>
      </c>
      <c r="G498" s="3" t="s">
        <v>31</v>
      </c>
      <c r="H498" s="3" t="s">
        <v>30</v>
      </c>
      <c r="I498" s="3" t="s">
        <v>32</v>
      </c>
      <c r="J498" s="0" t="n">
        <v>0</v>
      </c>
      <c r="K498" s="0" t="n">
        <v>0</v>
      </c>
      <c r="L498" s="0" t="n">
        <v>0</v>
      </c>
      <c r="M498" s="0" t="n">
        <v>0</v>
      </c>
      <c r="N498" s="0" t="str">
        <f aca="false">IF(OR(NOT(OR(J498=0,J498=1)),NOT(OR(K498=0,K498=1)),NOT(OR(L498=0,L498=1)),NOT(OR(M498=0,M498=1)),NOT(OR(U498=0,U498=1))),"Yes","No")</f>
        <v>No</v>
      </c>
      <c r="O498" s="0" t="str">
        <f aca="false">IF(OR(AND(M498=1,L498=0),AND(L498=1,K498=0),AND(K498=1,J498=0)),"Yes","No")</f>
        <v>No</v>
      </c>
      <c r="P498" s="0" t="n">
        <v>0</v>
      </c>
      <c r="Q498" s="0" t="str">
        <f aca="false">IF(OR(AND(M498=0,P498&gt;0),AND(M498=1,P498&lt;=0)),"Yes","No")</f>
        <v>No</v>
      </c>
      <c r="R498" s="0" t="str">
        <f aca="false">IF(AND(M498=1,P498&gt;calc_helpers!$B$5),"Yes","No")</f>
        <v>No</v>
      </c>
      <c r="S498" s="0" t="n">
        <v>1</v>
      </c>
      <c r="T498" s="0" t="str">
        <f aca="false">IF(S498&gt;0,"Yes","No")</f>
        <v>Yes</v>
      </c>
      <c r="U498" s="0" t="n">
        <v>0</v>
      </c>
      <c r="W498" s="0" t="str">
        <f aca="false">IF(OR(AND(M498=1,ISBLANK(V498)),AND(M498=0,NOT(ISBLANK(V498)))),"Yes","No")</f>
        <v>No</v>
      </c>
      <c r="X498" s="0" t="n">
        <v>50.5</v>
      </c>
      <c r="Y498" s="3" t="s">
        <v>30</v>
      </c>
      <c r="Z498" s="0" t="str">
        <f aca="false">IF(M498=1,P498,"")</f>
        <v/>
      </c>
    </row>
    <row r="499" customFormat="false" ht="15" hidden="false" customHeight="false" outlineLevel="0" collapsed="false">
      <c r="A499" s="0" t="s">
        <v>542</v>
      </c>
      <c r="B499" s="2" t="n">
        <v>45718</v>
      </c>
      <c r="C499" s="3" t="s">
        <v>27</v>
      </c>
      <c r="D499" s="3" t="s">
        <v>43</v>
      </c>
      <c r="E499" s="3" t="s">
        <v>29</v>
      </c>
      <c r="F499" s="3" t="s">
        <v>30</v>
      </c>
      <c r="G499" s="3" t="s">
        <v>36</v>
      </c>
      <c r="H499" s="3" t="s">
        <v>30</v>
      </c>
      <c r="I499" s="3" t="s">
        <v>37</v>
      </c>
      <c r="J499" s="0" t="n">
        <v>1</v>
      </c>
      <c r="K499" s="0" t="n">
        <v>0</v>
      </c>
      <c r="L499" s="0" t="n">
        <v>0</v>
      </c>
      <c r="M499" s="0" t="n">
        <v>0</v>
      </c>
      <c r="N499" s="0" t="str">
        <f aca="false">IF(OR(NOT(OR(J499=0,J499=1)),NOT(OR(K499=0,K499=1)),NOT(OR(L499=0,L499=1)),NOT(OR(M499=0,M499=1)),NOT(OR(U499=0,U499=1))),"Yes","No")</f>
        <v>No</v>
      </c>
      <c r="O499" s="0" t="str">
        <f aca="false">IF(OR(AND(M499=1,L499=0),AND(L499=1,K499=0),AND(K499=1,J499=0)),"Yes","No")</f>
        <v>No</v>
      </c>
      <c r="P499" s="0" t="n">
        <v>0</v>
      </c>
      <c r="Q499" s="0" t="str">
        <f aca="false">IF(OR(AND(M499=0,P499&gt;0),AND(M499=1,P499&lt;=0)),"Yes","No")</f>
        <v>No</v>
      </c>
      <c r="R499" s="0" t="str">
        <f aca="false">IF(AND(M499=1,P499&gt;calc_helpers!$B$5),"Yes","No")</f>
        <v>No</v>
      </c>
      <c r="S499" s="0" t="n">
        <v>0</v>
      </c>
      <c r="T499" s="0" t="str">
        <f aca="false">IF(S499&gt;0,"Yes","No")</f>
        <v>No</v>
      </c>
      <c r="U499" s="0" t="n">
        <v>0</v>
      </c>
      <c r="W499" s="0" t="str">
        <f aca="false">IF(OR(AND(M499=1,ISBLANK(V499)),AND(M499=0,NOT(ISBLANK(V499)))),"Yes","No")</f>
        <v>No</v>
      </c>
      <c r="X499" s="0" t="n">
        <v>54.9</v>
      </c>
      <c r="Y499" s="3" t="s">
        <v>30</v>
      </c>
      <c r="Z499" s="0" t="str">
        <f aca="false">IF(M499=1,P499,"")</f>
        <v/>
      </c>
    </row>
    <row r="500" customFormat="false" ht="15" hidden="false" customHeight="false" outlineLevel="0" collapsed="false">
      <c r="A500" s="0" t="s">
        <v>543</v>
      </c>
      <c r="B500" s="2" t="n">
        <v>45761</v>
      </c>
      <c r="C500" s="3" t="s">
        <v>27</v>
      </c>
      <c r="D500" s="3" t="s">
        <v>43</v>
      </c>
      <c r="E500" s="3" t="s">
        <v>35</v>
      </c>
      <c r="F500" s="3" t="s">
        <v>30</v>
      </c>
      <c r="G500" s="3" t="s">
        <v>52</v>
      </c>
      <c r="H500" s="3" t="s">
        <v>30</v>
      </c>
      <c r="I500" s="3" t="s">
        <v>41</v>
      </c>
      <c r="J500" s="0" t="n">
        <v>0</v>
      </c>
      <c r="K500" s="0" t="n">
        <v>0</v>
      </c>
      <c r="L500" s="0" t="n">
        <v>0</v>
      </c>
      <c r="M500" s="0" t="n">
        <v>0</v>
      </c>
      <c r="N500" s="0" t="str">
        <f aca="false">IF(OR(NOT(OR(J500=0,J500=1)),NOT(OR(K500=0,K500=1)),NOT(OR(L500=0,L500=1)),NOT(OR(M500=0,M500=1)),NOT(OR(U500=0,U500=1))),"Yes","No")</f>
        <v>No</v>
      </c>
      <c r="O500" s="0" t="str">
        <f aca="false">IF(OR(AND(M500=1,L500=0),AND(L500=1,K500=0),AND(K500=1,J500=0)),"Yes","No")</f>
        <v>No</v>
      </c>
      <c r="P500" s="0" t="n">
        <v>0</v>
      </c>
      <c r="Q500" s="0" t="str">
        <f aca="false">IF(OR(AND(M500=0,P500&gt;0),AND(M500=1,P500&lt;=0)),"Yes","No")</f>
        <v>No</v>
      </c>
      <c r="R500" s="0" t="str">
        <f aca="false">IF(AND(M500=1,P500&gt;calc_helpers!$B$5),"Yes","No")</f>
        <v>No</v>
      </c>
      <c r="S500" s="0" t="n">
        <v>0</v>
      </c>
      <c r="T500" s="0" t="str">
        <f aca="false">IF(S500&gt;0,"Yes","No")</f>
        <v>No</v>
      </c>
      <c r="U500" s="0" t="n">
        <v>0</v>
      </c>
      <c r="W500" s="0" t="str">
        <f aca="false">IF(OR(AND(M500=1,ISBLANK(V500)),AND(M500=0,NOT(ISBLANK(V500)))),"Yes","No")</f>
        <v>No</v>
      </c>
      <c r="X500" s="0" t="n">
        <v>29.9</v>
      </c>
      <c r="Y500" s="3" t="s">
        <v>30</v>
      </c>
      <c r="Z500" s="0" t="str">
        <f aca="false">IF(M500=1,P500,"")</f>
        <v/>
      </c>
    </row>
    <row r="501" customFormat="false" ht="15" hidden="false" customHeight="false" outlineLevel="0" collapsed="false">
      <c r="A501" s="0" t="s">
        <v>544</v>
      </c>
      <c r="B501" s="2" t="n">
        <v>45703</v>
      </c>
      <c r="C501" s="3" t="s">
        <v>27</v>
      </c>
      <c r="D501" s="3" t="s">
        <v>39</v>
      </c>
      <c r="E501" s="3" t="s">
        <v>29</v>
      </c>
      <c r="F501" s="3" t="s">
        <v>30</v>
      </c>
      <c r="G501" s="3" t="s">
        <v>40</v>
      </c>
      <c r="H501" s="3" t="s">
        <v>30</v>
      </c>
      <c r="I501" s="3" t="s">
        <v>32</v>
      </c>
      <c r="J501" s="0" t="n">
        <v>0</v>
      </c>
      <c r="K501" s="0" t="n">
        <v>0</v>
      </c>
      <c r="L501" s="0" t="n">
        <v>0</v>
      </c>
      <c r="M501" s="0" t="n">
        <v>0</v>
      </c>
      <c r="N501" s="0" t="str">
        <f aca="false">IF(OR(NOT(OR(J501=0,J501=1)),NOT(OR(K501=0,K501=1)),NOT(OR(L501=0,L501=1)),NOT(OR(M501=0,M501=1)),NOT(OR(U501=0,U501=1))),"Yes","No")</f>
        <v>No</v>
      </c>
      <c r="O501" s="0" t="str">
        <f aca="false">IF(OR(AND(M501=1,L501=0),AND(L501=1,K501=0),AND(K501=1,J501=0)),"Yes","No")</f>
        <v>No</v>
      </c>
      <c r="P501" s="0" t="n">
        <v>0</v>
      </c>
      <c r="Q501" s="0" t="str">
        <f aca="false">IF(OR(AND(M501=0,P501&gt;0),AND(M501=1,P501&lt;=0)),"Yes","No")</f>
        <v>No</v>
      </c>
      <c r="R501" s="0" t="str">
        <f aca="false">IF(AND(M501=1,P501&gt;calc_helpers!$B$5),"Yes","No")</f>
        <v>No</v>
      </c>
      <c r="S501" s="0" t="n">
        <v>0</v>
      </c>
      <c r="T501" s="0" t="str">
        <f aca="false">IF(S501&gt;0,"Yes","No")</f>
        <v>No</v>
      </c>
      <c r="U501" s="0" t="n">
        <v>0</v>
      </c>
      <c r="W501" s="0" t="str">
        <f aca="false">IF(OR(AND(M501=1,ISBLANK(V501)),AND(M501=0,NOT(ISBLANK(V501)))),"Yes","No")</f>
        <v>No</v>
      </c>
      <c r="X501" s="0" t="n">
        <v>48.3</v>
      </c>
      <c r="Y501" s="3" t="s">
        <v>30</v>
      </c>
      <c r="Z501" s="0" t="str">
        <f aca="false">IF(M501=1,P501,"")</f>
        <v/>
      </c>
    </row>
    <row r="502" customFormat="false" ht="15" hidden="false" customHeight="false" outlineLevel="0" collapsed="false">
      <c r="A502" s="0" t="s">
        <v>545</v>
      </c>
      <c r="B502" s="2" t="n">
        <v>45701</v>
      </c>
      <c r="C502" s="3" t="s">
        <v>27</v>
      </c>
      <c r="D502" s="3" t="s">
        <v>34</v>
      </c>
      <c r="E502" s="3" t="s">
        <v>35</v>
      </c>
      <c r="F502" s="3" t="s">
        <v>30</v>
      </c>
      <c r="G502" s="3" t="s">
        <v>52</v>
      </c>
      <c r="H502" s="3" t="s">
        <v>30</v>
      </c>
      <c r="I502" s="3" t="s">
        <v>37</v>
      </c>
      <c r="J502" s="0" t="n">
        <v>1</v>
      </c>
      <c r="K502" s="0" t="n">
        <v>1</v>
      </c>
      <c r="L502" s="0" t="n">
        <v>1</v>
      </c>
      <c r="M502" s="0" t="n">
        <v>1</v>
      </c>
      <c r="N502" s="0" t="str">
        <f aca="false">IF(OR(NOT(OR(J502=0,J502=1)),NOT(OR(K502=0,K502=1)),NOT(OR(L502=0,L502=1)),NOT(OR(M502=0,M502=1)),NOT(OR(U502=0,U502=1))),"Yes","No")</f>
        <v>No</v>
      </c>
      <c r="O502" s="0" t="str">
        <f aca="false">IF(OR(AND(M502=1,L502=0),AND(L502=1,K502=0),AND(K502=1,J502=0)),"Yes","No")</f>
        <v>No</v>
      </c>
      <c r="P502" s="0" t="n">
        <v>513.61</v>
      </c>
      <c r="Q502" s="0" t="str">
        <f aca="false">IF(OR(AND(M502=0,P502&gt;0),AND(M502=1,P502&lt;=0)),"Yes","No")</f>
        <v>No</v>
      </c>
      <c r="R502" s="0" t="str">
        <f aca="false">IF(AND(M502=1,P502&gt;calc_helpers!$B$5),"Yes","No")</f>
        <v>No</v>
      </c>
      <c r="S502" s="0" t="n">
        <v>0</v>
      </c>
      <c r="T502" s="0" t="str">
        <f aca="false">IF(S502&gt;0,"Yes","No")</f>
        <v>No</v>
      </c>
      <c r="U502" s="0" t="n">
        <v>0</v>
      </c>
      <c r="V502" s="0" t="n">
        <v>7</v>
      </c>
      <c r="W502" s="0" t="str">
        <f aca="false">IF(OR(AND(M502=1,ISBLANK(V502)),AND(M502=0,NOT(ISBLANK(V502)))),"Yes","No")</f>
        <v>No</v>
      </c>
      <c r="X502" s="0" t="n">
        <v>41.3</v>
      </c>
      <c r="Y502" s="3" t="s">
        <v>30</v>
      </c>
      <c r="Z502" s="3" t="n">
        <f aca="false">IF(M502=1,P502,"")</f>
        <v>513.61</v>
      </c>
    </row>
    <row r="503" customFormat="false" ht="15" hidden="false" customHeight="false" outlineLevel="0" collapsed="false">
      <c r="A503" s="0" t="s">
        <v>546</v>
      </c>
      <c r="B503" s="2" t="n">
        <v>45722</v>
      </c>
      <c r="C503" s="3" t="s">
        <v>27</v>
      </c>
      <c r="D503" s="3" t="s">
        <v>28</v>
      </c>
      <c r="E503" s="3" t="s">
        <v>35</v>
      </c>
      <c r="F503" s="3" t="s">
        <v>30</v>
      </c>
      <c r="G503" s="3" t="s">
        <v>31</v>
      </c>
      <c r="H503" s="3" t="s">
        <v>30</v>
      </c>
      <c r="I503" s="3" t="s">
        <v>37</v>
      </c>
      <c r="J503" s="0" t="n">
        <v>0</v>
      </c>
      <c r="K503" s="0" t="n">
        <v>0</v>
      </c>
      <c r="L503" s="0" t="n">
        <v>0</v>
      </c>
      <c r="M503" s="0" t="n">
        <v>0</v>
      </c>
      <c r="N503" s="0" t="str">
        <f aca="false">IF(OR(NOT(OR(J503=0,J503=1)),NOT(OR(K503=0,K503=1)),NOT(OR(L503=0,L503=1)),NOT(OR(M503=0,M503=1)),NOT(OR(U503=0,U503=1))),"Yes","No")</f>
        <v>No</v>
      </c>
      <c r="O503" s="0" t="str">
        <f aca="false">IF(OR(AND(M503=1,L503=0),AND(L503=1,K503=0),AND(K503=1,J503=0)),"Yes","No")</f>
        <v>No</v>
      </c>
      <c r="P503" s="0" t="n">
        <v>0</v>
      </c>
      <c r="Q503" s="0" t="str">
        <f aca="false">IF(OR(AND(M503=0,P503&gt;0),AND(M503=1,P503&lt;=0)),"Yes","No")</f>
        <v>No</v>
      </c>
      <c r="R503" s="0" t="str">
        <f aca="false">IF(AND(M503=1,P503&gt;calc_helpers!$B$5),"Yes","No")</f>
        <v>No</v>
      </c>
      <c r="S503" s="0" t="n">
        <v>0</v>
      </c>
      <c r="T503" s="0" t="str">
        <f aca="false">IF(S503&gt;0,"Yes","No")</f>
        <v>No</v>
      </c>
      <c r="U503" s="0" t="n">
        <v>0</v>
      </c>
      <c r="W503" s="0" t="str">
        <f aca="false">IF(OR(AND(M503=1,ISBLANK(V503)),AND(M503=0,NOT(ISBLANK(V503)))),"Yes","No")</f>
        <v>No</v>
      </c>
      <c r="X503" s="0" t="n">
        <v>61.4</v>
      </c>
      <c r="Y503" s="3" t="s">
        <v>30</v>
      </c>
      <c r="Z503" s="0" t="str">
        <f aca="false">IF(M503=1,P503,"")</f>
        <v/>
      </c>
    </row>
    <row r="504" customFormat="false" ht="15" hidden="false" customHeight="false" outlineLevel="0" collapsed="false">
      <c r="A504" s="0" t="s">
        <v>547</v>
      </c>
      <c r="B504" s="2" t="n">
        <v>45706</v>
      </c>
      <c r="C504" s="3" t="s">
        <v>27</v>
      </c>
      <c r="D504" s="3" t="s">
        <v>43</v>
      </c>
      <c r="E504" s="3" t="s">
        <v>29</v>
      </c>
      <c r="F504" s="3" t="s">
        <v>30</v>
      </c>
      <c r="G504" s="3" t="s">
        <v>52</v>
      </c>
      <c r="H504" s="3" t="s">
        <v>30</v>
      </c>
      <c r="I504" s="3" t="s">
        <v>37</v>
      </c>
      <c r="J504" s="0" t="n">
        <v>0</v>
      </c>
      <c r="K504" s="0" t="n">
        <v>0</v>
      </c>
      <c r="L504" s="0" t="n">
        <v>0</v>
      </c>
      <c r="M504" s="0" t="n">
        <v>0</v>
      </c>
      <c r="N504" s="0" t="str">
        <f aca="false">IF(OR(NOT(OR(J504=0,J504=1)),NOT(OR(K504=0,K504=1)),NOT(OR(L504=0,L504=1)),NOT(OR(M504=0,M504=1)),NOT(OR(U504=0,U504=1))),"Yes","No")</f>
        <v>No</v>
      </c>
      <c r="O504" s="0" t="str">
        <f aca="false">IF(OR(AND(M504=1,L504=0),AND(L504=1,K504=0),AND(K504=1,J504=0)),"Yes","No")</f>
        <v>No</v>
      </c>
      <c r="P504" s="0" t="n">
        <v>0</v>
      </c>
      <c r="Q504" s="0" t="str">
        <f aca="false">IF(OR(AND(M504=0,P504&gt;0),AND(M504=1,P504&lt;=0)),"Yes","No")</f>
        <v>No</v>
      </c>
      <c r="R504" s="0" t="str">
        <f aca="false">IF(AND(M504=1,P504&gt;calc_helpers!$B$5),"Yes","No")</f>
        <v>No</v>
      </c>
      <c r="S504" s="0" t="n">
        <v>0</v>
      </c>
      <c r="T504" s="0" t="str">
        <f aca="false">IF(S504&gt;0,"Yes","No")</f>
        <v>No</v>
      </c>
      <c r="U504" s="0" t="n">
        <v>0</v>
      </c>
      <c r="W504" s="0" t="str">
        <f aca="false">IF(OR(AND(M504=1,ISBLANK(V504)),AND(M504=0,NOT(ISBLANK(V504)))),"Yes","No")</f>
        <v>No</v>
      </c>
      <c r="X504" s="0" t="n">
        <v>57.8</v>
      </c>
      <c r="Y504" s="3" t="s">
        <v>30</v>
      </c>
      <c r="Z504" s="0" t="str">
        <f aca="false">IF(M504=1,P504,"")</f>
        <v/>
      </c>
    </row>
    <row r="505" customFormat="false" ht="15" hidden="false" customHeight="false" outlineLevel="0" collapsed="false">
      <c r="A505" s="0" t="s">
        <v>548</v>
      </c>
      <c r="B505" s="2" t="n">
        <v>45754</v>
      </c>
      <c r="C505" s="3" t="s">
        <v>27</v>
      </c>
      <c r="D505" s="3" t="s">
        <v>28</v>
      </c>
      <c r="E505" s="3" t="s">
        <v>29</v>
      </c>
      <c r="F505" s="3" t="s">
        <v>30</v>
      </c>
      <c r="G505" s="3" t="s">
        <v>36</v>
      </c>
      <c r="H505" s="3" t="s">
        <v>30</v>
      </c>
      <c r="I505" s="3" t="s">
        <v>37</v>
      </c>
      <c r="J505" s="0" t="n">
        <v>0</v>
      </c>
      <c r="K505" s="0" t="n">
        <v>0</v>
      </c>
      <c r="L505" s="0" t="n">
        <v>0</v>
      </c>
      <c r="M505" s="0" t="n">
        <v>0</v>
      </c>
      <c r="N505" s="0" t="str">
        <f aca="false">IF(OR(NOT(OR(J505=0,J505=1)),NOT(OR(K505=0,K505=1)),NOT(OR(L505=0,L505=1)),NOT(OR(M505=0,M505=1)),NOT(OR(U505=0,U505=1))),"Yes","No")</f>
        <v>No</v>
      </c>
      <c r="O505" s="0" t="str">
        <f aca="false">IF(OR(AND(M505=1,L505=0),AND(L505=1,K505=0),AND(K505=1,J505=0)),"Yes","No")</f>
        <v>No</v>
      </c>
      <c r="P505" s="0" t="n">
        <v>0</v>
      </c>
      <c r="Q505" s="0" t="str">
        <f aca="false">IF(OR(AND(M505=0,P505&gt;0),AND(M505=1,P505&lt;=0)),"Yes","No")</f>
        <v>No</v>
      </c>
      <c r="R505" s="0" t="str">
        <f aca="false">IF(AND(M505=1,P505&gt;calc_helpers!$B$5),"Yes","No")</f>
        <v>No</v>
      </c>
      <c r="S505" s="0" t="n">
        <v>0</v>
      </c>
      <c r="T505" s="0" t="str">
        <f aca="false">IF(S505&gt;0,"Yes","No")</f>
        <v>No</v>
      </c>
      <c r="U505" s="0" t="n">
        <v>0</v>
      </c>
      <c r="W505" s="0" t="str">
        <f aca="false">IF(OR(AND(M505=1,ISBLANK(V505)),AND(M505=0,NOT(ISBLANK(V505)))),"Yes","No")</f>
        <v>No</v>
      </c>
      <c r="X505" s="0" t="n">
        <v>78.2</v>
      </c>
      <c r="Y505" s="3" t="s">
        <v>30</v>
      </c>
      <c r="Z505" s="0" t="str">
        <f aca="false">IF(M505=1,P505,"")</f>
        <v/>
      </c>
    </row>
    <row r="506" customFormat="false" ht="15" hidden="false" customHeight="false" outlineLevel="0" collapsed="false">
      <c r="A506" s="0" t="s">
        <v>549</v>
      </c>
      <c r="B506" s="2" t="n">
        <v>45753</v>
      </c>
      <c r="C506" s="3" t="s">
        <v>27</v>
      </c>
      <c r="D506" s="3" t="s">
        <v>28</v>
      </c>
      <c r="E506" s="3" t="s">
        <v>35</v>
      </c>
      <c r="F506" s="3" t="s">
        <v>30</v>
      </c>
      <c r="G506" s="3" t="s">
        <v>50</v>
      </c>
      <c r="H506" s="3" t="s">
        <v>30</v>
      </c>
      <c r="I506" s="3" t="s">
        <v>37</v>
      </c>
      <c r="J506" s="0" t="n">
        <v>0</v>
      </c>
      <c r="K506" s="0" t="n">
        <v>0</v>
      </c>
      <c r="L506" s="0" t="n">
        <v>0</v>
      </c>
      <c r="M506" s="0" t="n">
        <v>0</v>
      </c>
      <c r="N506" s="0" t="str">
        <f aca="false">IF(OR(NOT(OR(J506=0,J506=1)),NOT(OR(K506=0,K506=1)),NOT(OR(L506=0,L506=1)),NOT(OR(M506=0,M506=1)),NOT(OR(U506=0,U506=1))),"Yes","No")</f>
        <v>No</v>
      </c>
      <c r="O506" s="0" t="str">
        <f aca="false">IF(OR(AND(M506=1,L506=0),AND(L506=1,K506=0),AND(K506=1,J506=0)),"Yes","No")</f>
        <v>No</v>
      </c>
      <c r="P506" s="0" t="n">
        <v>0</v>
      </c>
      <c r="Q506" s="0" t="str">
        <f aca="false">IF(OR(AND(M506=0,P506&gt;0),AND(M506=1,P506&lt;=0)),"Yes","No")</f>
        <v>No</v>
      </c>
      <c r="R506" s="0" t="str">
        <f aca="false">IF(AND(M506=1,P506&gt;calc_helpers!$B$5),"Yes","No")</f>
        <v>No</v>
      </c>
      <c r="S506" s="0" t="n">
        <v>0</v>
      </c>
      <c r="T506" s="0" t="str">
        <f aca="false">IF(S506&gt;0,"Yes","No")</f>
        <v>No</v>
      </c>
      <c r="U506" s="0" t="n">
        <v>0</v>
      </c>
      <c r="W506" s="0" t="str">
        <f aca="false">IF(OR(AND(M506=1,ISBLANK(V506)),AND(M506=0,NOT(ISBLANK(V506)))),"Yes","No")</f>
        <v>No</v>
      </c>
      <c r="X506" s="0" t="n">
        <v>63.8</v>
      </c>
      <c r="Y506" s="3" t="s">
        <v>30</v>
      </c>
      <c r="Z506" s="0" t="str">
        <f aca="false">IF(M506=1,P506,"")</f>
        <v/>
      </c>
    </row>
    <row r="507" customFormat="false" ht="15" hidden="false" customHeight="false" outlineLevel="0" collapsed="false">
      <c r="A507" s="0" t="s">
        <v>550</v>
      </c>
      <c r="B507" s="2" t="n">
        <v>45687</v>
      </c>
      <c r="C507" s="3" t="s">
        <v>27</v>
      </c>
      <c r="D507" s="3" t="s">
        <v>28</v>
      </c>
      <c r="E507" s="3" t="s">
        <v>29</v>
      </c>
      <c r="F507" s="3" t="s">
        <v>30</v>
      </c>
      <c r="G507" s="3" t="s">
        <v>52</v>
      </c>
      <c r="H507" s="3" t="s">
        <v>30</v>
      </c>
      <c r="I507" s="3" t="s">
        <v>37</v>
      </c>
      <c r="J507" s="0" t="n">
        <v>1</v>
      </c>
      <c r="K507" s="0" t="n">
        <v>0</v>
      </c>
      <c r="L507" s="0" t="n">
        <v>0</v>
      </c>
      <c r="M507" s="0" t="n">
        <v>0</v>
      </c>
      <c r="N507" s="0" t="str">
        <f aca="false">IF(OR(NOT(OR(J507=0,J507=1)),NOT(OR(K507=0,K507=1)),NOT(OR(L507=0,L507=1)),NOT(OR(M507=0,M507=1)),NOT(OR(U507=0,U507=1))),"Yes","No")</f>
        <v>No</v>
      </c>
      <c r="O507" s="0" t="str">
        <f aca="false">IF(OR(AND(M507=1,L507=0),AND(L507=1,K507=0),AND(K507=1,J507=0)),"Yes","No")</f>
        <v>No</v>
      </c>
      <c r="P507" s="0" t="n">
        <v>0</v>
      </c>
      <c r="Q507" s="0" t="str">
        <f aca="false">IF(OR(AND(M507=0,P507&gt;0),AND(M507=1,P507&lt;=0)),"Yes","No")</f>
        <v>No</v>
      </c>
      <c r="R507" s="0" t="str">
        <f aca="false">IF(AND(M507=1,P507&gt;calc_helpers!$B$5),"Yes","No")</f>
        <v>No</v>
      </c>
      <c r="S507" s="0" t="n">
        <v>0</v>
      </c>
      <c r="T507" s="0" t="str">
        <f aca="false">IF(S507&gt;0,"Yes","No")</f>
        <v>No</v>
      </c>
      <c r="U507" s="0" t="n">
        <v>0</v>
      </c>
      <c r="W507" s="0" t="str">
        <f aca="false">IF(OR(AND(M507=1,ISBLANK(V507)),AND(M507=0,NOT(ISBLANK(V507)))),"Yes","No")</f>
        <v>No</v>
      </c>
      <c r="X507" s="0" t="n">
        <v>56.8</v>
      </c>
      <c r="Y507" s="3" t="s">
        <v>30</v>
      </c>
      <c r="Z507" s="0" t="str">
        <f aca="false">IF(M507=1,P507,"")</f>
        <v/>
      </c>
    </row>
    <row r="508" customFormat="false" ht="15" hidden="false" customHeight="false" outlineLevel="0" collapsed="false">
      <c r="A508" s="0" t="s">
        <v>551</v>
      </c>
      <c r="B508" s="2" t="n">
        <v>45790</v>
      </c>
      <c r="C508" s="3" t="s">
        <v>27</v>
      </c>
      <c r="D508" s="3" t="s">
        <v>43</v>
      </c>
      <c r="E508" s="3" t="s">
        <v>29</v>
      </c>
      <c r="F508" s="3" t="s">
        <v>30</v>
      </c>
      <c r="G508" s="3" t="s">
        <v>36</v>
      </c>
      <c r="H508" s="3" t="s">
        <v>30</v>
      </c>
      <c r="I508" s="3" t="s">
        <v>32</v>
      </c>
      <c r="J508" s="0" t="n">
        <v>1</v>
      </c>
      <c r="K508" s="0" t="n">
        <v>1</v>
      </c>
      <c r="L508" s="0" t="n">
        <v>0</v>
      </c>
      <c r="M508" s="0" t="n">
        <v>0</v>
      </c>
      <c r="N508" s="0" t="str">
        <f aca="false">IF(OR(NOT(OR(J508=0,J508=1)),NOT(OR(K508=0,K508=1)),NOT(OR(L508=0,L508=1)),NOT(OR(M508=0,M508=1)),NOT(OR(U508=0,U508=1))),"Yes","No")</f>
        <v>No</v>
      </c>
      <c r="O508" s="0" t="str">
        <f aca="false">IF(OR(AND(M508=1,L508=0),AND(L508=1,K508=0),AND(K508=1,J508=0)),"Yes","No")</f>
        <v>No</v>
      </c>
      <c r="P508" s="0" t="n">
        <v>0</v>
      </c>
      <c r="Q508" s="0" t="str">
        <f aca="false">IF(OR(AND(M508=0,P508&gt;0),AND(M508=1,P508&lt;=0)),"Yes","No")</f>
        <v>No</v>
      </c>
      <c r="R508" s="0" t="str">
        <f aca="false">IF(AND(M508=1,P508&gt;calc_helpers!$B$5),"Yes","No")</f>
        <v>No</v>
      </c>
      <c r="S508" s="0" t="n">
        <v>0</v>
      </c>
      <c r="T508" s="0" t="str">
        <f aca="false">IF(S508&gt;0,"Yes","No")</f>
        <v>No</v>
      </c>
      <c r="U508" s="0" t="n">
        <v>0</v>
      </c>
      <c r="W508" s="0" t="str">
        <f aca="false">IF(OR(AND(M508=1,ISBLANK(V508)),AND(M508=0,NOT(ISBLANK(V508)))),"Yes","No")</f>
        <v>No</v>
      </c>
      <c r="X508" s="0" t="n">
        <v>59.6</v>
      </c>
      <c r="Y508" s="3" t="s">
        <v>30</v>
      </c>
      <c r="Z508" s="0" t="str">
        <f aca="false">IF(M508=1,P508,"")</f>
        <v/>
      </c>
    </row>
    <row r="509" customFormat="false" ht="15" hidden="false" customHeight="false" outlineLevel="0" collapsed="false">
      <c r="A509" s="0" t="s">
        <v>552</v>
      </c>
      <c r="B509" s="2" t="n">
        <v>45677</v>
      </c>
      <c r="C509" s="3" t="s">
        <v>27</v>
      </c>
      <c r="D509" s="3" t="s">
        <v>34</v>
      </c>
      <c r="E509" s="3" t="s">
        <v>35</v>
      </c>
      <c r="F509" s="3" t="s">
        <v>30</v>
      </c>
      <c r="G509" s="3" t="s">
        <v>40</v>
      </c>
      <c r="H509" s="3" t="s">
        <v>30</v>
      </c>
      <c r="I509" s="3" t="s">
        <v>41</v>
      </c>
      <c r="J509" s="0" t="n">
        <v>1</v>
      </c>
      <c r="K509" s="0" t="n">
        <v>1</v>
      </c>
      <c r="L509" s="0" t="n">
        <v>0</v>
      </c>
      <c r="M509" s="0" t="n">
        <v>0</v>
      </c>
      <c r="N509" s="0" t="str">
        <f aca="false">IF(OR(NOT(OR(J509=0,J509=1)),NOT(OR(K509=0,K509=1)),NOT(OR(L509=0,L509=1)),NOT(OR(M509=0,M509=1)),NOT(OR(U509=0,U509=1))),"Yes","No")</f>
        <v>No</v>
      </c>
      <c r="O509" s="0" t="str">
        <f aca="false">IF(OR(AND(M509=1,L509=0),AND(L509=1,K509=0),AND(K509=1,J509=0)),"Yes","No")</f>
        <v>No</v>
      </c>
      <c r="P509" s="0" t="n">
        <v>0</v>
      </c>
      <c r="Q509" s="0" t="str">
        <f aca="false">IF(OR(AND(M509=0,P509&gt;0),AND(M509=1,P509&lt;=0)),"Yes","No")</f>
        <v>No</v>
      </c>
      <c r="R509" s="0" t="str">
        <f aca="false">IF(AND(M509=1,P509&gt;calc_helpers!$B$5),"Yes","No")</f>
        <v>No</v>
      </c>
      <c r="S509" s="0" t="n">
        <v>0</v>
      </c>
      <c r="T509" s="0" t="str">
        <f aca="false">IF(S509&gt;0,"Yes","No")</f>
        <v>No</v>
      </c>
      <c r="U509" s="0" t="n">
        <v>0</v>
      </c>
      <c r="W509" s="0" t="str">
        <f aca="false">IF(OR(AND(M509=1,ISBLANK(V509)),AND(M509=0,NOT(ISBLANK(V509)))),"Yes","No")</f>
        <v>No</v>
      </c>
      <c r="X509" s="0" t="n">
        <v>50</v>
      </c>
      <c r="Y509" s="3" t="s">
        <v>30</v>
      </c>
      <c r="Z509" s="0" t="str">
        <f aca="false">IF(M509=1,P509,"")</f>
        <v/>
      </c>
    </row>
    <row r="510" customFormat="false" ht="15" hidden="false" customHeight="false" outlineLevel="0" collapsed="false">
      <c r="A510" s="0" t="s">
        <v>553</v>
      </c>
      <c r="B510" s="2" t="n">
        <v>45687</v>
      </c>
      <c r="C510" s="3" t="s">
        <v>27</v>
      </c>
      <c r="D510" s="3" t="s">
        <v>28</v>
      </c>
      <c r="E510" s="3" t="s">
        <v>45</v>
      </c>
      <c r="F510" s="3" t="s">
        <v>30</v>
      </c>
      <c r="G510" s="3" t="s">
        <v>36</v>
      </c>
      <c r="H510" s="3" t="s">
        <v>30</v>
      </c>
      <c r="I510" s="3" t="s">
        <v>37</v>
      </c>
      <c r="J510" s="0" t="n">
        <v>1</v>
      </c>
      <c r="K510" s="0" t="n">
        <v>0</v>
      </c>
      <c r="L510" s="0" t="n">
        <v>0</v>
      </c>
      <c r="M510" s="0" t="n">
        <v>0</v>
      </c>
      <c r="N510" s="0" t="str">
        <f aca="false">IF(OR(NOT(OR(J510=0,J510=1)),NOT(OR(K510=0,K510=1)),NOT(OR(L510=0,L510=1)),NOT(OR(M510=0,M510=1)),NOT(OR(U510=0,U510=1))),"Yes","No")</f>
        <v>No</v>
      </c>
      <c r="O510" s="0" t="str">
        <f aca="false">IF(OR(AND(M510=1,L510=0),AND(L510=1,K510=0),AND(K510=1,J510=0)),"Yes","No")</f>
        <v>No</v>
      </c>
      <c r="P510" s="0" t="n">
        <v>0</v>
      </c>
      <c r="Q510" s="0" t="str">
        <f aca="false">IF(OR(AND(M510=0,P510&gt;0),AND(M510=1,P510&lt;=0)),"Yes","No")</f>
        <v>No</v>
      </c>
      <c r="R510" s="0" t="str">
        <f aca="false">IF(AND(M510=1,P510&gt;calc_helpers!$B$5),"Yes","No")</f>
        <v>No</v>
      </c>
      <c r="S510" s="0" t="n">
        <v>0</v>
      </c>
      <c r="T510" s="0" t="str">
        <f aca="false">IF(S510&gt;0,"Yes","No")</f>
        <v>No</v>
      </c>
      <c r="U510" s="0" t="n">
        <v>0</v>
      </c>
      <c r="W510" s="0" t="str">
        <f aca="false">IF(OR(AND(M510=1,ISBLANK(V510)),AND(M510=0,NOT(ISBLANK(V510)))),"Yes","No")</f>
        <v>No</v>
      </c>
      <c r="X510" s="0" t="n">
        <v>35.7</v>
      </c>
      <c r="Y510" s="3" t="s">
        <v>30</v>
      </c>
      <c r="Z510" s="0" t="str">
        <f aca="false">IF(M510=1,P510,"")</f>
        <v/>
      </c>
    </row>
    <row r="511" customFormat="false" ht="15" hidden="false" customHeight="false" outlineLevel="0" collapsed="false">
      <c r="A511" s="0" t="s">
        <v>554</v>
      </c>
      <c r="B511" s="2" t="n">
        <v>45670</v>
      </c>
      <c r="C511" s="3" t="s">
        <v>27</v>
      </c>
      <c r="D511" s="3" t="s">
        <v>43</v>
      </c>
      <c r="E511" s="3" t="s">
        <v>35</v>
      </c>
      <c r="F511" s="3" t="s">
        <v>30</v>
      </c>
      <c r="G511" s="3" t="s">
        <v>36</v>
      </c>
      <c r="H511" s="3" t="s">
        <v>30</v>
      </c>
      <c r="I511" s="3" t="s">
        <v>37</v>
      </c>
      <c r="J511" s="0" t="n">
        <v>0</v>
      </c>
      <c r="K511" s="0" t="n">
        <v>0</v>
      </c>
      <c r="L511" s="0" t="n">
        <v>0</v>
      </c>
      <c r="M511" s="0" t="n">
        <v>0</v>
      </c>
      <c r="N511" s="0" t="str">
        <f aca="false">IF(OR(NOT(OR(J511=0,J511=1)),NOT(OR(K511=0,K511=1)),NOT(OR(L511=0,L511=1)),NOT(OR(M511=0,M511=1)),NOT(OR(U511=0,U511=1))),"Yes","No")</f>
        <v>No</v>
      </c>
      <c r="O511" s="0" t="str">
        <f aca="false">IF(OR(AND(M511=1,L511=0),AND(L511=1,K511=0),AND(K511=1,J511=0)),"Yes","No")</f>
        <v>No</v>
      </c>
      <c r="P511" s="0" t="n">
        <v>0</v>
      </c>
      <c r="Q511" s="0" t="str">
        <f aca="false">IF(OR(AND(M511=0,P511&gt;0),AND(M511=1,P511&lt;=0)),"Yes","No")</f>
        <v>No</v>
      </c>
      <c r="R511" s="0" t="str">
        <f aca="false">IF(AND(M511=1,P511&gt;calc_helpers!$B$5),"Yes","No")</f>
        <v>No</v>
      </c>
      <c r="S511" s="0" t="n">
        <v>2</v>
      </c>
      <c r="T511" s="0" t="str">
        <f aca="false">IF(S511&gt;0,"Yes","No")</f>
        <v>Yes</v>
      </c>
      <c r="U511" s="0" t="n">
        <v>0</v>
      </c>
      <c r="W511" s="0" t="str">
        <f aca="false">IF(OR(AND(M511=1,ISBLANK(V511)),AND(M511=0,NOT(ISBLANK(V511)))),"Yes","No")</f>
        <v>No</v>
      </c>
      <c r="X511" s="0" t="n">
        <v>47.2</v>
      </c>
      <c r="Y511" s="3" t="s">
        <v>30</v>
      </c>
      <c r="Z511" s="0" t="str">
        <f aca="false">IF(M511=1,P511,"")</f>
        <v/>
      </c>
    </row>
    <row r="512" customFormat="false" ht="15" hidden="false" customHeight="false" outlineLevel="0" collapsed="false">
      <c r="A512" s="0" t="s">
        <v>555</v>
      </c>
      <c r="B512" s="2" t="n">
        <v>45699</v>
      </c>
      <c r="C512" s="3" t="s">
        <v>27</v>
      </c>
      <c r="D512" s="3" t="s">
        <v>28</v>
      </c>
      <c r="E512" s="3" t="s">
        <v>35</v>
      </c>
      <c r="F512" s="3" t="s">
        <v>30</v>
      </c>
      <c r="G512" s="3" t="s">
        <v>52</v>
      </c>
      <c r="H512" s="3" t="s">
        <v>30</v>
      </c>
      <c r="I512" s="3" t="s">
        <v>37</v>
      </c>
      <c r="J512" s="0" t="n">
        <v>1</v>
      </c>
      <c r="K512" s="0" t="n">
        <v>1</v>
      </c>
      <c r="L512" s="0" t="n">
        <v>0</v>
      </c>
      <c r="M512" s="0" t="n">
        <v>0</v>
      </c>
      <c r="N512" s="0" t="str">
        <f aca="false">IF(OR(NOT(OR(J512=0,J512=1)),NOT(OR(K512=0,K512=1)),NOT(OR(L512=0,L512=1)),NOT(OR(M512=0,M512=1)),NOT(OR(U512=0,U512=1))),"Yes","No")</f>
        <v>No</v>
      </c>
      <c r="O512" s="0" t="str">
        <f aca="false">IF(OR(AND(M512=1,L512=0),AND(L512=1,K512=0),AND(K512=1,J512=0)),"Yes","No")</f>
        <v>No</v>
      </c>
      <c r="P512" s="0" t="n">
        <v>0</v>
      </c>
      <c r="Q512" s="0" t="str">
        <f aca="false">IF(OR(AND(M512=0,P512&gt;0),AND(M512=1,P512&lt;=0)),"Yes","No")</f>
        <v>No</v>
      </c>
      <c r="R512" s="0" t="str">
        <f aca="false">IF(AND(M512=1,P512&gt;calc_helpers!$B$5),"Yes","No")</f>
        <v>No</v>
      </c>
      <c r="S512" s="0" t="n">
        <v>0</v>
      </c>
      <c r="T512" s="0" t="str">
        <f aca="false">IF(S512&gt;0,"Yes","No")</f>
        <v>No</v>
      </c>
      <c r="U512" s="0" t="n">
        <v>0</v>
      </c>
      <c r="W512" s="0" t="str">
        <f aca="false">IF(OR(AND(M512=1,ISBLANK(V512)),AND(M512=0,NOT(ISBLANK(V512)))),"Yes","No")</f>
        <v>No</v>
      </c>
      <c r="X512" s="0" t="n">
        <v>56.9</v>
      </c>
      <c r="Y512" s="3" t="s">
        <v>30</v>
      </c>
      <c r="Z512" s="0" t="str">
        <f aca="false">IF(M512=1,P512,"")</f>
        <v/>
      </c>
    </row>
    <row r="513" customFormat="false" ht="15" hidden="false" customHeight="false" outlineLevel="0" collapsed="false">
      <c r="A513" s="0" t="s">
        <v>556</v>
      </c>
      <c r="B513" s="2" t="n">
        <v>45762</v>
      </c>
      <c r="C513" s="3" t="s">
        <v>27</v>
      </c>
      <c r="D513" s="3" t="s">
        <v>43</v>
      </c>
      <c r="E513" s="3" t="s">
        <v>35</v>
      </c>
      <c r="F513" s="3" t="s">
        <v>30</v>
      </c>
      <c r="G513" s="3" t="s">
        <v>36</v>
      </c>
      <c r="H513" s="3" t="s">
        <v>30</v>
      </c>
      <c r="I513" s="3" t="s">
        <v>37</v>
      </c>
      <c r="J513" s="0" t="n">
        <v>0</v>
      </c>
      <c r="K513" s="0" t="n">
        <v>0</v>
      </c>
      <c r="L513" s="0" t="n">
        <v>0</v>
      </c>
      <c r="M513" s="0" t="n">
        <v>0</v>
      </c>
      <c r="N513" s="0" t="str">
        <f aca="false">IF(OR(NOT(OR(J513=0,J513=1)),NOT(OR(K513=0,K513=1)),NOT(OR(L513=0,L513=1)),NOT(OR(M513=0,M513=1)),NOT(OR(U513=0,U513=1))),"Yes","No")</f>
        <v>No</v>
      </c>
      <c r="O513" s="0" t="str">
        <f aca="false">IF(OR(AND(M513=1,L513=0),AND(L513=1,K513=0),AND(K513=1,J513=0)),"Yes","No")</f>
        <v>No</v>
      </c>
      <c r="P513" s="0" t="n">
        <v>0</v>
      </c>
      <c r="Q513" s="0" t="str">
        <f aca="false">IF(OR(AND(M513=0,P513&gt;0),AND(M513=1,P513&lt;=0)),"Yes","No")</f>
        <v>No</v>
      </c>
      <c r="R513" s="0" t="str">
        <f aca="false">IF(AND(M513=1,P513&gt;calc_helpers!$B$5),"Yes","No")</f>
        <v>No</v>
      </c>
      <c r="S513" s="0" t="n">
        <v>1</v>
      </c>
      <c r="T513" s="0" t="str">
        <f aca="false">IF(S513&gt;0,"Yes","No")</f>
        <v>Yes</v>
      </c>
      <c r="U513" s="0" t="n">
        <v>0</v>
      </c>
      <c r="W513" s="0" t="str">
        <f aca="false">IF(OR(AND(M513=1,ISBLANK(V513)),AND(M513=0,NOT(ISBLANK(V513)))),"Yes","No")</f>
        <v>No</v>
      </c>
      <c r="X513" s="0" t="n">
        <v>57.2</v>
      </c>
      <c r="Y513" s="3" t="s">
        <v>30</v>
      </c>
      <c r="Z513" s="0" t="str">
        <f aca="false">IF(M513=1,P513,"")</f>
        <v/>
      </c>
    </row>
    <row r="514" customFormat="false" ht="15" hidden="false" customHeight="false" outlineLevel="0" collapsed="false">
      <c r="A514" s="0" t="s">
        <v>557</v>
      </c>
      <c r="B514" s="2" t="n">
        <v>45701</v>
      </c>
      <c r="C514" s="3" t="s">
        <v>27</v>
      </c>
      <c r="D514" s="3" t="s">
        <v>43</v>
      </c>
      <c r="E514" s="3" t="s">
        <v>35</v>
      </c>
      <c r="F514" s="3" t="s">
        <v>30</v>
      </c>
      <c r="G514" s="3" t="s">
        <v>167</v>
      </c>
      <c r="H514" s="3" t="s">
        <v>168</v>
      </c>
      <c r="I514" s="3" t="s">
        <v>37</v>
      </c>
      <c r="J514" s="0" t="n">
        <v>1</v>
      </c>
      <c r="K514" s="0" t="n">
        <v>1</v>
      </c>
      <c r="L514" s="0" t="n">
        <v>0</v>
      </c>
      <c r="M514" s="0" t="n">
        <v>0</v>
      </c>
      <c r="N514" s="0" t="str">
        <f aca="false">IF(OR(NOT(OR(J514=0,J514=1)),NOT(OR(K514=0,K514=1)),NOT(OR(L514=0,L514=1)),NOT(OR(M514=0,M514=1)),NOT(OR(U514=0,U514=1))),"Yes","No")</f>
        <v>No</v>
      </c>
      <c r="O514" s="0" t="str">
        <f aca="false">IF(OR(AND(M514=1,L514=0),AND(L514=1,K514=0),AND(K514=1,J514=0)),"Yes","No")</f>
        <v>No</v>
      </c>
      <c r="P514" s="0" t="n">
        <v>0</v>
      </c>
      <c r="Q514" s="0" t="str">
        <f aca="false">IF(OR(AND(M514=0,P514&gt;0),AND(M514=1,P514&lt;=0)),"Yes","No")</f>
        <v>No</v>
      </c>
      <c r="R514" s="0" t="str">
        <f aca="false">IF(AND(M514=1,P514&gt;calc_helpers!$B$5),"Yes","No")</f>
        <v>No</v>
      </c>
      <c r="S514" s="0" t="n">
        <v>0</v>
      </c>
      <c r="T514" s="0" t="str">
        <f aca="false">IF(S514&gt;0,"Yes","No")</f>
        <v>No</v>
      </c>
      <c r="U514" s="0" t="n">
        <v>0</v>
      </c>
      <c r="W514" s="0" t="str">
        <f aca="false">IF(OR(AND(M514=1,ISBLANK(V514)),AND(M514=0,NOT(ISBLANK(V514)))),"Yes","No")</f>
        <v>No</v>
      </c>
      <c r="X514" s="0" t="n">
        <v>31.4</v>
      </c>
      <c r="Y514" s="3" t="s">
        <v>30</v>
      </c>
      <c r="Z514" s="0" t="str">
        <f aca="false">IF(M514=1,P514,"")</f>
        <v/>
      </c>
    </row>
    <row r="515" customFormat="false" ht="15" hidden="false" customHeight="false" outlineLevel="0" collapsed="false">
      <c r="A515" s="0" t="s">
        <v>558</v>
      </c>
      <c r="B515" s="2" t="n">
        <v>45786</v>
      </c>
      <c r="C515" s="3" t="s">
        <v>27</v>
      </c>
      <c r="D515" s="3" t="s">
        <v>43</v>
      </c>
      <c r="E515" s="3" t="s">
        <v>29</v>
      </c>
      <c r="F515" s="3" t="s">
        <v>30</v>
      </c>
      <c r="G515" s="3" t="s">
        <v>36</v>
      </c>
      <c r="H515" s="3" t="s">
        <v>30</v>
      </c>
      <c r="I515" s="3" t="s">
        <v>37</v>
      </c>
      <c r="J515" s="0" t="n">
        <v>0</v>
      </c>
      <c r="K515" s="0" t="n">
        <v>0</v>
      </c>
      <c r="L515" s="0" t="n">
        <v>0</v>
      </c>
      <c r="M515" s="0" t="n">
        <v>0</v>
      </c>
      <c r="N515" s="0" t="str">
        <f aca="false">IF(OR(NOT(OR(J515=0,J515=1)),NOT(OR(K515=0,K515=1)),NOT(OR(L515=0,L515=1)),NOT(OR(M515=0,M515=1)),NOT(OR(U515=0,U515=1))),"Yes","No")</f>
        <v>No</v>
      </c>
      <c r="O515" s="0" t="str">
        <f aca="false">IF(OR(AND(M515=1,L515=0),AND(L515=1,K515=0),AND(K515=1,J515=0)),"Yes","No")</f>
        <v>No</v>
      </c>
      <c r="P515" s="0" t="n">
        <v>0</v>
      </c>
      <c r="Q515" s="0" t="str">
        <f aca="false">IF(OR(AND(M515=0,P515&gt;0),AND(M515=1,P515&lt;=0)),"Yes","No")</f>
        <v>No</v>
      </c>
      <c r="R515" s="0" t="str">
        <f aca="false">IF(AND(M515=1,P515&gt;calc_helpers!$B$5),"Yes","No")</f>
        <v>No</v>
      </c>
      <c r="S515" s="0" t="n">
        <v>0</v>
      </c>
      <c r="T515" s="0" t="str">
        <f aca="false">IF(S515&gt;0,"Yes","No")</f>
        <v>No</v>
      </c>
      <c r="U515" s="0" t="n">
        <v>0</v>
      </c>
      <c r="W515" s="0" t="str">
        <f aca="false">IF(OR(AND(M515=1,ISBLANK(V515)),AND(M515=0,NOT(ISBLANK(V515)))),"Yes","No")</f>
        <v>No</v>
      </c>
      <c r="X515" s="0" t="n">
        <v>71.2</v>
      </c>
      <c r="Y515" s="3" t="s">
        <v>30</v>
      </c>
      <c r="Z515" s="0" t="str">
        <f aca="false">IF(M515=1,P515,"")</f>
        <v/>
      </c>
    </row>
    <row r="516" customFormat="false" ht="15" hidden="false" customHeight="false" outlineLevel="0" collapsed="false">
      <c r="A516" s="0" t="s">
        <v>559</v>
      </c>
      <c r="B516" s="2" t="n">
        <v>45726</v>
      </c>
      <c r="C516" s="3" t="s">
        <v>27</v>
      </c>
      <c r="D516" s="3" t="s">
        <v>28</v>
      </c>
      <c r="E516" s="3" t="s">
        <v>35</v>
      </c>
      <c r="F516" s="3" t="s">
        <v>30</v>
      </c>
      <c r="G516" s="3" t="s">
        <v>40</v>
      </c>
      <c r="H516" s="3" t="s">
        <v>30</v>
      </c>
      <c r="I516" s="3" t="s">
        <v>37</v>
      </c>
      <c r="J516" s="0" t="n">
        <v>1</v>
      </c>
      <c r="K516" s="0" t="n">
        <v>1</v>
      </c>
      <c r="L516" s="0" t="n">
        <v>1</v>
      </c>
      <c r="M516" s="0" t="n">
        <v>0</v>
      </c>
      <c r="N516" s="0" t="str">
        <f aca="false">IF(OR(NOT(OR(J516=0,J516=1)),NOT(OR(K516=0,K516=1)),NOT(OR(L516=0,L516=1)),NOT(OR(M516=0,M516=1)),NOT(OR(U516=0,U516=1))),"Yes","No")</f>
        <v>No</v>
      </c>
      <c r="O516" s="0" t="str">
        <f aca="false">IF(OR(AND(M516=1,L516=0),AND(L516=1,K516=0),AND(K516=1,J516=0)),"Yes","No")</f>
        <v>No</v>
      </c>
      <c r="P516" s="0" t="n">
        <v>0</v>
      </c>
      <c r="Q516" s="0" t="str">
        <f aca="false">IF(OR(AND(M516=0,P516&gt;0),AND(M516=1,P516&lt;=0)),"Yes","No")</f>
        <v>No</v>
      </c>
      <c r="R516" s="0" t="str">
        <f aca="false">IF(AND(M516=1,P516&gt;calc_helpers!$B$5),"Yes","No")</f>
        <v>No</v>
      </c>
      <c r="S516" s="0" t="n">
        <v>1</v>
      </c>
      <c r="T516" s="0" t="str">
        <f aca="false">IF(S516&gt;0,"Yes","No")</f>
        <v>Yes</v>
      </c>
      <c r="U516" s="0" t="n">
        <v>0</v>
      </c>
      <c r="W516" s="0" t="str">
        <f aca="false">IF(OR(AND(M516=1,ISBLANK(V516)),AND(M516=0,NOT(ISBLANK(V516)))),"Yes","No")</f>
        <v>No</v>
      </c>
      <c r="X516" s="0" t="n">
        <v>38.3</v>
      </c>
      <c r="Y516" s="3" t="s">
        <v>30</v>
      </c>
      <c r="Z516" s="0" t="str">
        <f aca="false">IF(M516=1,P516,"")</f>
        <v/>
      </c>
    </row>
    <row r="517" customFormat="false" ht="15" hidden="false" customHeight="false" outlineLevel="0" collapsed="false">
      <c r="A517" s="0" t="s">
        <v>560</v>
      </c>
      <c r="B517" s="2" t="n">
        <v>45748</v>
      </c>
      <c r="C517" s="3" t="s">
        <v>27</v>
      </c>
      <c r="D517" s="3" t="s">
        <v>28</v>
      </c>
      <c r="E517" s="3" t="s">
        <v>35</v>
      </c>
      <c r="F517" s="3" t="s">
        <v>30</v>
      </c>
      <c r="G517" s="3" t="s">
        <v>36</v>
      </c>
      <c r="H517" s="3" t="s">
        <v>30</v>
      </c>
      <c r="I517" s="3" t="s">
        <v>37</v>
      </c>
      <c r="J517" s="0" t="n">
        <v>1</v>
      </c>
      <c r="K517" s="0" t="n">
        <v>1</v>
      </c>
      <c r="L517" s="0" t="n">
        <v>0</v>
      </c>
      <c r="M517" s="0" t="n">
        <v>0</v>
      </c>
      <c r="N517" s="0" t="str">
        <f aca="false">IF(OR(NOT(OR(J517=0,J517=1)),NOT(OR(K517=0,K517=1)),NOT(OR(L517=0,L517=1)),NOT(OR(M517=0,M517=1)),NOT(OR(U517=0,U517=1))),"Yes","No")</f>
        <v>No</v>
      </c>
      <c r="O517" s="0" t="str">
        <f aca="false">IF(OR(AND(M517=1,L517=0),AND(L517=1,K517=0),AND(K517=1,J517=0)),"Yes","No")</f>
        <v>No</v>
      </c>
      <c r="P517" s="0" t="n">
        <v>0</v>
      </c>
      <c r="Q517" s="0" t="str">
        <f aca="false">IF(OR(AND(M517=0,P517&gt;0),AND(M517=1,P517&lt;=0)),"Yes","No")</f>
        <v>No</v>
      </c>
      <c r="R517" s="0" t="str">
        <f aca="false">IF(AND(M517=1,P517&gt;calc_helpers!$B$5),"Yes","No")</f>
        <v>No</v>
      </c>
      <c r="S517" s="0" t="n">
        <v>0</v>
      </c>
      <c r="T517" s="0" t="str">
        <f aca="false">IF(S517&gt;0,"Yes","No")</f>
        <v>No</v>
      </c>
      <c r="U517" s="0" t="n">
        <v>0</v>
      </c>
      <c r="W517" s="0" t="str">
        <f aca="false">IF(OR(AND(M517=1,ISBLANK(V517)),AND(M517=0,NOT(ISBLANK(V517)))),"Yes","No")</f>
        <v>No</v>
      </c>
      <c r="X517" s="0" t="n">
        <v>63.1</v>
      </c>
      <c r="Y517" s="3" t="s">
        <v>30</v>
      </c>
      <c r="Z517" s="0" t="str">
        <f aca="false">IF(M517=1,P517,"")</f>
        <v/>
      </c>
    </row>
    <row r="518" customFormat="false" ht="15" hidden="false" customHeight="false" outlineLevel="0" collapsed="false">
      <c r="A518" s="0" t="s">
        <v>561</v>
      </c>
      <c r="B518" s="2" t="n">
        <v>45792</v>
      </c>
      <c r="C518" s="3" t="s">
        <v>27</v>
      </c>
      <c r="D518" s="3" t="s">
        <v>39</v>
      </c>
      <c r="E518" s="3" t="s">
        <v>35</v>
      </c>
      <c r="F518" s="3" t="s">
        <v>30</v>
      </c>
      <c r="G518" s="3" t="s">
        <v>50</v>
      </c>
      <c r="H518" s="3" t="s">
        <v>30</v>
      </c>
      <c r="I518" s="3" t="s">
        <v>32</v>
      </c>
      <c r="J518" s="0" t="n">
        <v>1</v>
      </c>
      <c r="K518" s="0" t="n">
        <v>0</v>
      </c>
      <c r="L518" s="0" t="n">
        <v>0</v>
      </c>
      <c r="M518" s="0" t="n">
        <v>0</v>
      </c>
      <c r="N518" s="0" t="str">
        <f aca="false">IF(OR(NOT(OR(J518=0,J518=1)),NOT(OR(K518=0,K518=1)),NOT(OR(L518=0,L518=1)),NOT(OR(M518=0,M518=1)),NOT(OR(U518=0,U518=1))),"Yes","No")</f>
        <v>No</v>
      </c>
      <c r="O518" s="0" t="str">
        <f aca="false">IF(OR(AND(M518=1,L518=0),AND(L518=1,K518=0),AND(K518=1,J518=0)),"Yes","No")</f>
        <v>No</v>
      </c>
      <c r="P518" s="0" t="n">
        <v>0</v>
      </c>
      <c r="Q518" s="0" t="str">
        <f aca="false">IF(OR(AND(M518=0,P518&gt;0),AND(M518=1,P518&lt;=0)),"Yes","No")</f>
        <v>No</v>
      </c>
      <c r="R518" s="0" t="str">
        <f aca="false">IF(AND(M518=1,P518&gt;calc_helpers!$B$5),"Yes","No")</f>
        <v>No</v>
      </c>
      <c r="S518" s="0" t="n">
        <v>0</v>
      </c>
      <c r="T518" s="0" t="str">
        <f aca="false">IF(S518&gt;0,"Yes","No")</f>
        <v>No</v>
      </c>
      <c r="U518" s="0" t="n">
        <v>0</v>
      </c>
      <c r="W518" s="0" t="str">
        <f aca="false">IF(OR(AND(M518=1,ISBLANK(V518)),AND(M518=0,NOT(ISBLANK(V518)))),"Yes","No")</f>
        <v>No</v>
      </c>
      <c r="X518" s="0" t="n">
        <v>59.7</v>
      </c>
      <c r="Y518" s="3" t="s">
        <v>30</v>
      </c>
      <c r="Z518" s="0" t="str">
        <f aca="false">IF(M518=1,P518,"")</f>
        <v/>
      </c>
    </row>
    <row r="519" customFormat="false" ht="15" hidden="false" customHeight="false" outlineLevel="0" collapsed="false">
      <c r="A519" s="0" t="s">
        <v>562</v>
      </c>
      <c r="B519" s="2" t="n">
        <v>45781</v>
      </c>
      <c r="C519" s="3" t="s">
        <v>27</v>
      </c>
      <c r="D519" s="3" t="s">
        <v>43</v>
      </c>
      <c r="E519" s="3" t="s">
        <v>29</v>
      </c>
      <c r="F519" s="3" t="s">
        <v>30</v>
      </c>
      <c r="G519" s="3" t="s">
        <v>52</v>
      </c>
      <c r="H519" s="3" t="s">
        <v>30</v>
      </c>
      <c r="I519" s="3" t="s">
        <v>41</v>
      </c>
      <c r="J519" s="0" t="n">
        <v>1</v>
      </c>
      <c r="K519" s="0" t="n">
        <v>1</v>
      </c>
      <c r="L519" s="0" t="n">
        <v>1</v>
      </c>
      <c r="M519" s="0" t="n">
        <v>0</v>
      </c>
      <c r="N519" s="0" t="str">
        <f aca="false">IF(OR(NOT(OR(J519=0,J519=1)),NOT(OR(K519=0,K519=1)),NOT(OR(L519=0,L519=1)),NOT(OR(M519=0,M519=1)),NOT(OR(U519=0,U519=1))),"Yes","No")</f>
        <v>No</v>
      </c>
      <c r="O519" s="0" t="str">
        <f aca="false">IF(OR(AND(M519=1,L519=0),AND(L519=1,K519=0),AND(K519=1,J519=0)),"Yes","No")</f>
        <v>No</v>
      </c>
      <c r="P519" s="0" t="n">
        <v>0</v>
      </c>
      <c r="Q519" s="0" t="str">
        <f aca="false">IF(OR(AND(M519=0,P519&gt;0),AND(M519=1,P519&lt;=0)),"Yes","No")</f>
        <v>No</v>
      </c>
      <c r="R519" s="0" t="str">
        <f aca="false">IF(AND(M519=1,P519&gt;calc_helpers!$B$5),"Yes","No")</f>
        <v>No</v>
      </c>
      <c r="S519" s="0" t="n">
        <v>0</v>
      </c>
      <c r="T519" s="0" t="str">
        <f aca="false">IF(S519&gt;0,"Yes","No")</f>
        <v>No</v>
      </c>
      <c r="U519" s="0" t="n">
        <v>0</v>
      </c>
      <c r="W519" s="0" t="str">
        <f aca="false">IF(OR(AND(M519=1,ISBLANK(V519)),AND(M519=0,NOT(ISBLANK(V519)))),"Yes","No")</f>
        <v>No</v>
      </c>
      <c r="X519" s="0" t="n">
        <v>59.5</v>
      </c>
      <c r="Y519" s="3" t="s">
        <v>30</v>
      </c>
      <c r="Z519" s="0" t="str">
        <f aca="false">IF(M519=1,P519,"")</f>
        <v/>
      </c>
    </row>
    <row r="520" customFormat="false" ht="15" hidden="false" customHeight="false" outlineLevel="0" collapsed="false">
      <c r="A520" s="0" t="s">
        <v>563</v>
      </c>
      <c r="B520" s="2" t="n">
        <v>45797</v>
      </c>
      <c r="C520" s="3" t="s">
        <v>27</v>
      </c>
      <c r="D520" s="3" t="s">
        <v>39</v>
      </c>
      <c r="E520" s="3" t="s">
        <v>35</v>
      </c>
      <c r="F520" s="3" t="s">
        <v>30</v>
      </c>
      <c r="G520" s="3" t="s">
        <v>40</v>
      </c>
      <c r="H520" s="3" t="s">
        <v>30</v>
      </c>
      <c r="I520" s="3" t="s">
        <v>37</v>
      </c>
      <c r="J520" s="0" t="n">
        <v>0</v>
      </c>
      <c r="K520" s="0" t="n">
        <v>0</v>
      </c>
      <c r="L520" s="0" t="n">
        <v>0</v>
      </c>
      <c r="M520" s="0" t="n">
        <v>0</v>
      </c>
      <c r="N520" s="0" t="str">
        <f aca="false">IF(OR(NOT(OR(J520=0,J520=1)),NOT(OR(K520=0,K520=1)),NOT(OR(L520=0,L520=1)),NOT(OR(M520=0,M520=1)),NOT(OR(U520=0,U520=1))),"Yes","No")</f>
        <v>No</v>
      </c>
      <c r="O520" s="0" t="str">
        <f aca="false">IF(OR(AND(M520=1,L520=0),AND(L520=1,K520=0),AND(K520=1,J520=0)),"Yes","No")</f>
        <v>No</v>
      </c>
      <c r="P520" s="0" t="n">
        <v>0</v>
      </c>
      <c r="Q520" s="0" t="str">
        <f aca="false">IF(OR(AND(M520=0,P520&gt;0),AND(M520=1,P520&lt;=0)),"Yes","No")</f>
        <v>No</v>
      </c>
      <c r="R520" s="0" t="str">
        <f aca="false">IF(AND(M520=1,P520&gt;calc_helpers!$B$5),"Yes","No")</f>
        <v>No</v>
      </c>
      <c r="S520" s="0" t="n">
        <v>0</v>
      </c>
      <c r="T520" s="0" t="str">
        <f aca="false">IF(S520&gt;0,"Yes","No")</f>
        <v>No</v>
      </c>
      <c r="U520" s="0" t="n">
        <v>0</v>
      </c>
      <c r="W520" s="0" t="str">
        <f aca="false">IF(OR(AND(M520=1,ISBLANK(V520)),AND(M520=0,NOT(ISBLANK(V520)))),"Yes","No")</f>
        <v>No</v>
      </c>
      <c r="X520" s="0" t="n">
        <v>78.8</v>
      </c>
      <c r="Y520" s="3" t="s">
        <v>30</v>
      </c>
      <c r="Z520" s="0" t="str">
        <f aca="false">IF(M520=1,P520,"")</f>
        <v/>
      </c>
    </row>
    <row r="521" customFormat="false" ht="15" hidden="false" customHeight="false" outlineLevel="0" collapsed="false">
      <c r="A521" s="0" t="s">
        <v>564</v>
      </c>
      <c r="B521" s="2" t="n">
        <v>45793</v>
      </c>
      <c r="C521" s="3" t="s">
        <v>27</v>
      </c>
      <c r="D521" s="3" t="s">
        <v>34</v>
      </c>
      <c r="E521" s="3" t="s">
        <v>29</v>
      </c>
      <c r="F521" s="3" t="s">
        <v>30</v>
      </c>
      <c r="G521" s="3" t="s">
        <v>50</v>
      </c>
      <c r="H521" s="3" t="s">
        <v>30</v>
      </c>
      <c r="I521" s="3" t="s">
        <v>37</v>
      </c>
      <c r="J521" s="0" t="n">
        <v>0</v>
      </c>
      <c r="K521" s="0" t="n">
        <v>0</v>
      </c>
      <c r="L521" s="0" t="n">
        <v>0</v>
      </c>
      <c r="M521" s="0" t="n">
        <v>0</v>
      </c>
      <c r="N521" s="0" t="str">
        <f aca="false">IF(OR(NOT(OR(J521=0,J521=1)),NOT(OR(K521=0,K521=1)),NOT(OR(L521=0,L521=1)),NOT(OR(M521=0,M521=1)),NOT(OR(U521=0,U521=1))),"Yes","No")</f>
        <v>No</v>
      </c>
      <c r="O521" s="0" t="str">
        <f aca="false">IF(OR(AND(M521=1,L521=0),AND(L521=1,K521=0),AND(K521=1,J521=0)),"Yes","No")</f>
        <v>No</v>
      </c>
      <c r="P521" s="0" t="n">
        <v>0</v>
      </c>
      <c r="Q521" s="0" t="str">
        <f aca="false">IF(OR(AND(M521=0,P521&gt;0),AND(M521=1,P521&lt;=0)),"Yes","No")</f>
        <v>No</v>
      </c>
      <c r="R521" s="0" t="str">
        <f aca="false">IF(AND(M521=1,P521&gt;calc_helpers!$B$5),"Yes","No")</f>
        <v>No</v>
      </c>
      <c r="S521" s="0" t="n">
        <v>0</v>
      </c>
      <c r="T521" s="0" t="str">
        <f aca="false">IF(S521&gt;0,"Yes","No")</f>
        <v>No</v>
      </c>
      <c r="U521" s="0" t="n">
        <v>0</v>
      </c>
      <c r="W521" s="0" t="str">
        <f aca="false">IF(OR(AND(M521=1,ISBLANK(V521)),AND(M521=0,NOT(ISBLANK(V521)))),"Yes","No")</f>
        <v>No</v>
      </c>
      <c r="X521" s="0" t="n">
        <v>54</v>
      </c>
      <c r="Y521" s="3" t="s">
        <v>30</v>
      </c>
      <c r="Z521" s="0" t="str">
        <f aca="false">IF(M521=1,P521,"")</f>
        <v/>
      </c>
    </row>
    <row r="522" customFormat="false" ht="15" hidden="false" customHeight="false" outlineLevel="0" collapsed="false">
      <c r="A522" s="0" t="s">
        <v>565</v>
      </c>
      <c r="B522" s="2" t="n">
        <v>45733</v>
      </c>
      <c r="C522" s="3" t="s">
        <v>27</v>
      </c>
      <c r="D522" s="3" t="s">
        <v>34</v>
      </c>
      <c r="E522" s="3" t="s">
        <v>35</v>
      </c>
      <c r="F522" s="3" t="s">
        <v>30</v>
      </c>
      <c r="G522" s="3" t="s">
        <v>36</v>
      </c>
      <c r="H522" s="3" t="s">
        <v>30</v>
      </c>
      <c r="I522" s="3" t="s">
        <v>37</v>
      </c>
      <c r="J522" s="0" t="n">
        <v>1</v>
      </c>
      <c r="K522" s="0" t="n">
        <v>0</v>
      </c>
      <c r="L522" s="0" t="n">
        <v>0</v>
      </c>
      <c r="M522" s="0" t="n">
        <v>0</v>
      </c>
      <c r="N522" s="0" t="str">
        <f aca="false">IF(OR(NOT(OR(J522=0,J522=1)),NOT(OR(K522=0,K522=1)),NOT(OR(L522=0,L522=1)),NOT(OR(M522=0,M522=1)),NOT(OR(U522=0,U522=1))),"Yes","No")</f>
        <v>No</v>
      </c>
      <c r="O522" s="0" t="str">
        <f aca="false">IF(OR(AND(M522=1,L522=0),AND(L522=1,K522=0),AND(K522=1,J522=0)),"Yes","No")</f>
        <v>No</v>
      </c>
      <c r="P522" s="0" t="n">
        <v>0</v>
      </c>
      <c r="Q522" s="0" t="str">
        <f aca="false">IF(OR(AND(M522=0,P522&gt;0),AND(M522=1,P522&lt;=0)),"Yes","No")</f>
        <v>No</v>
      </c>
      <c r="R522" s="0" t="str">
        <f aca="false">IF(AND(M522=1,P522&gt;calc_helpers!$B$5),"Yes","No")</f>
        <v>No</v>
      </c>
      <c r="S522" s="0" t="n">
        <v>0</v>
      </c>
      <c r="T522" s="0" t="str">
        <f aca="false">IF(S522&gt;0,"Yes","No")</f>
        <v>No</v>
      </c>
      <c r="U522" s="0" t="n">
        <v>0</v>
      </c>
      <c r="W522" s="0" t="str">
        <f aca="false">IF(OR(AND(M522=1,ISBLANK(V522)),AND(M522=0,NOT(ISBLANK(V522)))),"Yes","No")</f>
        <v>No</v>
      </c>
      <c r="X522" s="0" t="n">
        <v>66.3</v>
      </c>
      <c r="Y522" s="3" t="s">
        <v>30</v>
      </c>
      <c r="Z522" s="0" t="str">
        <f aca="false">IF(M522=1,P522,"")</f>
        <v/>
      </c>
    </row>
    <row r="523" customFormat="false" ht="15" hidden="false" customHeight="false" outlineLevel="0" collapsed="false">
      <c r="A523" s="0" t="s">
        <v>566</v>
      </c>
      <c r="B523" s="2" t="n">
        <v>45684</v>
      </c>
      <c r="C523" s="3" t="s">
        <v>27</v>
      </c>
      <c r="D523" s="3" t="s">
        <v>39</v>
      </c>
      <c r="E523" s="3" t="s">
        <v>45</v>
      </c>
      <c r="F523" s="3" t="s">
        <v>30</v>
      </c>
      <c r="G523" s="3" t="s">
        <v>40</v>
      </c>
      <c r="H523" s="3" t="s">
        <v>30</v>
      </c>
      <c r="I523" s="3" t="s">
        <v>37</v>
      </c>
      <c r="J523" s="0" t="n">
        <v>1</v>
      </c>
      <c r="K523" s="0" t="n">
        <v>1</v>
      </c>
      <c r="L523" s="0" t="n">
        <v>0</v>
      </c>
      <c r="M523" s="0" t="n">
        <v>0</v>
      </c>
      <c r="N523" s="0" t="str">
        <f aca="false">IF(OR(NOT(OR(J523=0,J523=1)),NOT(OR(K523=0,K523=1)),NOT(OR(L523=0,L523=1)),NOT(OR(M523=0,M523=1)),NOT(OR(U523=0,U523=1))),"Yes","No")</f>
        <v>No</v>
      </c>
      <c r="O523" s="0" t="str">
        <f aca="false">IF(OR(AND(M523=1,L523=0),AND(L523=1,K523=0),AND(K523=1,J523=0)),"Yes","No")</f>
        <v>No</v>
      </c>
      <c r="P523" s="0" t="n">
        <v>0</v>
      </c>
      <c r="Q523" s="0" t="str">
        <f aca="false">IF(OR(AND(M523=0,P523&gt;0),AND(M523=1,P523&lt;=0)),"Yes","No")</f>
        <v>No</v>
      </c>
      <c r="R523" s="0" t="str">
        <f aca="false">IF(AND(M523=1,P523&gt;calc_helpers!$B$5),"Yes","No")</f>
        <v>No</v>
      </c>
      <c r="S523" s="0" t="n">
        <v>0</v>
      </c>
      <c r="T523" s="0" t="str">
        <f aca="false">IF(S523&gt;0,"Yes","No")</f>
        <v>No</v>
      </c>
      <c r="U523" s="0" t="n">
        <v>0</v>
      </c>
      <c r="W523" s="0" t="str">
        <f aca="false">IF(OR(AND(M523=1,ISBLANK(V523)),AND(M523=0,NOT(ISBLANK(V523)))),"Yes","No")</f>
        <v>No</v>
      </c>
      <c r="X523" s="0" t="n">
        <v>54.7</v>
      </c>
      <c r="Y523" s="3" t="s">
        <v>30</v>
      </c>
      <c r="Z523" s="0" t="str">
        <f aca="false">IF(M523=1,P523,"")</f>
        <v/>
      </c>
    </row>
    <row r="524" customFormat="false" ht="15" hidden="false" customHeight="false" outlineLevel="0" collapsed="false">
      <c r="A524" s="0" t="s">
        <v>567</v>
      </c>
      <c r="B524" s="2" t="n">
        <v>45760</v>
      </c>
      <c r="C524" s="3" t="s">
        <v>27</v>
      </c>
      <c r="D524" s="3" t="s">
        <v>43</v>
      </c>
      <c r="E524" s="3" t="s">
        <v>35</v>
      </c>
      <c r="F524" s="3" t="s">
        <v>30</v>
      </c>
      <c r="G524" s="3" t="s">
        <v>36</v>
      </c>
      <c r="H524" s="3" t="s">
        <v>30</v>
      </c>
      <c r="I524" s="3" t="s">
        <v>32</v>
      </c>
      <c r="J524" s="0" t="n">
        <v>1</v>
      </c>
      <c r="K524" s="0" t="n">
        <v>0</v>
      </c>
      <c r="L524" s="0" t="n">
        <v>0</v>
      </c>
      <c r="M524" s="0" t="n">
        <v>0</v>
      </c>
      <c r="N524" s="0" t="str">
        <f aca="false">IF(OR(NOT(OR(J524=0,J524=1)),NOT(OR(K524=0,K524=1)),NOT(OR(L524=0,L524=1)),NOT(OR(M524=0,M524=1)),NOT(OR(U524=0,U524=1))),"Yes","No")</f>
        <v>No</v>
      </c>
      <c r="O524" s="0" t="str">
        <f aca="false">IF(OR(AND(M524=1,L524=0),AND(L524=1,K524=0),AND(K524=1,J524=0)),"Yes","No")</f>
        <v>No</v>
      </c>
      <c r="P524" s="0" t="n">
        <v>0</v>
      </c>
      <c r="Q524" s="0" t="str">
        <f aca="false">IF(OR(AND(M524=0,P524&gt;0),AND(M524=1,P524&lt;=0)),"Yes","No")</f>
        <v>No</v>
      </c>
      <c r="R524" s="0" t="str">
        <f aca="false">IF(AND(M524=1,P524&gt;calc_helpers!$B$5),"Yes","No")</f>
        <v>No</v>
      </c>
      <c r="S524" s="0" t="n">
        <v>0</v>
      </c>
      <c r="T524" s="0" t="str">
        <f aca="false">IF(S524&gt;0,"Yes","No")</f>
        <v>No</v>
      </c>
      <c r="U524" s="0" t="n">
        <v>0</v>
      </c>
      <c r="W524" s="0" t="str">
        <f aca="false">IF(OR(AND(M524=1,ISBLANK(V524)),AND(M524=0,NOT(ISBLANK(V524)))),"Yes","No")</f>
        <v>No</v>
      </c>
      <c r="X524" s="0" t="n">
        <v>76.7</v>
      </c>
      <c r="Y524" s="3" t="s">
        <v>30</v>
      </c>
      <c r="Z524" s="0" t="str">
        <f aca="false">IF(M524=1,P524,"")</f>
        <v/>
      </c>
    </row>
    <row r="525" customFormat="false" ht="15" hidden="false" customHeight="false" outlineLevel="0" collapsed="false">
      <c r="A525" s="0" t="s">
        <v>568</v>
      </c>
      <c r="B525" s="2" t="n">
        <v>45780</v>
      </c>
      <c r="C525" s="3" t="s">
        <v>27</v>
      </c>
      <c r="D525" s="3" t="s">
        <v>43</v>
      </c>
      <c r="E525" s="3" t="s">
        <v>29</v>
      </c>
      <c r="F525" s="3" t="s">
        <v>30</v>
      </c>
      <c r="G525" s="3" t="s">
        <v>31</v>
      </c>
      <c r="H525" s="3" t="s">
        <v>30</v>
      </c>
      <c r="I525" s="3" t="s">
        <v>32</v>
      </c>
      <c r="J525" s="0" t="n">
        <v>1</v>
      </c>
      <c r="K525" s="0" t="n">
        <v>0</v>
      </c>
      <c r="L525" s="0" t="n">
        <v>0</v>
      </c>
      <c r="M525" s="0" t="n">
        <v>0</v>
      </c>
      <c r="N525" s="0" t="str">
        <f aca="false">IF(OR(NOT(OR(J525=0,J525=1)),NOT(OR(K525=0,K525=1)),NOT(OR(L525=0,L525=1)),NOT(OR(M525=0,M525=1)),NOT(OR(U525=0,U525=1))),"Yes","No")</f>
        <v>No</v>
      </c>
      <c r="O525" s="0" t="str">
        <f aca="false">IF(OR(AND(M525=1,L525=0),AND(L525=1,K525=0),AND(K525=1,J525=0)),"Yes","No")</f>
        <v>No</v>
      </c>
      <c r="P525" s="0" t="n">
        <v>0</v>
      </c>
      <c r="Q525" s="0" t="str">
        <f aca="false">IF(OR(AND(M525=0,P525&gt;0),AND(M525=1,P525&lt;=0)),"Yes","No")</f>
        <v>No</v>
      </c>
      <c r="R525" s="0" t="str">
        <f aca="false">IF(AND(M525=1,P525&gt;calc_helpers!$B$5),"Yes","No")</f>
        <v>No</v>
      </c>
      <c r="S525" s="0" t="n">
        <v>2</v>
      </c>
      <c r="T525" s="0" t="str">
        <f aca="false">IF(S525&gt;0,"Yes","No")</f>
        <v>Yes</v>
      </c>
      <c r="U525" s="0" t="n">
        <v>0</v>
      </c>
      <c r="W525" s="0" t="str">
        <f aca="false">IF(OR(AND(M525=1,ISBLANK(V525)),AND(M525=0,NOT(ISBLANK(V525)))),"Yes","No")</f>
        <v>No</v>
      </c>
      <c r="X525" s="0" t="n">
        <v>47.4</v>
      </c>
      <c r="Y525" s="3" t="s">
        <v>30</v>
      </c>
      <c r="Z525" s="0" t="str">
        <f aca="false">IF(M525=1,P525,"")</f>
        <v/>
      </c>
    </row>
    <row r="526" customFormat="false" ht="15" hidden="false" customHeight="false" outlineLevel="0" collapsed="false">
      <c r="A526" s="0" t="s">
        <v>569</v>
      </c>
      <c r="B526" s="2" t="n">
        <v>45746</v>
      </c>
      <c r="C526" s="3" t="s">
        <v>27</v>
      </c>
      <c r="D526" s="3" t="s">
        <v>28</v>
      </c>
      <c r="E526" s="3" t="s">
        <v>35</v>
      </c>
      <c r="F526" s="3" t="s">
        <v>30</v>
      </c>
      <c r="G526" s="3" t="s">
        <v>36</v>
      </c>
      <c r="H526" s="3" t="s">
        <v>30</v>
      </c>
      <c r="I526" s="3" t="s">
        <v>37</v>
      </c>
      <c r="J526" s="0" t="n">
        <v>1</v>
      </c>
      <c r="K526" s="0" t="n">
        <v>1</v>
      </c>
      <c r="L526" s="0" t="n">
        <v>1</v>
      </c>
      <c r="M526" s="0" t="n">
        <v>0</v>
      </c>
      <c r="N526" s="0" t="str">
        <f aca="false">IF(OR(NOT(OR(J526=0,J526=1)),NOT(OR(K526=0,K526=1)),NOT(OR(L526=0,L526=1)),NOT(OR(M526=0,M526=1)),NOT(OR(U526=0,U526=1))),"Yes","No")</f>
        <v>No</v>
      </c>
      <c r="O526" s="0" t="str">
        <f aca="false">IF(OR(AND(M526=1,L526=0),AND(L526=1,K526=0),AND(K526=1,J526=0)),"Yes","No")</f>
        <v>No</v>
      </c>
      <c r="P526" s="0" t="n">
        <v>0</v>
      </c>
      <c r="Q526" s="0" t="str">
        <f aca="false">IF(OR(AND(M526=0,P526&gt;0),AND(M526=1,P526&lt;=0)),"Yes","No")</f>
        <v>No</v>
      </c>
      <c r="R526" s="0" t="str">
        <f aca="false">IF(AND(M526=1,P526&gt;calc_helpers!$B$5),"Yes","No")</f>
        <v>No</v>
      </c>
      <c r="S526" s="0" t="n">
        <v>0</v>
      </c>
      <c r="T526" s="0" t="str">
        <f aca="false">IF(S526&gt;0,"Yes","No")</f>
        <v>No</v>
      </c>
      <c r="U526" s="0" t="n">
        <v>0</v>
      </c>
      <c r="W526" s="0" t="str">
        <f aca="false">IF(OR(AND(M526=1,ISBLANK(V526)),AND(M526=0,NOT(ISBLANK(V526)))),"Yes","No")</f>
        <v>No</v>
      </c>
      <c r="X526" s="0" t="n">
        <v>81.7</v>
      </c>
      <c r="Y526" s="3" t="s">
        <v>30</v>
      </c>
      <c r="Z526" s="0" t="str">
        <f aca="false">IF(M526=1,P526,"")</f>
        <v/>
      </c>
    </row>
    <row r="527" customFormat="false" ht="15" hidden="false" customHeight="false" outlineLevel="0" collapsed="false">
      <c r="A527" s="0" t="s">
        <v>570</v>
      </c>
      <c r="B527" s="2" t="n">
        <v>45658</v>
      </c>
      <c r="C527" s="3" t="s">
        <v>27</v>
      </c>
      <c r="D527" s="3" t="s">
        <v>34</v>
      </c>
      <c r="E527" s="3" t="s">
        <v>35</v>
      </c>
      <c r="F527" s="3" t="s">
        <v>30</v>
      </c>
      <c r="G527" s="3" t="s">
        <v>40</v>
      </c>
      <c r="H527" s="3" t="s">
        <v>30</v>
      </c>
      <c r="I527" s="3" t="s">
        <v>32</v>
      </c>
      <c r="J527" s="0" t="n">
        <v>1</v>
      </c>
      <c r="K527" s="0" t="n">
        <v>1</v>
      </c>
      <c r="L527" s="0" t="n">
        <v>1</v>
      </c>
      <c r="M527" s="0" t="n">
        <v>0</v>
      </c>
      <c r="N527" s="0" t="str">
        <f aca="false">IF(OR(NOT(OR(J527=0,J527=1)),NOT(OR(K527=0,K527=1)),NOT(OR(L527=0,L527=1)),NOT(OR(M527=0,M527=1)),NOT(OR(U527=0,U527=1))),"Yes","No")</f>
        <v>No</v>
      </c>
      <c r="O527" s="0" t="str">
        <f aca="false">IF(OR(AND(M527=1,L527=0),AND(L527=1,K527=0),AND(K527=1,J527=0)),"Yes","No")</f>
        <v>No</v>
      </c>
      <c r="P527" s="0" t="n">
        <v>0</v>
      </c>
      <c r="Q527" s="0" t="str">
        <f aca="false">IF(OR(AND(M527=0,P527&gt;0),AND(M527=1,P527&lt;=0)),"Yes","No")</f>
        <v>No</v>
      </c>
      <c r="R527" s="0" t="str">
        <f aca="false">IF(AND(M527=1,P527&gt;calc_helpers!$B$5),"Yes","No")</f>
        <v>No</v>
      </c>
      <c r="S527" s="0" t="n">
        <v>0</v>
      </c>
      <c r="T527" s="0" t="str">
        <f aca="false">IF(S527&gt;0,"Yes","No")</f>
        <v>No</v>
      </c>
      <c r="U527" s="0" t="n">
        <v>0</v>
      </c>
      <c r="W527" s="0" t="str">
        <f aca="false">IF(OR(AND(M527=1,ISBLANK(V527)),AND(M527=0,NOT(ISBLANK(V527)))),"Yes","No")</f>
        <v>No</v>
      </c>
      <c r="X527" s="0" t="n">
        <v>67.5</v>
      </c>
      <c r="Y527" s="3" t="s">
        <v>30</v>
      </c>
      <c r="Z527" s="0" t="str">
        <f aca="false">IF(M527=1,P527,"")</f>
        <v/>
      </c>
    </row>
    <row r="528" customFormat="false" ht="15" hidden="false" customHeight="false" outlineLevel="0" collapsed="false">
      <c r="A528" s="0" t="s">
        <v>571</v>
      </c>
      <c r="B528" s="2" t="n">
        <v>45694</v>
      </c>
      <c r="C528" s="3" t="s">
        <v>27</v>
      </c>
      <c r="D528" s="3" t="s">
        <v>34</v>
      </c>
      <c r="E528" s="3" t="s">
        <v>35</v>
      </c>
      <c r="F528" s="3" t="s">
        <v>30</v>
      </c>
      <c r="G528" s="3" t="s">
        <v>40</v>
      </c>
      <c r="H528" s="3" t="s">
        <v>30</v>
      </c>
      <c r="I528" s="3" t="s">
        <v>32</v>
      </c>
      <c r="J528" s="0" t="n">
        <v>1</v>
      </c>
      <c r="K528" s="0" t="n">
        <v>0</v>
      </c>
      <c r="L528" s="0" t="n">
        <v>0</v>
      </c>
      <c r="M528" s="0" t="n">
        <v>0</v>
      </c>
      <c r="N528" s="0" t="str">
        <f aca="false">IF(OR(NOT(OR(J528=0,J528=1)),NOT(OR(K528=0,K528=1)),NOT(OR(L528=0,L528=1)),NOT(OR(M528=0,M528=1)),NOT(OR(U528=0,U528=1))),"Yes","No")</f>
        <v>No</v>
      </c>
      <c r="O528" s="0" t="str">
        <f aca="false">IF(OR(AND(M528=1,L528=0),AND(L528=1,K528=0),AND(K528=1,J528=0)),"Yes","No")</f>
        <v>No</v>
      </c>
      <c r="P528" s="0" t="n">
        <v>0</v>
      </c>
      <c r="Q528" s="0" t="str">
        <f aca="false">IF(OR(AND(M528=0,P528&gt;0),AND(M528=1,P528&lt;=0)),"Yes","No")</f>
        <v>No</v>
      </c>
      <c r="R528" s="0" t="str">
        <f aca="false">IF(AND(M528=1,P528&gt;calc_helpers!$B$5),"Yes","No")</f>
        <v>No</v>
      </c>
      <c r="S528" s="0" t="n">
        <v>0</v>
      </c>
      <c r="T528" s="0" t="str">
        <f aca="false">IF(S528&gt;0,"Yes","No")</f>
        <v>No</v>
      </c>
      <c r="U528" s="0" t="n">
        <v>0</v>
      </c>
      <c r="W528" s="0" t="str">
        <f aca="false">IF(OR(AND(M528=1,ISBLANK(V528)),AND(M528=0,NOT(ISBLANK(V528)))),"Yes","No")</f>
        <v>No</v>
      </c>
      <c r="X528" s="0" t="n">
        <v>36.8</v>
      </c>
      <c r="Y528" s="3" t="s">
        <v>30</v>
      </c>
      <c r="Z528" s="0" t="str">
        <f aca="false">IF(M528=1,P528,"")</f>
        <v/>
      </c>
    </row>
    <row r="529" customFormat="false" ht="15" hidden="false" customHeight="false" outlineLevel="0" collapsed="false">
      <c r="A529" s="0" t="s">
        <v>572</v>
      </c>
      <c r="B529" s="2" t="n">
        <v>45713</v>
      </c>
      <c r="C529" s="3" t="s">
        <v>27</v>
      </c>
      <c r="D529" s="3" t="s">
        <v>28</v>
      </c>
      <c r="E529" s="3" t="s">
        <v>29</v>
      </c>
      <c r="F529" s="3" t="s">
        <v>30</v>
      </c>
      <c r="G529" s="3" t="s">
        <v>36</v>
      </c>
      <c r="H529" s="3" t="s">
        <v>30</v>
      </c>
      <c r="I529" s="3" t="s">
        <v>37</v>
      </c>
      <c r="J529" s="0" t="n">
        <v>0</v>
      </c>
      <c r="K529" s="0" t="n">
        <v>0</v>
      </c>
      <c r="L529" s="0" t="n">
        <v>0</v>
      </c>
      <c r="M529" s="0" t="n">
        <v>0</v>
      </c>
      <c r="N529" s="0" t="str">
        <f aca="false">IF(OR(NOT(OR(J529=0,J529=1)),NOT(OR(K529=0,K529=1)),NOT(OR(L529=0,L529=1)),NOT(OR(M529=0,M529=1)),NOT(OR(U529=0,U529=1))),"Yes","No")</f>
        <v>No</v>
      </c>
      <c r="O529" s="0" t="str">
        <f aca="false">IF(OR(AND(M529=1,L529=0),AND(L529=1,K529=0),AND(K529=1,J529=0)),"Yes","No")</f>
        <v>No</v>
      </c>
      <c r="P529" s="0" t="n">
        <v>0</v>
      </c>
      <c r="Q529" s="0" t="str">
        <f aca="false">IF(OR(AND(M529=0,P529&gt;0),AND(M529=1,P529&lt;=0)),"Yes","No")</f>
        <v>No</v>
      </c>
      <c r="R529" s="0" t="str">
        <f aca="false">IF(AND(M529=1,P529&gt;calc_helpers!$B$5),"Yes","No")</f>
        <v>No</v>
      </c>
      <c r="S529" s="0" t="n">
        <v>0</v>
      </c>
      <c r="T529" s="0" t="str">
        <f aca="false">IF(S529&gt;0,"Yes","No")</f>
        <v>No</v>
      </c>
      <c r="U529" s="0" t="n">
        <v>0</v>
      </c>
      <c r="W529" s="0" t="str">
        <f aca="false">IF(OR(AND(M529=1,ISBLANK(V529)),AND(M529=0,NOT(ISBLANK(V529)))),"Yes","No")</f>
        <v>No</v>
      </c>
      <c r="X529" s="0" t="n">
        <v>66.5</v>
      </c>
      <c r="Y529" s="3" t="s">
        <v>30</v>
      </c>
      <c r="Z529" s="0" t="str">
        <f aca="false">IF(M529=1,P529,"")</f>
        <v/>
      </c>
    </row>
    <row r="530" customFormat="false" ht="15" hidden="false" customHeight="false" outlineLevel="0" collapsed="false">
      <c r="A530" s="0" t="s">
        <v>573</v>
      </c>
      <c r="B530" s="2" t="n">
        <v>45791</v>
      </c>
      <c r="C530" s="3" t="s">
        <v>27</v>
      </c>
      <c r="D530" s="3" t="s">
        <v>39</v>
      </c>
      <c r="E530" s="3" t="s">
        <v>45</v>
      </c>
      <c r="F530" s="3" t="s">
        <v>30</v>
      </c>
      <c r="G530" s="3" t="s">
        <v>52</v>
      </c>
      <c r="H530" s="3" t="s">
        <v>30</v>
      </c>
      <c r="I530" s="3" t="s">
        <v>37</v>
      </c>
      <c r="J530" s="0" t="n">
        <v>1</v>
      </c>
      <c r="K530" s="0" t="n">
        <v>0</v>
      </c>
      <c r="L530" s="0" t="n">
        <v>0</v>
      </c>
      <c r="M530" s="0" t="n">
        <v>0</v>
      </c>
      <c r="N530" s="0" t="str">
        <f aca="false">IF(OR(NOT(OR(J530=0,J530=1)),NOT(OR(K530=0,K530=1)),NOT(OR(L530=0,L530=1)),NOT(OR(M530=0,M530=1)),NOT(OR(U530=0,U530=1))),"Yes","No")</f>
        <v>No</v>
      </c>
      <c r="O530" s="0" t="str">
        <f aca="false">IF(OR(AND(M530=1,L530=0),AND(L530=1,K530=0),AND(K530=1,J530=0)),"Yes","No")</f>
        <v>No</v>
      </c>
      <c r="P530" s="0" t="n">
        <v>0</v>
      </c>
      <c r="Q530" s="0" t="str">
        <f aca="false">IF(OR(AND(M530=0,P530&gt;0),AND(M530=1,P530&lt;=0)),"Yes","No")</f>
        <v>No</v>
      </c>
      <c r="R530" s="0" t="str">
        <f aca="false">IF(AND(M530=1,P530&gt;calc_helpers!$B$5),"Yes","No")</f>
        <v>No</v>
      </c>
      <c r="S530" s="0" t="n">
        <v>0</v>
      </c>
      <c r="T530" s="0" t="str">
        <f aca="false">IF(S530&gt;0,"Yes","No")</f>
        <v>No</v>
      </c>
      <c r="U530" s="0" t="n">
        <v>0</v>
      </c>
      <c r="W530" s="0" t="str">
        <f aca="false">IF(OR(AND(M530=1,ISBLANK(V530)),AND(M530=0,NOT(ISBLANK(V530)))),"Yes","No")</f>
        <v>No</v>
      </c>
      <c r="X530" s="0" t="n">
        <v>35.4</v>
      </c>
      <c r="Y530" s="3" t="s">
        <v>30</v>
      </c>
      <c r="Z530" s="0" t="str">
        <f aca="false">IF(M530=1,P530,"")</f>
        <v/>
      </c>
    </row>
    <row r="531" customFormat="false" ht="15" hidden="false" customHeight="false" outlineLevel="0" collapsed="false">
      <c r="A531" s="0" t="s">
        <v>574</v>
      </c>
      <c r="B531" s="2" t="n">
        <v>45797</v>
      </c>
      <c r="C531" s="3" t="s">
        <v>27</v>
      </c>
      <c r="D531" s="3" t="s">
        <v>43</v>
      </c>
      <c r="E531" s="3" t="s">
        <v>35</v>
      </c>
      <c r="F531" s="3" t="s">
        <v>30</v>
      </c>
      <c r="G531" s="3" t="s">
        <v>36</v>
      </c>
      <c r="H531" s="3" t="s">
        <v>30</v>
      </c>
      <c r="I531" s="3" t="s">
        <v>32</v>
      </c>
      <c r="J531" s="0" t="n">
        <v>0</v>
      </c>
      <c r="K531" s="0" t="n">
        <v>0</v>
      </c>
      <c r="L531" s="0" t="n">
        <v>0</v>
      </c>
      <c r="M531" s="0" t="n">
        <v>0</v>
      </c>
      <c r="N531" s="0" t="str">
        <f aca="false">IF(OR(NOT(OR(J531=0,J531=1)),NOT(OR(K531=0,K531=1)),NOT(OR(L531=0,L531=1)),NOT(OR(M531=0,M531=1)),NOT(OR(U531=0,U531=1))),"Yes","No")</f>
        <v>No</v>
      </c>
      <c r="O531" s="0" t="str">
        <f aca="false">IF(OR(AND(M531=1,L531=0),AND(L531=1,K531=0),AND(K531=1,J531=0)),"Yes","No")</f>
        <v>No</v>
      </c>
      <c r="P531" s="0" t="n">
        <v>0</v>
      </c>
      <c r="Q531" s="0" t="str">
        <f aca="false">IF(OR(AND(M531=0,P531&gt;0),AND(M531=1,P531&lt;=0)),"Yes","No")</f>
        <v>No</v>
      </c>
      <c r="R531" s="0" t="str">
        <f aca="false">IF(AND(M531=1,P531&gt;calc_helpers!$B$5),"Yes","No")</f>
        <v>No</v>
      </c>
      <c r="S531" s="0" t="n">
        <v>0</v>
      </c>
      <c r="T531" s="0" t="str">
        <f aca="false">IF(S531&gt;0,"Yes","No")</f>
        <v>No</v>
      </c>
      <c r="U531" s="0" t="n">
        <v>0</v>
      </c>
      <c r="W531" s="0" t="str">
        <f aca="false">IF(OR(AND(M531=1,ISBLANK(V531)),AND(M531=0,NOT(ISBLANK(V531)))),"Yes","No")</f>
        <v>No</v>
      </c>
      <c r="X531" s="0" t="n">
        <v>64.3</v>
      </c>
      <c r="Y531" s="3" t="s">
        <v>30</v>
      </c>
      <c r="Z531" s="0" t="str">
        <f aca="false">IF(M531=1,P531,"")</f>
        <v/>
      </c>
    </row>
    <row r="532" customFormat="false" ht="15" hidden="false" customHeight="false" outlineLevel="0" collapsed="false">
      <c r="A532" s="0" t="s">
        <v>575</v>
      </c>
      <c r="B532" s="2" t="n">
        <v>45699</v>
      </c>
      <c r="C532" s="3" t="s">
        <v>27</v>
      </c>
      <c r="D532" s="3" t="s">
        <v>43</v>
      </c>
      <c r="E532" s="3" t="s">
        <v>35</v>
      </c>
      <c r="F532" s="3" t="s">
        <v>30</v>
      </c>
      <c r="G532" s="3" t="s">
        <v>36</v>
      </c>
      <c r="H532" s="3" t="s">
        <v>30</v>
      </c>
      <c r="I532" s="3" t="s">
        <v>37</v>
      </c>
      <c r="J532" s="0" t="n">
        <v>0</v>
      </c>
      <c r="K532" s="0" t="n">
        <v>0</v>
      </c>
      <c r="L532" s="0" t="n">
        <v>0</v>
      </c>
      <c r="M532" s="0" t="n">
        <v>0</v>
      </c>
      <c r="N532" s="0" t="str">
        <f aca="false">IF(OR(NOT(OR(J532=0,J532=1)),NOT(OR(K532=0,K532=1)),NOT(OR(L532=0,L532=1)),NOT(OR(M532=0,M532=1)),NOT(OR(U532=0,U532=1))),"Yes","No")</f>
        <v>No</v>
      </c>
      <c r="O532" s="0" t="str">
        <f aca="false">IF(OR(AND(M532=1,L532=0),AND(L532=1,K532=0),AND(K532=1,J532=0)),"Yes","No")</f>
        <v>No</v>
      </c>
      <c r="P532" s="0" t="n">
        <v>0</v>
      </c>
      <c r="Q532" s="0" t="str">
        <f aca="false">IF(OR(AND(M532=0,P532&gt;0),AND(M532=1,P532&lt;=0)),"Yes","No")</f>
        <v>No</v>
      </c>
      <c r="R532" s="0" t="str">
        <f aca="false">IF(AND(M532=1,P532&gt;calc_helpers!$B$5),"Yes","No")</f>
        <v>No</v>
      </c>
      <c r="S532" s="0" t="n">
        <v>0</v>
      </c>
      <c r="T532" s="0" t="str">
        <f aca="false">IF(S532&gt;0,"Yes","No")</f>
        <v>No</v>
      </c>
      <c r="U532" s="0" t="n">
        <v>0</v>
      </c>
      <c r="W532" s="0" t="str">
        <f aca="false">IF(OR(AND(M532=1,ISBLANK(V532)),AND(M532=0,NOT(ISBLANK(V532)))),"Yes","No")</f>
        <v>No</v>
      </c>
      <c r="X532" s="0" t="n">
        <v>49.1</v>
      </c>
      <c r="Y532" s="3" t="s">
        <v>30</v>
      </c>
      <c r="Z532" s="0" t="str">
        <f aca="false">IF(M532=1,P532,"")</f>
        <v/>
      </c>
    </row>
    <row r="533" customFormat="false" ht="15" hidden="false" customHeight="false" outlineLevel="0" collapsed="false">
      <c r="A533" s="0" t="s">
        <v>576</v>
      </c>
      <c r="B533" s="2" t="n">
        <v>45701</v>
      </c>
      <c r="C533" s="3" t="s">
        <v>27</v>
      </c>
      <c r="D533" s="3" t="s">
        <v>34</v>
      </c>
      <c r="E533" s="3" t="s">
        <v>35</v>
      </c>
      <c r="F533" s="3" t="s">
        <v>30</v>
      </c>
      <c r="G533" s="3" t="s">
        <v>36</v>
      </c>
      <c r="H533" s="3" t="s">
        <v>30</v>
      </c>
      <c r="I533" s="3" t="s">
        <v>37</v>
      </c>
      <c r="J533" s="0" t="n">
        <v>1</v>
      </c>
      <c r="K533" s="0" t="n">
        <v>0</v>
      </c>
      <c r="L533" s="0" t="n">
        <v>0</v>
      </c>
      <c r="M533" s="0" t="n">
        <v>0</v>
      </c>
      <c r="N533" s="0" t="str">
        <f aca="false">IF(OR(NOT(OR(J533=0,J533=1)),NOT(OR(K533=0,K533=1)),NOT(OR(L533=0,L533=1)),NOT(OR(M533=0,M533=1)),NOT(OR(U533=0,U533=1))),"Yes","No")</f>
        <v>No</v>
      </c>
      <c r="O533" s="0" t="str">
        <f aca="false">IF(OR(AND(M533=1,L533=0),AND(L533=1,K533=0),AND(K533=1,J533=0)),"Yes","No")</f>
        <v>No</v>
      </c>
      <c r="P533" s="0" t="n">
        <v>0</v>
      </c>
      <c r="Q533" s="0" t="str">
        <f aca="false">IF(OR(AND(M533=0,P533&gt;0),AND(M533=1,P533&lt;=0)),"Yes","No")</f>
        <v>No</v>
      </c>
      <c r="R533" s="0" t="str">
        <f aca="false">IF(AND(M533=1,P533&gt;calc_helpers!$B$5),"Yes","No")</f>
        <v>No</v>
      </c>
      <c r="S533" s="0" t="n">
        <v>0</v>
      </c>
      <c r="T533" s="0" t="str">
        <f aca="false">IF(S533&gt;0,"Yes","No")</f>
        <v>No</v>
      </c>
      <c r="U533" s="0" t="n">
        <v>0</v>
      </c>
      <c r="W533" s="0" t="str">
        <f aca="false">IF(OR(AND(M533=1,ISBLANK(V533)),AND(M533=0,NOT(ISBLANK(V533)))),"Yes","No")</f>
        <v>No</v>
      </c>
      <c r="X533" s="0" t="n">
        <v>84.3</v>
      </c>
      <c r="Y533" s="3" t="s">
        <v>30</v>
      </c>
      <c r="Z533" s="0" t="str">
        <f aca="false">IF(M533=1,P533,"")</f>
        <v/>
      </c>
    </row>
    <row r="534" customFormat="false" ht="15" hidden="false" customHeight="false" outlineLevel="0" collapsed="false">
      <c r="A534" s="0" t="s">
        <v>577</v>
      </c>
      <c r="B534" s="2" t="n">
        <v>45754</v>
      </c>
      <c r="C534" s="3" t="s">
        <v>27</v>
      </c>
      <c r="D534" s="3" t="s">
        <v>43</v>
      </c>
      <c r="E534" s="3" t="s">
        <v>35</v>
      </c>
      <c r="F534" s="3" t="s">
        <v>30</v>
      </c>
      <c r="G534" s="3" t="s">
        <v>40</v>
      </c>
      <c r="H534" s="3" t="s">
        <v>30</v>
      </c>
      <c r="I534" s="3" t="s">
        <v>41</v>
      </c>
      <c r="J534" s="0" t="n">
        <v>1</v>
      </c>
      <c r="K534" s="0" t="n">
        <v>0</v>
      </c>
      <c r="L534" s="0" t="n">
        <v>0</v>
      </c>
      <c r="M534" s="0" t="n">
        <v>0</v>
      </c>
      <c r="N534" s="0" t="str">
        <f aca="false">IF(OR(NOT(OR(J534=0,J534=1)),NOT(OR(K534=0,K534=1)),NOT(OR(L534=0,L534=1)),NOT(OR(M534=0,M534=1)),NOT(OR(U534=0,U534=1))),"Yes","No")</f>
        <v>No</v>
      </c>
      <c r="O534" s="0" t="str">
        <f aca="false">IF(OR(AND(M534=1,L534=0),AND(L534=1,K534=0),AND(K534=1,J534=0)),"Yes","No")</f>
        <v>No</v>
      </c>
      <c r="P534" s="0" t="n">
        <v>0</v>
      </c>
      <c r="Q534" s="0" t="str">
        <f aca="false">IF(OR(AND(M534=0,P534&gt;0),AND(M534=1,P534&lt;=0)),"Yes","No")</f>
        <v>No</v>
      </c>
      <c r="R534" s="0" t="str">
        <f aca="false">IF(AND(M534=1,P534&gt;calc_helpers!$B$5),"Yes","No")</f>
        <v>No</v>
      </c>
      <c r="S534" s="0" t="n">
        <v>0</v>
      </c>
      <c r="T534" s="0" t="str">
        <f aca="false">IF(S534&gt;0,"Yes","No")</f>
        <v>No</v>
      </c>
      <c r="U534" s="0" t="n">
        <v>0</v>
      </c>
      <c r="W534" s="0" t="str">
        <f aca="false">IF(OR(AND(M534=1,ISBLANK(V534)),AND(M534=0,NOT(ISBLANK(V534)))),"Yes","No")</f>
        <v>No</v>
      </c>
      <c r="X534" s="0" t="n">
        <v>65.6</v>
      </c>
      <c r="Y534" s="3" t="s">
        <v>30</v>
      </c>
      <c r="Z534" s="0" t="str">
        <f aca="false">IF(M534=1,P534,"")</f>
        <v/>
      </c>
    </row>
    <row r="535" customFormat="false" ht="15" hidden="false" customHeight="false" outlineLevel="0" collapsed="false">
      <c r="A535" s="0" t="s">
        <v>578</v>
      </c>
      <c r="B535" s="2" t="n">
        <v>45724</v>
      </c>
      <c r="C535" s="3" t="s">
        <v>27</v>
      </c>
      <c r="D535" s="3" t="s">
        <v>39</v>
      </c>
      <c r="E535" s="3" t="s">
        <v>35</v>
      </c>
      <c r="F535" s="3" t="s">
        <v>30</v>
      </c>
      <c r="G535" s="3" t="s">
        <v>31</v>
      </c>
      <c r="H535" s="3" t="s">
        <v>30</v>
      </c>
      <c r="I535" s="3" t="s">
        <v>37</v>
      </c>
      <c r="J535" s="0" t="n">
        <v>1</v>
      </c>
      <c r="K535" s="0" t="n">
        <v>0</v>
      </c>
      <c r="L535" s="0" t="n">
        <v>0</v>
      </c>
      <c r="M535" s="0" t="n">
        <v>0</v>
      </c>
      <c r="N535" s="0" t="str">
        <f aca="false">IF(OR(NOT(OR(J535=0,J535=1)),NOT(OR(K535=0,K535=1)),NOT(OR(L535=0,L535=1)),NOT(OR(M535=0,M535=1)),NOT(OR(U535=0,U535=1))),"Yes","No")</f>
        <v>No</v>
      </c>
      <c r="O535" s="0" t="str">
        <f aca="false">IF(OR(AND(M535=1,L535=0),AND(L535=1,K535=0),AND(K535=1,J535=0)),"Yes","No")</f>
        <v>No</v>
      </c>
      <c r="P535" s="0" t="n">
        <v>0</v>
      </c>
      <c r="Q535" s="0" t="str">
        <f aca="false">IF(OR(AND(M535=0,P535&gt;0),AND(M535=1,P535&lt;=0)),"Yes","No")</f>
        <v>No</v>
      </c>
      <c r="R535" s="0" t="str">
        <f aca="false">IF(AND(M535=1,P535&gt;calc_helpers!$B$5),"Yes","No")</f>
        <v>No</v>
      </c>
      <c r="S535" s="0" t="n">
        <v>0</v>
      </c>
      <c r="T535" s="0" t="str">
        <f aca="false">IF(S535&gt;0,"Yes","No")</f>
        <v>No</v>
      </c>
      <c r="U535" s="0" t="n">
        <v>0</v>
      </c>
      <c r="W535" s="0" t="str">
        <f aca="false">IF(OR(AND(M535=1,ISBLANK(V535)),AND(M535=0,NOT(ISBLANK(V535)))),"Yes","No")</f>
        <v>No</v>
      </c>
      <c r="X535" s="0" t="n">
        <v>47.1</v>
      </c>
      <c r="Y535" s="3" t="s">
        <v>30</v>
      </c>
      <c r="Z535" s="0" t="str">
        <f aca="false">IF(M535=1,P535,"")</f>
        <v/>
      </c>
    </row>
    <row r="536" customFormat="false" ht="15" hidden="false" customHeight="false" outlineLevel="0" collapsed="false">
      <c r="A536" s="0" t="s">
        <v>579</v>
      </c>
      <c r="B536" s="2" t="n">
        <v>45704</v>
      </c>
      <c r="C536" s="3" t="s">
        <v>27</v>
      </c>
      <c r="D536" s="3" t="s">
        <v>28</v>
      </c>
      <c r="E536" s="3" t="s">
        <v>29</v>
      </c>
      <c r="F536" s="3" t="s">
        <v>30</v>
      </c>
      <c r="G536" s="3" t="s">
        <v>40</v>
      </c>
      <c r="H536" s="3" t="s">
        <v>30</v>
      </c>
      <c r="I536" s="3" t="s">
        <v>37</v>
      </c>
      <c r="J536" s="0" t="n">
        <v>1</v>
      </c>
      <c r="K536" s="0" t="n">
        <v>1</v>
      </c>
      <c r="L536" s="0" t="n">
        <v>1</v>
      </c>
      <c r="M536" s="0" t="n">
        <v>0</v>
      </c>
      <c r="N536" s="0" t="str">
        <f aca="false">IF(OR(NOT(OR(J536=0,J536=1)),NOT(OR(K536=0,K536=1)),NOT(OR(L536=0,L536=1)),NOT(OR(M536=0,M536=1)),NOT(OR(U536=0,U536=1))),"Yes","No")</f>
        <v>No</v>
      </c>
      <c r="O536" s="0" t="str">
        <f aca="false">IF(OR(AND(M536=1,L536=0),AND(L536=1,K536=0),AND(K536=1,J536=0)),"Yes","No")</f>
        <v>No</v>
      </c>
      <c r="P536" s="0" t="n">
        <v>0</v>
      </c>
      <c r="Q536" s="0" t="str">
        <f aca="false">IF(OR(AND(M536=0,P536&gt;0),AND(M536=1,P536&lt;=0)),"Yes","No")</f>
        <v>No</v>
      </c>
      <c r="R536" s="0" t="str">
        <f aca="false">IF(AND(M536=1,P536&gt;calc_helpers!$B$5),"Yes","No")</f>
        <v>No</v>
      </c>
      <c r="S536" s="0" t="n">
        <v>0</v>
      </c>
      <c r="T536" s="0" t="str">
        <f aca="false">IF(S536&gt;0,"Yes","No")</f>
        <v>No</v>
      </c>
      <c r="U536" s="0" t="n">
        <v>0</v>
      </c>
      <c r="W536" s="0" t="str">
        <f aca="false">IF(OR(AND(M536=1,ISBLANK(V536)),AND(M536=0,NOT(ISBLANK(V536)))),"Yes","No")</f>
        <v>No</v>
      </c>
      <c r="X536" s="0" t="n">
        <v>70</v>
      </c>
      <c r="Y536" s="3" t="s">
        <v>30</v>
      </c>
      <c r="Z536" s="0" t="str">
        <f aca="false">IF(M536=1,P536,"")</f>
        <v/>
      </c>
    </row>
    <row r="537" customFormat="false" ht="15" hidden="false" customHeight="false" outlineLevel="0" collapsed="false">
      <c r="A537" s="0" t="s">
        <v>580</v>
      </c>
      <c r="B537" s="2" t="n">
        <v>45775</v>
      </c>
      <c r="C537" s="3" t="s">
        <v>27</v>
      </c>
      <c r="D537" s="3" t="s">
        <v>43</v>
      </c>
      <c r="E537" s="3" t="s">
        <v>35</v>
      </c>
      <c r="F537" s="3" t="s">
        <v>30</v>
      </c>
      <c r="G537" s="3" t="s">
        <v>40</v>
      </c>
      <c r="H537" s="3" t="s">
        <v>30</v>
      </c>
      <c r="I537" s="3" t="s">
        <v>41</v>
      </c>
      <c r="J537" s="0" t="n">
        <v>1</v>
      </c>
      <c r="K537" s="0" t="n">
        <v>0</v>
      </c>
      <c r="L537" s="0" t="n">
        <v>0</v>
      </c>
      <c r="M537" s="0" t="n">
        <v>0</v>
      </c>
      <c r="N537" s="0" t="str">
        <f aca="false">IF(OR(NOT(OR(J537=0,J537=1)),NOT(OR(K537=0,K537=1)),NOT(OR(L537=0,L537=1)),NOT(OR(M537=0,M537=1)),NOT(OR(U537=0,U537=1))),"Yes","No")</f>
        <v>No</v>
      </c>
      <c r="O537" s="0" t="str">
        <f aca="false">IF(OR(AND(M537=1,L537=0),AND(L537=1,K537=0),AND(K537=1,J537=0)),"Yes","No")</f>
        <v>No</v>
      </c>
      <c r="P537" s="0" t="n">
        <v>0</v>
      </c>
      <c r="Q537" s="0" t="str">
        <f aca="false">IF(OR(AND(M537=0,P537&gt;0),AND(M537=1,P537&lt;=0)),"Yes","No")</f>
        <v>No</v>
      </c>
      <c r="R537" s="0" t="str">
        <f aca="false">IF(AND(M537=1,P537&gt;calc_helpers!$B$5),"Yes","No")</f>
        <v>No</v>
      </c>
      <c r="S537" s="0" t="n">
        <v>0</v>
      </c>
      <c r="T537" s="0" t="str">
        <f aca="false">IF(S537&gt;0,"Yes","No")</f>
        <v>No</v>
      </c>
      <c r="U537" s="0" t="n">
        <v>0</v>
      </c>
      <c r="W537" s="0" t="str">
        <f aca="false">IF(OR(AND(M537=1,ISBLANK(V537)),AND(M537=0,NOT(ISBLANK(V537)))),"Yes","No")</f>
        <v>No</v>
      </c>
      <c r="X537" s="0" t="n">
        <v>54.6</v>
      </c>
      <c r="Y537" s="3" t="s">
        <v>30</v>
      </c>
      <c r="Z537" s="0" t="str">
        <f aca="false">IF(M537=1,P537,"")</f>
        <v/>
      </c>
    </row>
    <row r="538" customFormat="false" ht="15" hidden="false" customHeight="false" outlineLevel="0" collapsed="false">
      <c r="A538" s="0" t="s">
        <v>581</v>
      </c>
      <c r="B538" s="2" t="n">
        <v>45726</v>
      </c>
      <c r="C538" s="3" t="s">
        <v>27</v>
      </c>
      <c r="D538" s="3" t="s">
        <v>34</v>
      </c>
      <c r="E538" s="3" t="s">
        <v>45</v>
      </c>
      <c r="F538" s="3" t="s">
        <v>30</v>
      </c>
      <c r="G538" s="3" t="s">
        <v>52</v>
      </c>
      <c r="H538" s="3" t="s">
        <v>30</v>
      </c>
      <c r="I538" s="3" t="s">
        <v>32</v>
      </c>
      <c r="J538" s="0" t="n">
        <v>1</v>
      </c>
      <c r="K538" s="0" t="n">
        <v>1</v>
      </c>
      <c r="L538" s="0" t="n">
        <v>0</v>
      </c>
      <c r="M538" s="0" t="n">
        <v>0</v>
      </c>
      <c r="N538" s="0" t="str">
        <f aca="false">IF(OR(NOT(OR(J538=0,J538=1)),NOT(OR(K538=0,K538=1)),NOT(OR(L538=0,L538=1)),NOT(OR(M538=0,M538=1)),NOT(OR(U538=0,U538=1))),"Yes","No")</f>
        <v>No</v>
      </c>
      <c r="O538" s="0" t="str">
        <f aca="false">IF(OR(AND(M538=1,L538=0),AND(L538=1,K538=0),AND(K538=1,J538=0)),"Yes","No")</f>
        <v>No</v>
      </c>
      <c r="P538" s="0" t="n">
        <v>0</v>
      </c>
      <c r="Q538" s="0" t="str">
        <f aca="false">IF(OR(AND(M538=0,P538&gt;0),AND(M538=1,P538&lt;=0)),"Yes","No")</f>
        <v>No</v>
      </c>
      <c r="R538" s="0" t="str">
        <f aca="false">IF(AND(M538=1,P538&gt;calc_helpers!$B$5),"Yes","No")</f>
        <v>No</v>
      </c>
      <c r="S538" s="0" t="n">
        <v>1</v>
      </c>
      <c r="T538" s="0" t="str">
        <f aca="false">IF(S538&gt;0,"Yes","No")</f>
        <v>Yes</v>
      </c>
      <c r="U538" s="0" t="n">
        <v>0</v>
      </c>
      <c r="W538" s="0" t="str">
        <f aca="false">IF(OR(AND(M538=1,ISBLANK(V538)),AND(M538=0,NOT(ISBLANK(V538)))),"Yes","No")</f>
        <v>No</v>
      </c>
      <c r="X538" s="0" t="n">
        <v>65.2</v>
      </c>
      <c r="Y538" s="3" t="s">
        <v>30</v>
      </c>
      <c r="Z538" s="0" t="str">
        <f aca="false">IF(M538=1,P538,"")</f>
        <v/>
      </c>
    </row>
    <row r="539" customFormat="false" ht="15" hidden="false" customHeight="false" outlineLevel="0" collapsed="false">
      <c r="A539" s="0" t="s">
        <v>582</v>
      </c>
      <c r="B539" s="2" t="n">
        <v>45682</v>
      </c>
      <c r="C539" s="3" t="s">
        <v>27</v>
      </c>
      <c r="D539" s="3" t="s">
        <v>39</v>
      </c>
      <c r="E539" s="3" t="s">
        <v>35</v>
      </c>
      <c r="F539" s="3" t="s">
        <v>30</v>
      </c>
      <c r="G539" s="3" t="s">
        <v>52</v>
      </c>
      <c r="H539" s="3" t="s">
        <v>30</v>
      </c>
      <c r="I539" s="3" t="s">
        <v>37</v>
      </c>
      <c r="J539" s="0" t="n">
        <v>1</v>
      </c>
      <c r="K539" s="0" t="n">
        <v>0</v>
      </c>
      <c r="L539" s="0" t="n">
        <v>0</v>
      </c>
      <c r="M539" s="0" t="n">
        <v>0</v>
      </c>
      <c r="N539" s="0" t="str">
        <f aca="false">IF(OR(NOT(OR(J539=0,J539=1)),NOT(OR(K539=0,K539=1)),NOT(OR(L539=0,L539=1)),NOT(OR(M539=0,M539=1)),NOT(OR(U539=0,U539=1))),"Yes","No")</f>
        <v>No</v>
      </c>
      <c r="O539" s="0" t="str">
        <f aca="false">IF(OR(AND(M539=1,L539=0),AND(L539=1,K539=0),AND(K539=1,J539=0)),"Yes","No")</f>
        <v>No</v>
      </c>
      <c r="P539" s="0" t="n">
        <v>0</v>
      </c>
      <c r="Q539" s="0" t="str">
        <f aca="false">IF(OR(AND(M539=0,P539&gt;0),AND(M539=1,P539&lt;=0)),"Yes","No")</f>
        <v>No</v>
      </c>
      <c r="R539" s="0" t="str">
        <f aca="false">IF(AND(M539=1,P539&gt;calc_helpers!$B$5),"Yes","No")</f>
        <v>No</v>
      </c>
      <c r="S539" s="0" t="n">
        <v>0</v>
      </c>
      <c r="T539" s="0" t="str">
        <f aca="false">IF(S539&gt;0,"Yes","No")</f>
        <v>No</v>
      </c>
      <c r="U539" s="0" t="n">
        <v>0</v>
      </c>
      <c r="W539" s="0" t="str">
        <f aca="false">IF(OR(AND(M539=1,ISBLANK(V539)),AND(M539=0,NOT(ISBLANK(V539)))),"Yes","No")</f>
        <v>No</v>
      </c>
      <c r="X539" s="0" t="n">
        <v>65</v>
      </c>
      <c r="Y539" s="3" t="s">
        <v>30</v>
      </c>
      <c r="Z539" s="0" t="str">
        <f aca="false">IF(M539=1,P539,"")</f>
        <v/>
      </c>
    </row>
    <row r="540" customFormat="false" ht="15" hidden="false" customHeight="false" outlineLevel="0" collapsed="false">
      <c r="A540" s="0" t="s">
        <v>583</v>
      </c>
      <c r="B540" s="2" t="n">
        <v>45668</v>
      </c>
      <c r="C540" s="3" t="s">
        <v>27</v>
      </c>
      <c r="D540" s="3" t="s">
        <v>34</v>
      </c>
      <c r="E540" s="3" t="s">
        <v>35</v>
      </c>
      <c r="F540" s="3" t="s">
        <v>30</v>
      </c>
      <c r="G540" s="3" t="s">
        <v>40</v>
      </c>
      <c r="H540" s="3" t="s">
        <v>30</v>
      </c>
      <c r="I540" s="3" t="s">
        <v>41</v>
      </c>
      <c r="J540" s="0" t="n">
        <v>1</v>
      </c>
      <c r="K540" s="0" t="n">
        <v>1</v>
      </c>
      <c r="L540" s="0" t="n">
        <v>1</v>
      </c>
      <c r="M540" s="0" t="n">
        <v>0</v>
      </c>
      <c r="N540" s="0" t="str">
        <f aca="false">IF(OR(NOT(OR(J540=0,J540=1)),NOT(OR(K540=0,K540=1)),NOT(OR(L540=0,L540=1)),NOT(OR(M540=0,M540=1)),NOT(OR(U540=0,U540=1))),"Yes","No")</f>
        <v>No</v>
      </c>
      <c r="O540" s="0" t="str">
        <f aca="false">IF(OR(AND(M540=1,L540=0),AND(L540=1,K540=0),AND(K540=1,J540=0)),"Yes","No")</f>
        <v>No</v>
      </c>
      <c r="P540" s="0" t="n">
        <v>0</v>
      </c>
      <c r="Q540" s="0" t="str">
        <f aca="false">IF(OR(AND(M540=0,P540&gt;0),AND(M540=1,P540&lt;=0)),"Yes","No")</f>
        <v>No</v>
      </c>
      <c r="R540" s="0" t="str">
        <f aca="false">IF(AND(M540=1,P540&gt;calc_helpers!$B$5),"Yes","No")</f>
        <v>No</v>
      </c>
      <c r="S540" s="0" t="n">
        <v>1</v>
      </c>
      <c r="T540" s="0" t="str">
        <f aca="false">IF(S540&gt;0,"Yes","No")</f>
        <v>Yes</v>
      </c>
      <c r="U540" s="0" t="n">
        <v>0</v>
      </c>
      <c r="W540" s="0" t="str">
        <f aca="false">IF(OR(AND(M540=1,ISBLANK(V540)),AND(M540=0,NOT(ISBLANK(V540)))),"Yes","No")</f>
        <v>No</v>
      </c>
      <c r="X540" s="0" t="n">
        <v>42.1</v>
      </c>
      <c r="Y540" s="3" t="s">
        <v>30</v>
      </c>
      <c r="Z540" s="0" t="str">
        <f aca="false">IF(M540=1,P540,"")</f>
        <v/>
      </c>
    </row>
    <row r="541" customFormat="false" ht="15" hidden="false" customHeight="false" outlineLevel="0" collapsed="false">
      <c r="A541" s="0" t="s">
        <v>584</v>
      </c>
      <c r="B541" s="2" t="n">
        <v>45747</v>
      </c>
      <c r="C541" s="3" t="s">
        <v>27</v>
      </c>
      <c r="D541" s="3" t="s">
        <v>34</v>
      </c>
      <c r="E541" s="3" t="s">
        <v>45</v>
      </c>
      <c r="F541" s="3" t="s">
        <v>30</v>
      </c>
      <c r="G541" s="3" t="s">
        <v>40</v>
      </c>
      <c r="H541" s="3" t="s">
        <v>30</v>
      </c>
      <c r="I541" s="3" t="s">
        <v>37</v>
      </c>
      <c r="J541" s="0" t="n">
        <v>1</v>
      </c>
      <c r="K541" s="0" t="n">
        <v>0</v>
      </c>
      <c r="L541" s="0" t="n">
        <v>0</v>
      </c>
      <c r="M541" s="0" t="n">
        <v>0</v>
      </c>
      <c r="N541" s="0" t="str">
        <f aca="false">IF(OR(NOT(OR(J541=0,J541=1)),NOT(OR(K541=0,K541=1)),NOT(OR(L541=0,L541=1)),NOT(OR(M541=0,M541=1)),NOT(OR(U541=0,U541=1))),"Yes","No")</f>
        <v>No</v>
      </c>
      <c r="O541" s="0" t="str">
        <f aca="false">IF(OR(AND(M541=1,L541=0),AND(L541=1,K541=0),AND(K541=1,J541=0)),"Yes","No")</f>
        <v>No</v>
      </c>
      <c r="P541" s="0" t="n">
        <v>0</v>
      </c>
      <c r="Q541" s="0" t="str">
        <f aca="false">IF(OR(AND(M541=0,P541&gt;0),AND(M541=1,P541&lt;=0)),"Yes","No")</f>
        <v>No</v>
      </c>
      <c r="R541" s="0" t="str">
        <f aca="false">IF(AND(M541=1,P541&gt;calc_helpers!$B$5),"Yes","No")</f>
        <v>No</v>
      </c>
      <c r="S541" s="0" t="n">
        <v>0</v>
      </c>
      <c r="T541" s="0" t="str">
        <f aca="false">IF(S541&gt;0,"Yes","No")</f>
        <v>No</v>
      </c>
      <c r="U541" s="0" t="n">
        <v>0</v>
      </c>
      <c r="W541" s="0" t="str">
        <f aca="false">IF(OR(AND(M541=1,ISBLANK(V541)),AND(M541=0,NOT(ISBLANK(V541)))),"Yes","No")</f>
        <v>No</v>
      </c>
      <c r="X541" s="0" t="n">
        <v>43.4</v>
      </c>
      <c r="Y541" s="3" t="s">
        <v>30</v>
      </c>
      <c r="Z541" s="0" t="str">
        <f aca="false">IF(M541=1,P541,"")</f>
        <v/>
      </c>
    </row>
    <row r="542" customFormat="false" ht="15" hidden="false" customHeight="false" outlineLevel="0" collapsed="false">
      <c r="A542" s="0" t="s">
        <v>585</v>
      </c>
      <c r="B542" s="2" t="n">
        <v>45799</v>
      </c>
      <c r="C542" s="3" t="s">
        <v>27</v>
      </c>
      <c r="D542" s="3" t="s">
        <v>28</v>
      </c>
      <c r="E542" s="3" t="s">
        <v>35</v>
      </c>
      <c r="F542" s="3" t="s">
        <v>30</v>
      </c>
      <c r="G542" s="3" t="s">
        <v>40</v>
      </c>
      <c r="H542" s="3" t="s">
        <v>30</v>
      </c>
      <c r="I542" s="3" t="s">
        <v>32</v>
      </c>
      <c r="J542" s="0" t="n">
        <v>1</v>
      </c>
      <c r="K542" s="0" t="n">
        <v>1</v>
      </c>
      <c r="L542" s="0" t="n">
        <v>0</v>
      </c>
      <c r="M542" s="0" t="n">
        <v>0</v>
      </c>
      <c r="N542" s="0" t="str">
        <f aca="false">IF(OR(NOT(OR(J542=0,J542=1)),NOT(OR(K542=0,K542=1)),NOT(OR(L542=0,L542=1)),NOT(OR(M542=0,M542=1)),NOT(OR(U542=0,U542=1))),"Yes","No")</f>
        <v>No</v>
      </c>
      <c r="O542" s="0" t="str">
        <f aca="false">IF(OR(AND(M542=1,L542=0),AND(L542=1,K542=0),AND(K542=1,J542=0)),"Yes","No")</f>
        <v>No</v>
      </c>
      <c r="P542" s="0" t="n">
        <v>0</v>
      </c>
      <c r="Q542" s="0" t="str">
        <f aca="false">IF(OR(AND(M542=0,P542&gt;0),AND(M542=1,P542&lt;=0)),"Yes","No")</f>
        <v>No</v>
      </c>
      <c r="R542" s="0" t="str">
        <f aca="false">IF(AND(M542=1,P542&gt;calc_helpers!$B$5),"Yes","No")</f>
        <v>No</v>
      </c>
      <c r="S542" s="0" t="n">
        <v>0</v>
      </c>
      <c r="T542" s="0" t="str">
        <f aca="false">IF(S542&gt;0,"Yes","No")</f>
        <v>No</v>
      </c>
      <c r="U542" s="0" t="n">
        <v>0</v>
      </c>
      <c r="W542" s="0" t="str">
        <f aca="false">IF(OR(AND(M542=1,ISBLANK(V542)),AND(M542=0,NOT(ISBLANK(V542)))),"Yes","No")</f>
        <v>No</v>
      </c>
      <c r="X542" s="0" t="n">
        <v>39.9</v>
      </c>
      <c r="Y542" s="3" t="s">
        <v>30</v>
      </c>
      <c r="Z542" s="0" t="str">
        <f aca="false">IF(M542=1,P542,"")</f>
        <v/>
      </c>
    </row>
    <row r="543" customFormat="false" ht="15" hidden="false" customHeight="false" outlineLevel="0" collapsed="false">
      <c r="A543" s="0" t="s">
        <v>586</v>
      </c>
      <c r="B543" s="2" t="n">
        <v>45793</v>
      </c>
      <c r="C543" s="3" t="s">
        <v>27</v>
      </c>
      <c r="D543" s="3" t="s">
        <v>28</v>
      </c>
      <c r="E543" s="3" t="s">
        <v>35</v>
      </c>
      <c r="F543" s="3" t="s">
        <v>30</v>
      </c>
      <c r="G543" s="3" t="s">
        <v>50</v>
      </c>
      <c r="H543" s="3" t="s">
        <v>30</v>
      </c>
      <c r="I543" s="3" t="s">
        <v>32</v>
      </c>
      <c r="J543" s="0" t="n">
        <v>0</v>
      </c>
      <c r="K543" s="0" t="n">
        <v>0</v>
      </c>
      <c r="L543" s="0" t="n">
        <v>0</v>
      </c>
      <c r="M543" s="0" t="n">
        <v>0</v>
      </c>
      <c r="N543" s="0" t="str">
        <f aca="false">IF(OR(NOT(OR(J543=0,J543=1)),NOT(OR(K543=0,K543=1)),NOT(OR(L543=0,L543=1)),NOT(OR(M543=0,M543=1)),NOT(OR(U543=0,U543=1))),"Yes","No")</f>
        <v>No</v>
      </c>
      <c r="O543" s="0" t="str">
        <f aca="false">IF(OR(AND(M543=1,L543=0),AND(L543=1,K543=0),AND(K543=1,J543=0)),"Yes","No")</f>
        <v>No</v>
      </c>
      <c r="P543" s="0" t="n">
        <v>0</v>
      </c>
      <c r="Q543" s="0" t="str">
        <f aca="false">IF(OR(AND(M543=0,P543&gt;0),AND(M543=1,P543&lt;=0)),"Yes","No")</f>
        <v>No</v>
      </c>
      <c r="R543" s="0" t="str">
        <f aca="false">IF(AND(M543=1,P543&gt;calc_helpers!$B$5),"Yes","No")</f>
        <v>No</v>
      </c>
      <c r="S543" s="0" t="n">
        <v>0</v>
      </c>
      <c r="T543" s="0" t="str">
        <f aca="false">IF(S543&gt;0,"Yes","No")</f>
        <v>No</v>
      </c>
      <c r="U543" s="0" t="n">
        <v>0</v>
      </c>
      <c r="W543" s="0" t="str">
        <f aca="false">IF(OR(AND(M543=1,ISBLANK(V543)),AND(M543=0,NOT(ISBLANK(V543)))),"Yes","No")</f>
        <v>No</v>
      </c>
      <c r="X543" s="0" t="n">
        <v>74.1</v>
      </c>
      <c r="Y543" s="3" t="s">
        <v>30</v>
      </c>
      <c r="Z543" s="0" t="str">
        <f aca="false">IF(M543=1,P543,"")</f>
        <v/>
      </c>
    </row>
    <row r="544" customFormat="false" ht="15" hidden="false" customHeight="false" outlineLevel="0" collapsed="false">
      <c r="A544" s="0" t="s">
        <v>587</v>
      </c>
      <c r="B544" s="2" t="n">
        <v>45772</v>
      </c>
      <c r="C544" s="3" t="s">
        <v>27</v>
      </c>
      <c r="D544" s="3" t="s">
        <v>39</v>
      </c>
      <c r="E544" s="3" t="s">
        <v>29</v>
      </c>
      <c r="F544" s="3" t="s">
        <v>30</v>
      </c>
      <c r="G544" s="3" t="s">
        <v>40</v>
      </c>
      <c r="H544" s="3" t="s">
        <v>30</v>
      </c>
      <c r="I544" s="3" t="s">
        <v>37</v>
      </c>
      <c r="J544" s="0" t="n">
        <v>1</v>
      </c>
      <c r="K544" s="0" t="n">
        <v>0</v>
      </c>
      <c r="L544" s="0" t="n">
        <v>0</v>
      </c>
      <c r="M544" s="0" t="n">
        <v>0</v>
      </c>
      <c r="N544" s="0" t="str">
        <f aca="false">IF(OR(NOT(OR(J544=0,J544=1)),NOT(OR(K544=0,K544=1)),NOT(OR(L544=0,L544=1)),NOT(OR(M544=0,M544=1)),NOT(OR(U544=0,U544=1))),"Yes","No")</f>
        <v>No</v>
      </c>
      <c r="O544" s="0" t="str">
        <f aca="false">IF(OR(AND(M544=1,L544=0),AND(L544=1,K544=0),AND(K544=1,J544=0)),"Yes","No")</f>
        <v>No</v>
      </c>
      <c r="P544" s="0" t="n">
        <v>0</v>
      </c>
      <c r="Q544" s="0" t="str">
        <f aca="false">IF(OR(AND(M544=0,P544&gt;0),AND(M544=1,P544&lt;=0)),"Yes","No")</f>
        <v>No</v>
      </c>
      <c r="R544" s="0" t="str">
        <f aca="false">IF(AND(M544=1,P544&gt;calc_helpers!$B$5),"Yes","No")</f>
        <v>No</v>
      </c>
      <c r="S544" s="0" t="n">
        <v>0</v>
      </c>
      <c r="T544" s="0" t="str">
        <f aca="false">IF(S544&gt;0,"Yes","No")</f>
        <v>No</v>
      </c>
      <c r="U544" s="0" t="n">
        <v>0</v>
      </c>
      <c r="W544" s="0" t="str">
        <f aca="false">IF(OR(AND(M544=1,ISBLANK(V544)),AND(M544=0,NOT(ISBLANK(V544)))),"Yes","No")</f>
        <v>No</v>
      </c>
      <c r="X544" s="0" t="n">
        <v>61.4</v>
      </c>
      <c r="Y544" s="3" t="s">
        <v>30</v>
      </c>
      <c r="Z544" s="0" t="str">
        <f aca="false">IF(M544=1,P544,"")</f>
        <v/>
      </c>
    </row>
    <row r="545" customFormat="false" ht="15" hidden="false" customHeight="false" outlineLevel="0" collapsed="false">
      <c r="A545" s="0" t="s">
        <v>588</v>
      </c>
      <c r="B545" s="2" t="n">
        <v>45764</v>
      </c>
      <c r="C545" s="3" t="s">
        <v>27</v>
      </c>
      <c r="D545" s="3" t="s">
        <v>39</v>
      </c>
      <c r="E545" s="3" t="s">
        <v>35</v>
      </c>
      <c r="F545" s="3" t="s">
        <v>30</v>
      </c>
      <c r="G545" s="3" t="s">
        <v>52</v>
      </c>
      <c r="H545" s="3" t="s">
        <v>30</v>
      </c>
      <c r="I545" s="3" t="s">
        <v>41</v>
      </c>
      <c r="J545" s="0" t="n">
        <v>1</v>
      </c>
      <c r="K545" s="0" t="n">
        <v>1</v>
      </c>
      <c r="L545" s="0" t="n">
        <v>1</v>
      </c>
      <c r="M545" s="0" t="n">
        <v>0</v>
      </c>
      <c r="N545" s="0" t="str">
        <f aca="false">IF(OR(NOT(OR(J545=0,J545=1)),NOT(OR(K545=0,K545=1)),NOT(OR(L545=0,L545=1)),NOT(OR(M545=0,M545=1)),NOT(OR(U545=0,U545=1))),"Yes","No")</f>
        <v>No</v>
      </c>
      <c r="O545" s="0" t="str">
        <f aca="false">IF(OR(AND(M545=1,L545=0),AND(L545=1,K545=0),AND(K545=1,J545=0)),"Yes","No")</f>
        <v>No</v>
      </c>
      <c r="P545" s="0" t="n">
        <v>0</v>
      </c>
      <c r="Q545" s="0" t="str">
        <f aca="false">IF(OR(AND(M545=0,P545&gt;0),AND(M545=1,P545&lt;=0)),"Yes","No")</f>
        <v>No</v>
      </c>
      <c r="R545" s="0" t="str">
        <f aca="false">IF(AND(M545=1,P545&gt;calc_helpers!$B$5),"Yes","No")</f>
        <v>No</v>
      </c>
      <c r="S545" s="0" t="n">
        <v>0</v>
      </c>
      <c r="T545" s="0" t="str">
        <f aca="false">IF(S545&gt;0,"Yes","No")</f>
        <v>No</v>
      </c>
      <c r="U545" s="0" t="n">
        <v>0</v>
      </c>
      <c r="W545" s="0" t="str">
        <f aca="false">IF(OR(AND(M545=1,ISBLANK(V545)),AND(M545=0,NOT(ISBLANK(V545)))),"Yes","No")</f>
        <v>No</v>
      </c>
      <c r="X545" s="0" t="n">
        <v>76.8</v>
      </c>
      <c r="Y545" s="3" t="s">
        <v>30</v>
      </c>
      <c r="Z545" s="0" t="str">
        <f aca="false">IF(M545=1,P545,"")</f>
        <v/>
      </c>
    </row>
    <row r="546" customFormat="false" ht="15" hidden="false" customHeight="false" outlineLevel="0" collapsed="false">
      <c r="A546" s="0" t="s">
        <v>589</v>
      </c>
      <c r="B546" s="2" t="n">
        <v>45658</v>
      </c>
      <c r="C546" s="3" t="s">
        <v>27</v>
      </c>
      <c r="D546" s="3" t="s">
        <v>43</v>
      </c>
      <c r="E546" s="3" t="s">
        <v>29</v>
      </c>
      <c r="F546" s="3" t="s">
        <v>30</v>
      </c>
      <c r="G546" s="3" t="s">
        <v>52</v>
      </c>
      <c r="H546" s="3" t="s">
        <v>30</v>
      </c>
      <c r="I546" s="3" t="s">
        <v>32</v>
      </c>
      <c r="J546" s="0" t="n">
        <v>0</v>
      </c>
      <c r="K546" s="0" t="n">
        <v>0</v>
      </c>
      <c r="L546" s="0" t="n">
        <v>0</v>
      </c>
      <c r="M546" s="0" t="n">
        <v>0</v>
      </c>
      <c r="N546" s="0" t="str">
        <f aca="false">IF(OR(NOT(OR(J546=0,J546=1)),NOT(OR(K546=0,K546=1)),NOT(OR(L546=0,L546=1)),NOT(OR(M546=0,M546=1)),NOT(OR(U546=0,U546=1))),"Yes","No")</f>
        <v>No</v>
      </c>
      <c r="O546" s="0" t="str">
        <f aca="false">IF(OR(AND(M546=1,L546=0),AND(L546=1,K546=0),AND(K546=1,J546=0)),"Yes","No")</f>
        <v>No</v>
      </c>
      <c r="P546" s="0" t="n">
        <v>0</v>
      </c>
      <c r="Q546" s="0" t="str">
        <f aca="false">IF(OR(AND(M546=0,P546&gt;0),AND(M546=1,P546&lt;=0)),"Yes","No")</f>
        <v>No</v>
      </c>
      <c r="R546" s="0" t="str">
        <f aca="false">IF(AND(M546=1,P546&gt;calc_helpers!$B$5),"Yes","No")</f>
        <v>No</v>
      </c>
      <c r="S546" s="0" t="n">
        <v>0</v>
      </c>
      <c r="T546" s="0" t="str">
        <f aca="false">IF(S546&gt;0,"Yes","No")</f>
        <v>No</v>
      </c>
      <c r="U546" s="0" t="n">
        <v>0</v>
      </c>
      <c r="W546" s="0" t="str">
        <f aca="false">IF(OR(AND(M546=1,ISBLANK(V546)),AND(M546=0,NOT(ISBLANK(V546)))),"Yes","No")</f>
        <v>No</v>
      </c>
      <c r="Y546" s="3" t="s">
        <v>168</v>
      </c>
      <c r="Z546" s="0" t="str">
        <f aca="false">IF(M546=1,P546,"")</f>
        <v/>
      </c>
    </row>
    <row r="547" customFormat="false" ht="15" hidden="false" customHeight="false" outlineLevel="0" collapsed="false">
      <c r="A547" s="0" t="s">
        <v>590</v>
      </c>
      <c r="B547" s="2" t="n">
        <v>45734</v>
      </c>
      <c r="C547" s="3" t="s">
        <v>27</v>
      </c>
      <c r="D547" s="3" t="s">
        <v>39</v>
      </c>
      <c r="E547" s="3" t="s">
        <v>35</v>
      </c>
      <c r="F547" s="3" t="s">
        <v>30</v>
      </c>
      <c r="G547" s="3" t="s">
        <v>40</v>
      </c>
      <c r="H547" s="3" t="s">
        <v>30</v>
      </c>
      <c r="I547" s="3" t="s">
        <v>32</v>
      </c>
      <c r="J547" s="0" t="n">
        <v>1</v>
      </c>
      <c r="K547" s="0" t="n">
        <v>1</v>
      </c>
      <c r="L547" s="0" t="n">
        <v>1</v>
      </c>
      <c r="M547" s="0" t="n">
        <v>0</v>
      </c>
      <c r="N547" s="0" t="str">
        <f aca="false">IF(OR(NOT(OR(J547=0,J547=1)),NOT(OR(K547=0,K547=1)),NOT(OR(L547=0,L547=1)),NOT(OR(M547=0,M547=1)),NOT(OR(U547=0,U547=1))),"Yes","No")</f>
        <v>No</v>
      </c>
      <c r="O547" s="0" t="str">
        <f aca="false">IF(OR(AND(M547=1,L547=0),AND(L547=1,K547=0),AND(K547=1,J547=0)),"Yes","No")</f>
        <v>No</v>
      </c>
      <c r="P547" s="0" t="n">
        <v>0</v>
      </c>
      <c r="Q547" s="0" t="str">
        <f aca="false">IF(OR(AND(M547=0,P547&gt;0),AND(M547=1,P547&lt;=0)),"Yes","No")</f>
        <v>No</v>
      </c>
      <c r="R547" s="0" t="str">
        <f aca="false">IF(AND(M547=1,P547&gt;calc_helpers!$B$5),"Yes","No")</f>
        <v>No</v>
      </c>
      <c r="S547" s="0" t="n">
        <v>0</v>
      </c>
      <c r="T547" s="0" t="str">
        <f aca="false">IF(S547&gt;0,"Yes","No")</f>
        <v>No</v>
      </c>
      <c r="U547" s="0" t="n">
        <v>0</v>
      </c>
      <c r="W547" s="0" t="str">
        <f aca="false">IF(OR(AND(M547=1,ISBLANK(V547)),AND(M547=0,NOT(ISBLANK(V547)))),"Yes","No")</f>
        <v>No</v>
      </c>
      <c r="X547" s="0" t="n">
        <v>45.3</v>
      </c>
      <c r="Y547" s="3" t="s">
        <v>30</v>
      </c>
      <c r="Z547" s="0" t="str">
        <f aca="false">IF(M547=1,P547,"")</f>
        <v/>
      </c>
    </row>
    <row r="548" customFormat="false" ht="15" hidden="false" customHeight="false" outlineLevel="0" collapsed="false">
      <c r="A548" s="0" t="s">
        <v>591</v>
      </c>
      <c r="B548" s="2" t="n">
        <v>45797</v>
      </c>
      <c r="C548" s="3" t="s">
        <v>27</v>
      </c>
      <c r="D548" s="3" t="s">
        <v>28</v>
      </c>
      <c r="E548" s="3" t="s">
        <v>45</v>
      </c>
      <c r="F548" s="3" t="s">
        <v>30</v>
      </c>
      <c r="G548" s="3" t="s">
        <v>40</v>
      </c>
      <c r="H548" s="3" t="s">
        <v>30</v>
      </c>
      <c r="I548" s="3" t="s">
        <v>37</v>
      </c>
      <c r="J548" s="0" t="n">
        <v>1</v>
      </c>
      <c r="K548" s="0" t="n">
        <v>0</v>
      </c>
      <c r="L548" s="0" t="n">
        <v>0</v>
      </c>
      <c r="M548" s="0" t="n">
        <v>0</v>
      </c>
      <c r="N548" s="0" t="str">
        <f aca="false">IF(OR(NOT(OR(J548=0,J548=1)),NOT(OR(K548=0,K548=1)),NOT(OR(L548=0,L548=1)),NOT(OR(M548=0,M548=1)),NOT(OR(U548=0,U548=1))),"Yes","No")</f>
        <v>No</v>
      </c>
      <c r="O548" s="0" t="str">
        <f aca="false">IF(OR(AND(M548=1,L548=0),AND(L548=1,K548=0),AND(K548=1,J548=0)),"Yes","No")</f>
        <v>No</v>
      </c>
      <c r="P548" s="0" t="n">
        <v>0</v>
      </c>
      <c r="Q548" s="0" t="str">
        <f aca="false">IF(OR(AND(M548=0,P548&gt;0),AND(M548=1,P548&lt;=0)),"Yes","No")</f>
        <v>No</v>
      </c>
      <c r="R548" s="0" t="str">
        <f aca="false">IF(AND(M548=1,P548&gt;calc_helpers!$B$5),"Yes","No")</f>
        <v>No</v>
      </c>
      <c r="S548" s="0" t="n">
        <v>0</v>
      </c>
      <c r="T548" s="0" t="str">
        <f aca="false">IF(S548&gt;0,"Yes","No")</f>
        <v>No</v>
      </c>
      <c r="U548" s="0" t="n">
        <v>0</v>
      </c>
      <c r="W548" s="0" t="str">
        <f aca="false">IF(OR(AND(M548=1,ISBLANK(V548)),AND(M548=0,NOT(ISBLANK(V548)))),"Yes","No")</f>
        <v>No</v>
      </c>
      <c r="X548" s="0" t="n">
        <v>41.4</v>
      </c>
      <c r="Y548" s="3" t="s">
        <v>30</v>
      </c>
      <c r="Z548" s="0" t="str">
        <f aca="false">IF(M548=1,P548,"")</f>
        <v/>
      </c>
    </row>
    <row r="549" customFormat="false" ht="15" hidden="false" customHeight="false" outlineLevel="0" collapsed="false">
      <c r="A549" s="0" t="s">
        <v>592</v>
      </c>
      <c r="B549" s="2" t="n">
        <v>45732</v>
      </c>
      <c r="C549" s="3" t="s">
        <v>27</v>
      </c>
      <c r="D549" s="3" t="s">
        <v>28</v>
      </c>
      <c r="E549" s="3" t="s">
        <v>35</v>
      </c>
      <c r="F549" s="3" t="s">
        <v>30</v>
      </c>
      <c r="G549" s="3" t="s">
        <v>36</v>
      </c>
      <c r="H549" s="3" t="s">
        <v>30</v>
      </c>
      <c r="I549" s="3" t="s">
        <v>32</v>
      </c>
      <c r="J549" s="0" t="n">
        <v>1</v>
      </c>
      <c r="K549" s="0" t="n">
        <v>0</v>
      </c>
      <c r="L549" s="0" t="n">
        <v>0</v>
      </c>
      <c r="M549" s="0" t="n">
        <v>0</v>
      </c>
      <c r="N549" s="0" t="str">
        <f aca="false">IF(OR(NOT(OR(J549=0,J549=1)),NOT(OR(K549=0,K549=1)),NOT(OR(L549=0,L549=1)),NOT(OR(M549=0,M549=1)),NOT(OR(U549=0,U549=1))),"Yes","No")</f>
        <v>No</v>
      </c>
      <c r="O549" s="0" t="str">
        <f aca="false">IF(OR(AND(M549=1,L549=0),AND(L549=1,K549=0),AND(K549=1,J549=0)),"Yes","No")</f>
        <v>No</v>
      </c>
      <c r="P549" s="0" t="n">
        <v>0</v>
      </c>
      <c r="Q549" s="0" t="str">
        <f aca="false">IF(OR(AND(M549=0,P549&gt;0),AND(M549=1,P549&lt;=0)),"Yes","No")</f>
        <v>No</v>
      </c>
      <c r="R549" s="0" t="str">
        <f aca="false">IF(AND(M549=1,P549&gt;calc_helpers!$B$5),"Yes","No")</f>
        <v>No</v>
      </c>
      <c r="S549" s="0" t="n">
        <v>0</v>
      </c>
      <c r="T549" s="0" t="str">
        <f aca="false">IF(S549&gt;0,"Yes","No")</f>
        <v>No</v>
      </c>
      <c r="U549" s="0" t="n">
        <v>0</v>
      </c>
      <c r="W549" s="0" t="str">
        <f aca="false">IF(OR(AND(M549=1,ISBLANK(V549)),AND(M549=0,NOT(ISBLANK(V549)))),"Yes","No")</f>
        <v>No</v>
      </c>
      <c r="X549" s="0" t="n">
        <v>37.1</v>
      </c>
      <c r="Y549" s="3" t="s">
        <v>30</v>
      </c>
      <c r="Z549" s="0" t="str">
        <f aca="false">IF(M549=1,P549,"")</f>
        <v/>
      </c>
    </row>
    <row r="550" customFormat="false" ht="15" hidden="false" customHeight="false" outlineLevel="0" collapsed="false">
      <c r="A550" s="0" t="s">
        <v>593</v>
      </c>
      <c r="B550" s="2" t="n">
        <v>45807</v>
      </c>
      <c r="C550" s="3" t="s">
        <v>27</v>
      </c>
      <c r="D550" s="3" t="s">
        <v>39</v>
      </c>
      <c r="E550" s="3" t="s">
        <v>29</v>
      </c>
      <c r="F550" s="3" t="s">
        <v>30</v>
      </c>
      <c r="G550" s="3" t="s">
        <v>52</v>
      </c>
      <c r="H550" s="3" t="s">
        <v>30</v>
      </c>
      <c r="I550" s="3" t="s">
        <v>37</v>
      </c>
      <c r="J550" s="0" t="n">
        <v>1</v>
      </c>
      <c r="K550" s="0" t="n">
        <v>0</v>
      </c>
      <c r="L550" s="0" t="n">
        <v>0</v>
      </c>
      <c r="M550" s="0" t="n">
        <v>0</v>
      </c>
      <c r="N550" s="0" t="str">
        <f aca="false">IF(OR(NOT(OR(J550=0,J550=1)),NOT(OR(K550=0,K550=1)),NOT(OR(L550=0,L550=1)),NOT(OR(M550=0,M550=1)),NOT(OR(U550=0,U550=1))),"Yes","No")</f>
        <v>No</v>
      </c>
      <c r="O550" s="0" t="str">
        <f aca="false">IF(OR(AND(M550=1,L550=0),AND(L550=1,K550=0),AND(K550=1,J550=0)),"Yes","No")</f>
        <v>No</v>
      </c>
      <c r="P550" s="0" t="n">
        <v>0</v>
      </c>
      <c r="Q550" s="0" t="str">
        <f aca="false">IF(OR(AND(M550=0,P550&gt;0),AND(M550=1,P550&lt;=0)),"Yes","No")</f>
        <v>No</v>
      </c>
      <c r="R550" s="0" t="str">
        <f aca="false">IF(AND(M550=1,P550&gt;calc_helpers!$B$5),"Yes","No")</f>
        <v>No</v>
      </c>
      <c r="S550" s="0" t="n">
        <v>0</v>
      </c>
      <c r="T550" s="0" t="str">
        <f aca="false">IF(S550&gt;0,"Yes","No")</f>
        <v>No</v>
      </c>
      <c r="U550" s="0" t="n">
        <v>0</v>
      </c>
      <c r="W550" s="0" t="str">
        <f aca="false">IF(OR(AND(M550=1,ISBLANK(V550)),AND(M550=0,NOT(ISBLANK(V550)))),"Yes","No")</f>
        <v>No</v>
      </c>
      <c r="X550" s="0" t="n">
        <v>40.7</v>
      </c>
      <c r="Y550" s="3" t="s">
        <v>30</v>
      </c>
      <c r="Z550" s="0" t="str">
        <f aca="false">IF(M550=1,P550,"")</f>
        <v/>
      </c>
    </row>
    <row r="551" customFormat="false" ht="15" hidden="false" customHeight="false" outlineLevel="0" collapsed="false">
      <c r="A551" s="0" t="s">
        <v>594</v>
      </c>
      <c r="B551" s="2" t="n">
        <v>45708</v>
      </c>
      <c r="C551" s="3" t="s">
        <v>27</v>
      </c>
      <c r="D551" s="3" t="s">
        <v>28</v>
      </c>
      <c r="E551" s="3" t="s">
        <v>35</v>
      </c>
      <c r="F551" s="3" t="s">
        <v>30</v>
      </c>
      <c r="G551" s="3" t="s">
        <v>52</v>
      </c>
      <c r="H551" s="3" t="s">
        <v>30</v>
      </c>
      <c r="I551" s="3" t="s">
        <v>41</v>
      </c>
      <c r="J551" s="0" t="n">
        <v>0</v>
      </c>
      <c r="K551" s="0" t="n">
        <v>0</v>
      </c>
      <c r="L551" s="0" t="n">
        <v>0</v>
      </c>
      <c r="M551" s="0" t="n">
        <v>0</v>
      </c>
      <c r="N551" s="0" t="str">
        <f aca="false">IF(OR(NOT(OR(J551=0,J551=1)),NOT(OR(K551=0,K551=1)),NOT(OR(L551=0,L551=1)),NOT(OR(M551=0,M551=1)),NOT(OR(U551=0,U551=1))),"Yes","No")</f>
        <v>No</v>
      </c>
      <c r="O551" s="0" t="str">
        <f aca="false">IF(OR(AND(M551=1,L551=0),AND(L551=1,K551=0),AND(K551=1,J551=0)),"Yes","No")</f>
        <v>No</v>
      </c>
      <c r="P551" s="0" t="n">
        <v>0</v>
      </c>
      <c r="Q551" s="0" t="str">
        <f aca="false">IF(OR(AND(M551=0,P551&gt;0),AND(M551=1,P551&lt;=0)),"Yes","No")</f>
        <v>No</v>
      </c>
      <c r="R551" s="0" t="str">
        <f aca="false">IF(AND(M551=1,P551&gt;calc_helpers!$B$5),"Yes","No")</f>
        <v>No</v>
      </c>
      <c r="S551" s="0" t="n">
        <v>2</v>
      </c>
      <c r="T551" s="0" t="str">
        <f aca="false">IF(S551&gt;0,"Yes","No")</f>
        <v>Yes</v>
      </c>
      <c r="U551" s="0" t="n">
        <v>0</v>
      </c>
      <c r="W551" s="0" t="str">
        <f aca="false">IF(OR(AND(M551=1,ISBLANK(V551)),AND(M551=0,NOT(ISBLANK(V551)))),"Yes","No")</f>
        <v>No</v>
      </c>
      <c r="X551" s="0" t="n">
        <v>55.9</v>
      </c>
      <c r="Y551" s="3" t="s">
        <v>30</v>
      </c>
      <c r="Z551" s="0" t="str">
        <f aca="false">IF(M551=1,P551,"")</f>
        <v/>
      </c>
    </row>
    <row r="552" customFormat="false" ht="15" hidden="false" customHeight="false" outlineLevel="0" collapsed="false">
      <c r="A552" s="0" t="s">
        <v>595</v>
      </c>
      <c r="B552" s="2" t="n">
        <v>45699</v>
      </c>
      <c r="C552" s="3" t="s">
        <v>27</v>
      </c>
      <c r="D552" s="3" t="s">
        <v>39</v>
      </c>
      <c r="E552" s="3" t="s">
        <v>167</v>
      </c>
      <c r="F552" s="3" t="s">
        <v>168</v>
      </c>
      <c r="G552" s="3" t="s">
        <v>52</v>
      </c>
      <c r="H552" s="3" t="s">
        <v>30</v>
      </c>
      <c r="I552" s="3" t="s">
        <v>37</v>
      </c>
      <c r="J552" s="0" t="n">
        <v>1</v>
      </c>
      <c r="K552" s="0" t="n">
        <v>1</v>
      </c>
      <c r="L552" s="0" t="n">
        <v>0</v>
      </c>
      <c r="M552" s="0" t="n">
        <v>0</v>
      </c>
      <c r="N552" s="0" t="str">
        <f aca="false">IF(OR(NOT(OR(J552=0,J552=1)),NOT(OR(K552=0,K552=1)),NOT(OR(L552=0,L552=1)),NOT(OR(M552=0,M552=1)),NOT(OR(U552=0,U552=1))),"Yes","No")</f>
        <v>No</v>
      </c>
      <c r="O552" s="0" t="str">
        <f aca="false">IF(OR(AND(M552=1,L552=0),AND(L552=1,K552=0),AND(K552=1,J552=0)),"Yes","No")</f>
        <v>No</v>
      </c>
      <c r="P552" s="0" t="n">
        <v>0</v>
      </c>
      <c r="Q552" s="0" t="str">
        <f aca="false">IF(OR(AND(M552=0,P552&gt;0),AND(M552=1,P552&lt;=0)),"Yes","No")</f>
        <v>No</v>
      </c>
      <c r="R552" s="0" t="str">
        <f aca="false">IF(AND(M552=1,P552&gt;calc_helpers!$B$5),"Yes","No")</f>
        <v>No</v>
      </c>
      <c r="S552" s="0" t="n">
        <v>0</v>
      </c>
      <c r="T552" s="0" t="str">
        <f aca="false">IF(S552&gt;0,"Yes","No")</f>
        <v>No</v>
      </c>
      <c r="U552" s="0" t="n">
        <v>0</v>
      </c>
      <c r="W552" s="0" t="str">
        <f aca="false">IF(OR(AND(M552=1,ISBLANK(V552)),AND(M552=0,NOT(ISBLANK(V552)))),"Yes","No")</f>
        <v>No</v>
      </c>
      <c r="X552" s="0" t="n">
        <v>55.8</v>
      </c>
      <c r="Y552" s="3" t="s">
        <v>30</v>
      </c>
      <c r="Z552" s="0" t="str">
        <f aca="false">IF(M552=1,P552,"")</f>
        <v/>
      </c>
    </row>
    <row r="553" customFormat="false" ht="15" hidden="false" customHeight="false" outlineLevel="0" collapsed="false">
      <c r="A553" s="0" t="s">
        <v>596</v>
      </c>
      <c r="B553" s="2" t="n">
        <v>45659</v>
      </c>
      <c r="C553" s="3" t="s">
        <v>27</v>
      </c>
      <c r="D553" s="3" t="s">
        <v>43</v>
      </c>
      <c r="E553" s="3" t="s">
        <v>45</v>
      </c>
      <c r="F553" s="3" t="s">
        <v>30</v>
      </c>
      <c r="G553" s="3" t="s">
        <v>50</v>
      </c>
      <c r="H553" s="3" t="s">
        <v>30</v>
      </c>
      <c r="I553" s="3" t="s">
        <v>32</v>
      </c>
      <c r="J553" s="0" t="n">
        <v>1</v>
      </c>
      <c r="K553" s="0" t="n">
        <v>0</v>
      </c>
      <c r="L553" s="0" t="n">
        <v>0</v>
      </c>
      <c r="M553" s="0" t="n">
        <v>0</v>
      </c>
      <c r="N553" s="0" t="str">
        <f aca="false">IF(OR(NOT(OR(J553=0,J553=1)),NOT(OR(K553=0,K553=1)),NOT(OR(L553=0,L553=1)),NOT(OR(M553=0,M553=1)),NOT(OR(U553=0,U553=1))),"Yes","No")</f>
        <v>No</v>
      </c>
      <c r="O553" s="0" t="str">
        <f aca="false">IF(OR(AND(M553=1,L553=0),AND(L553=1,K553=0),AND(K553=1,J553=0)),"Yes","No")</f>
        <v>No</v>
      </c>
      <c r="P553" s="0" t="n">
        <v>0</v>
      </c>
      <c r="Q553" s="0" t="str">
        <f aca="false">IF(OR(AND(M553=0,P553&gt;0),AND(M553=1,P553&lt;=0)),"Yes","No")</f>
        <v>No</v>
      </c>
      <c r="R553" s="0" t="str">
        <f aca="false">IF(AND(M553=1,P553&gt;calc_helpers!$B$5),"Yes","No")</f>
        <v>No</v>
      </c>
      <c r="S553" s="0" t="n">
        <v>0</v>
      </c>
      <c r="T553" s="0" t="str">
        <f aca="false">IF(S553&gt;0,"Yes","No")</f>
        <v>No</v>
      </c>
      <c r="U553" s="0" t="n">
        <v>0</v>
      </c>
      <c r="W553" s="0" t="str">
        <f aca="false">IF(OR(AND(M553=1,ISBLANK(V553)),AND(M553=0,NOT(ISBLANK(V553)))),"Yes","No")</f>
        <v>No</v>
      </c>
      <c r="X553" s="0" t="n">
        <v>64.3</v>
      </c>
      <c r="Y553" s="3" t="s">
        <v>30</v>
      </c>
      <c r="Z553" s="0" t="str">
        <f aca="false">IF(M553=1,P553,"")</f>
        <v/>
      </c>
    </row>
    <row r="554" customFormat="false" ht="15" hidden="false" customHeight="false" outlineLevel="0" collapsed="false">
      <c r="A554" s="0" t="s">
        <v>597</v>
      </c>
      <c r="B554" s="2" t="n">
        <v>45780</v>
      </c>
      <c r="C554" s="3" t="s">
        <v>27</v>
      </c>
      <c r="D554" s="3" t="s">
        <v>28</v>
      </c>
      <c r="E554" s="3" t="s">
        <v>35</v>
      </c>
      <c r="F554" s="3" t="s">
        <v>30</v>
      </c>
      <c r="G554" s="3" t="s">
        <v>36</v>
      </c>
      <c r="H554" s="3" t="s">
        <v>30</v>
      </c>
      <c r="I554" s="3" t="s">
        <v>37</v>
      </c>
      <c r="J554" s="0" t="n">
        <v>0</v>
      </c>
      <c r="K554" s="0" t="n">
        <v>0</v>
      </c>
      <c r="L554" s="0" t="n">
        <v>0</v>
      </c>
      <c r="M554" s="0" t="n">
        <v>0</v>
      </c>
      <c r="N554" s="0" t="str">
        <f aca="false">IF(OR(NOT(OR(J554=0,J554=1)),NOT(OR(K554=0,K554=1)),NOT(OR(L554=0,L554=1)),NOT(OR(M554=0,M554=1)),NOT(OR(U554=0,U554=1))),"Yes","No")</f>
        <v>No</v>
      </c>
      <c r="O554" s="0" t="str">
        <f aca="false">IF(OR(AND(M554=1,L554=0),AND(L554=1,K554=0),AND(K554=1,J554=0)),"Yes","No")</f>
        <v>No</v>
      </c>
      <c r="P554" s="0" t="n">
        <v>0</v>
      </c>
      <c r="Q554" s="0" t="str">
        <f aca="false">IF(OR(AND(M554=0,P554&gt;0),AND(M554=1,P554&lt;=0)),"Yes","No")</f>
        <v>No</v>
      </c>
      <c r="R554" s="0" t="str">
        <f aca="false">IF(AND(M554=1,P554&gt;calc_helpers!$B$5),"Yes","No")</f>
        <v>No</v>
      </c>
      <c r="S554" s="0" t="n">
        <v>0</v>
      </c>
      <c r="T554" s="0" t="str">
        <f aca="false">IF(S554&gt;0,"Yes","No")</f>
        <v>No</v>
      </c>
      <c r="U554" s="0" t="n">
        <v>0</v>
      </c>
      <c r="W554" s="0" t="str">
        <f aca="false">IF(OR(AND(M554=1,ISBLANK(V554)),AND(M554=0,NOT(ISBLANK(V554)))),"Yes","No")</f>
        <v>No</v>
      </c>
      <c r="X554" s="0" t="n">
        <v>65.4</v>
      </c>
      <c r="Y554" s="3" t="s">
        <v>30</v>
      </c>
      <c r="Z554" s="0" t="str">
        <f aca="false">IF(M554=1,P554,"")</f>
        <v/>
      </c>
    </row>
    <row r="555" customFormat="false" ht="15" hidden="false" customHeight="false" outlineLevel="0" collapsed="false">
      <c r="A555" s="0" t="s">
        <v>598</v>
      </c>
      <c r="B555" s="2" t="n">
        <v>45712</v>
      </c>
      <c r="C555" s="3" t="s">
        <v>27</v>
      </c>
      <c r="D555" s="3" t="s">
        <v>34</v>
      </c>
      <c r="E555" s="3" t="s">
        <v>35</v>
      </c>
      <c r="F555" s="3" t="s">
        <v>30</v>
      </c>
      <c r="G555" s="3" t="s">
        <v>36</v>
      </c>
      <c r="H555" s="3" t="s">
        <v>30</v>
      </c>
      <c r="I555" s="3" t="s">
        <v>37</v>
      </c>
      <c r="J555" s="0" t="n">
        <v>1</v>
      </c>
      <c r="K555" s="0" t="n">
        <v>0</v>
      </c>
      <c r="L555" s="0" t="n">
        <v>0</v>
      </c>
      <c r="M555" s="0" t="n">
        <v>0</v>
      </c>
      <c r="N555" s="0" t="str">
        <f aca="false">IF(OR(NOT(OR(J555=0,J555=1)),NOT(OR(K555=0,K555=1)),NOT(OR(L555=0,L555=1)),NOT(OR(M555=0,M555=1)),NOT(OR(U555=0,U555=1))),"Yes","No")</f>
        <v>No</v>
      </c>
      <c r="O555" s="0" t="str">
        <f aca="false">IF(OR(AND(M555=1,L555=0),AND(L555=1,K555=0),AND(K555=1,J555=0)),"Yes","No")</f>
        <v>No</v>
      </c>
      <c r="P555" s="0" t="n">
        <v>0</v>
      </c>
      <c r="Q555" s="0" t="str">
        <f aca="false">IF(OR(AND(M555=0,P555&gt;0),AND(M555=1,P555&lt;=0)),"Yes","No")</f>
        <v>No</v>
      </c>
      <c r="R555" s="0" t="str">
        <f aca="false">IF(AND(M555=1,P555&gt;calc_helpers!$B$5),"Yes","No")</f>
        <v>No</v>
      </c>
      <c r="S555" s="0" t="n">
        <v>0</v>
      </c>
      <c r="T555" s="0" t="str">
        <f aca="false">IF(S555&gt;0,"Yes","No")</f>
        <v>No</v>
      </c>
      <c r="U555" s="0" t="n">
        <v>0</v>
      </c>
      <c r="W555" s="0" t="str">
        <f aca="false">IF(OR(AND(M555=1,ISBLANK(V555)),AND(M555=0,NOT(ISBLANK(V555)))),"Yes","No")</f>
        <v>No</v>
      </c>
      <c r="X555" s="0" t="n">
        <v>89.8</v>
      </c>
      <c r="Y555" s="3" t="s">
        <v>30</v>
      </c>
      <c r="Z555" s="0" t="str">
        <f aca="false">IF(M555=1,P555,"")</f>
        <v/>
      </c>
    </row>
    <row r="556" customFormat="false" ht="15" hidden="false" customHeight="false" outlineLevel="0" collapsed="false">
      <c r="A556" s="0" t="s">
        <v>599</v>
      </c>
      <c r="B556" s="2" t="n">
        <v>45699</v>
      </c>
      <c r="C556" s="3" t="s">
        <v>27</v>
      </c>
      <c r="D556" s="3" t="s">
        <v>43</v>
      </c>
      <c r="E556" s="3" t="s">
        <v>167</v>
      </c>
      <c r="F556" s="3" t="s">
        <v>168</v>
      </c>
      <c r="G556" s="3" t="s">
        <v>36</v>
      </c>
      <c r="H556" s="3" t="s">
        <v>30</v>
      </c>
      <c r="I556" s="3" t="s">
        <v>37</v>
      </c>
      <c r="J556" s="0" t="n">
        <v>1</v>
      </c>
      <c r="K556" s="0" t="n">
        <v>1</v>
      </c>
      <c r="L556" s="0" t="n">
        <v>1</v>
      </c>
      <c r="M556" s="0" t="n">
        <v>0</v>
      </c>
      <c r="N556" s="0" t="str">
        <f aca="false">IF(OR(NOT(OR(J556=0,J556=1)),NOT(OR(K556=0,K556=1)),NOT(OR(L556=0,L556=1)),NOT(OR(M556=0,M556=1)),NOT(OR(U556=0,U556=1))),"Yes","No")</f>
        <v>No</v>
      </c>
      <c r="O556" s="0" t="str">
        <f aca="false">IF(OR(AND(M556=1,L556=0),AND(L556=1,K556=0),AND(K556=1,J556=0)),"Yes","No")</f>
        <v>No</v>
      </c>
      <c r="P556" s="0" t="n">
        <v>0</v>
      </c>
      <c r="Q556" s="0" t="str">
        <f aca="false">IF(OR(AND(M556=0,P556&gt;0),AND(M556=1,P556&lt;=0)),"Yes","No")</f>
        <v>No</v>
      </c>
      <c r="R556" s="0" t="str">
        <f aca="false">IF(AND(M556=1,P556&gt;calc_helpers!$B$5),"Yes","No")</f>
        <v>No</v>
      </c>
      <c r="S556" s="0" t="n">
        <v>0</v>
      </c>
      <c r="T556" s="0" t="str">
        <f aca="false">IF(S556&gt;0,"Yes","No")</f>
        <v>No</v>
      </c>
      <c r="U556" s="0" t="n">
        <v>0</v>
      </c>
      <c r="W556" s="0" t="str">
        <f aca="false">IF(OR(AND(M556=1,ISBLANK(V556)),AND(M556=0,NOT(ISBLANK(V556)))),"Yes","No")</f>
        <v>No</v>
      </c>
      <c r="X556" s="0" t="n">
        <v>58.3</v>
      </c>
      <c r="Y556" s="3" t="s">
        <v>30</v>
      </c>
      <c r="Z556" s="0" t="str">
        <f aca="false">IF(M556=1,P556,"")</f>
        <v/>
      </c>
    </row>
    <row r="557" customFormat="false" ht="15" hidden="false" customHeight="false" outlineLevel="0" collapsed="false">
      <c r="A557" s="0" t="s">
        <v>600</v>
      </c>
      <c r="B557" s="2" t="n">
        <v>45783</v>
      </c>
      <c r="C557" s="3" t="s">
        <v>27</v>
      </c>
      <c r="D557" s="3" t="s">
        <v>43</v>
      </c>
      <c r="E557" s="3" t="s">
        <v>35</v>
      </c>
      <c r="F557" s="3" t="s">
        <v>30</v>
      </c>
      <c r="G557" s="3" t="s">
        <v>52</v>
      </c>
      <c r="H557" s="3" t="s">
        <v>30</v>
      </c>
      <c r="I557" s="3" t="s">
        <v>32</v>
      </c>
      <c r="J557" s="0" t="n">
        <v>1</v>
      </c>
      <c r="K557" s="0" t="n">
        <v>0</v>
      </c>
      <c r="L557" s="0" t="n">
        <v>0</v>
      </c>
      <c r="M557" s="0" t="n">
        <v>0</v>
      </c>
      <c r="N557" s="0" t="str">
        <f aca="false">IF(OR(NOT(OR(J557=0,J557=1)),NOT(OR(K557=0,K557=1)),NOT(OR(L557=0,L557=1)),NOT(OR(M557=0,M557=1)),NOT(OR(U557=0,U557=1))),"Yes","No")</f>
        <v>No</v>
      </c>
      <c r="O557" s="0" t="str">
        <f aca="false">IF(OR(AND(M557=1,L557=0),AND(L557=1,K557=0),AND(K557=1,J557=0)),"Yes","No")</f>
        <v>No</v>
      </c>
      <c r="P557" s="0" t="n">
        <v>0</v>
      </c>
      <c r="Q557" s="0" t="str">
        <f aca="false">IF(OR(AND(M557=0,P557&gt;0),AND(M557=1,P557&lt;=0)),"Yes","No")</f>
        <v>No</v>
      </c>
      <c r="R557" s="0" t="str">
        <f aca="false">IF(AND(M557=1,P557&gt;calc_helpers!$B$5),"Yes","No")</f>
        <v>No</v>
      </c>
      <c r="S557" s="0" t="n">
        <v>0</v>
      </c>
      <c r="T557" s="0" t="str">
        <f aca="false">IF(S557&gt;0,"Yes","No")</f>
        <v>No</v>
      </c>
      <c r="U557" s="0" t="n">
        <v>0</v>
      </c>
      <c r="W557" s="0" t="str">
        <f aca="false">IF(OR(AND(M557=1,ISBLANK(V557)),AND(M557=0,NOT(ISBLANK(V557)))),"Yes","No")</f>
        <v>No</v>
      </c>
      <c r="X557" s="0" t="n">
        <v>64.4</v>
      </c>
      <c r="Y557" s="3" t="s">
        <v>30</v>
      </c>
      <c r="Z557" s="0" t="str">
        <f aca="false">IF(M557=1,P557,"")</f>
        <v/>
      </c>
    </row>
    <row r="558" customFormat="false" ht="15" hidden="false" customHeight="false" outlineLevel="0" collapsed="false">
      <c r="A558" s="0" t="s">
        <v>601</v>
      </c>
      <c r="B558" s="2" t="n">
        <v>45800</v>
      </c>
      <c r="C558" s="3" t="s">
        <v>27</v>
      </c>
      <c r="D558" s="3" t="s">
        <v>28</v>
      </c>
      <c r="E558" s="3" t="s">
        <v>35</v>
      </c>
      <c r="F558" s="3" t="s">
        <v>30</v>
      </c>
      <c r="G558" s="3" t="s">
        <v>40</v>
      </c>
      <c r="H558" s="3" t="s">
        <v>30</v>
      </c>
      <c r="I558" s="3" t="s">
        <v>41</v>
      </c>
      <c r="J558" s="0" t="n">
        <v>0</v>
      </c>
      <c r="K558" s="0" t="n">
        <v>0</v>
      </c>
      <c r="L558" s="0" t="n">
        <v>0</v>
      </c>
      <c r="M558" s="0" t="n">
        <v>0</v>
      </c>
      <c r="N558" s="0" t="str">
        <f aca="false">IF(OR(NOT(OR(J558=0,J558=1)),NOT(OR(K558=0,K558=1)),NOT(OR(L558=0,L558=1)),NOT(OR(M558=0,M558=1)),NOT(OR(U558=0,U558=1))),"Yes","No")</f>
        <v>No</v>
      </c>
      <c r="O558" s="0" t="str">
        <f aca="false">IF(OR(AND(M558=1,L558=0),AND(L558=1,K558=0),AND(K558=1,J558=0)),"Yes","No")</f>
        <v>No</v>
      </c>
      <c r="P558" s="0" t="n">
        <v>0</v>
      </c>
      <c r="Q558" s="0" t="str">
        <f aca="false">IF(OR(AND(M558=0,P558&gt;0),AND(M558=1,P558&lt;=0)),"Yes","No")</f>
        <v>No</v>
      </c>
      <c r="R558" s="0" t="str">
        <f aca="false">IF(AND(M558=1,P558&gt;calc_helpers!$B$5),"Yes","No")</f>
        <v>No</v>
      </c>
      <c r="S558" s="0" t="n">
        <v>0</v>
      </c>
      <c r="T558" s="0" t="str">
        <f aca="false">IF(S558&gt;0,"Yes","No")</f>
        <v>No</v>
      </c>
      <c r="U558" s="0" t="n">
        <v>0</v>
      </c>
      <c r="W558" s="0" t="str">
        <f aca="false">IF(OR(AND(M558=1,ISBLANK(V558)),AND(M558=0,NOT(ISBLANK(V558)))),"Yes","No")</f>
        <v>No</v>
      </c>
      <c r="X558" s="0" t="n">
        <v>46.2</v>
      </c>
      <c r="Y558" s="3" t="s">
        <v>30</v>
      </c>
      <c r="Z558" s="0" t="str">
        <f aca="false">IF(M558=1,P558,"")</f>
        <v/>
      </c>
    </row>
    <row r="559" customFormat="false" ht="15" hidden="false" customHeight="false" outlineLevel="0" collapsed="false">
      <c r="A559" s="0" t="s">
        <v>602</v>
      </c>
      <c r="B559" s="2" t="n">
        <v>45666</v>
      </c>
      <c r="C559" s="3" t="s">
        <v>27</v>
      </c>
      <c r="D559" s="3" t="s">
        <v>28</v>
      </c>
      <c r="E559" s="3" t="s">
        <v>29</v>
      </c>
      <c r="F559" s="3" t="s">
        <v>30</v>
      </c>
      <c r="G559" s="3" t="s">
        <v>40</v>
      </c>
      <c r="H559" s="3" t="s">
        <v>30</v>
      </c>
      <c r="I559" s="3" t="s">
        <v>37</v>
      </c>
      <c r="J559" s="0" t="n">
        <v>0</v>
      </c>
      <c r="K559" s="0" t="n">
        <v>0</v>
      </c>
      <c r="L559" s="0" t="n">
        <v>0</v>
      </c>
      <c r="M559" s="0" t="n">
        <v>0</v>
      </c>
      <c r="N559" s="0" t="str">
        <f aca="false">IF(OR(NOT(OR(J559=0,J559=1)),NOT(OR(K559=0,K559=1)),NOT(OR(L559=0,L559=1)),NOT(OR(M559=0,M559=1)),NOT(OR(U559=0,U559=1))),"Yes","No")</f>
        <v>No</v>
      </c>
      <c r="O559" s="0" t="str">
        <f aca="false">IF(OR(AND(M559=1,L559=0),AND(L559=1,K559=0),AND(K559=1,J559=0)),"Yes","No")</f>
        <v>No</v>
      </c>
      <c r="P559" s="0" t="n">
        <v>0</v>
      </c>
      <c r="Q559" s="0" t="str">
        <f aca="false">IF(OR(AND(M559=0,P559&gt;0),AND(M559=1,P559&lt;=0)),"Yes","No")</f>
        <v>No</v>
      </c>
      <c r="R559" s="0" t="str">
        <f aca="false">IF(AND(M559=1,P559&gt;calc_helpers!$B$5),"Yes","No")</f>
        <v>No</v>
      </c>
      <c r="S559" s="0" t="n">
        <v>0</v>
      </c>
      <c r="T559" s="0" t="str">
        <f aca="false">IF(S559&gt;0,"Yes","No")</f>
        <v>No</v>
      </c>
      <c r="U559" s="0" t="n">
        <v>0</v>
      </c>
      <c r="W559" s="0" t="str">
        <f aca="false">IF(OR(AND(M559=1,ISBLANK(V559)),AND(M559=0,NOT(ISBLANK(V559)))),"Yes","No")</f>
        <v>No</v>
      </c>
      <c r="X559" s="0" t="n">
        <v>78</v>
      </c>
      <c r="Y559" s="3" t="s">
        <v>30</v>
      </c>
      <c r="Z559" s="0" t="str">
        <f aca="false">IF(M559=1,P559,"")</f>
        <v/>
      </c>
    </row>
    <row r="560" customFormat="false" ht="15" hidden="false" customHeight="false" outlineLevel="0" collapsed="false">
      <c r="A560" s="0" t="s">
        <v>603</v>
      </c>
      <c r="B560" s="2" t="n">
        <v>45748</v>
      </c>
      <c r="C560" s="3" t="s">
        <v>27</v>
      </c>
      <c r="D560" s="3" t="s">
        <v>28</v>
      </c>
      <c r="E560" s="3" t="s">
        <v>29</v>
      </c>
      <c r="F560" s="3" t="s">
        <v>30</v>
      </c>
      <c r="G560" s="3" t="s">
        <v>36</v>
      </c>
      <c r="H560" s="3" t="s">
        <v>30</v>
      </c>
      <c r="I560" s="3" t="s">
        <v>41</v>
      </c>
      <c r="J560" s="0" t="n">
        <v>1</v>
      </c>
      <c r="K560" s="0" t="n">
        <v>0</v>
      </c>
      <c r="L560" s="0" t="n">
        <v>0</v>
      </c>
      <c r="M560" s="0" t="n">
        <v>0</v>
      </c>
      <c r="N560" s="0" t="str">
        <f aca="false">IF(OR(NOT(OR(J560=0,J560=1)),NOT(OR(K560=0,K560=1)),NOT(OR(L560=0,L560=1)),NOT(OR(M560=0,M560=1)),NOT(OR(U560=0,U560=1))),"Yes","No")</f>
        <v>No</v>
      </c>
      <c r="O560" s="0" t="str">
        <f aca="false">IF(OR(AND(M560=1,L560=0),AND(L560=1,K560=0),AND(K560=1,J560=0)),"Yes","No")</f>
        <v>No</v>
      </c>
      <c r="P560" s="0" t="n">
        <v>0</v>
      </c>
      <c r="Q560" s="0" t="str">
        <f aca="false">IF(OR(AND(M560=0,P560&gt;0),AND(M560=1,P560&lt;=0)),"Yes","No")</f>
        <v>No</v>
      </c>
      <c r="R560" s="0" t="str">
        <f aca="false">IF(AND(M560=1,P560&gt;calc_helpers!$B$5),"Yes","No")</f>
        <v>No</v>
      </c>
      <c r="S560" s="0" t="n">
        <v>0</v>
      </c>
      <c r="T560" s="0" t="str">
        <f aca="false">IF(S560&gt;0,"Yes","No")</f>
        <v>No</v>
      </c>
      <c r="U560" s="0" t="n">
        <v>0</v>
      </c>
      <c r="W560" s="0" t="str">
        <f aca="false">IF(OR(AND(M560=1,ISBLANK(V560)),AND(M560=0,NOT(ISBLANK(V560)))),"Yes","No")</f>
        <v>No</v>
      </c>
      <c r="X560" s="0" t="n">
        <v>62.3</v>
      </c>
      <c r="Y560" s="3" t="s">
        <v>30</v>
      </c>
      <c r="Z560" s="0" t="str">
        <f aca="false">IF(M560=1,P560,"")</f>
        <v/>
      </c>
    </row>
    <row r="561" customFormat="false" ht="15" hidden="false" customHeight="false" outlineLevel="0" collapsed="false">
      <c r="A561" s="0" t="s">
        <v>604</v>
      </c>
      <c r="B561" s="2" t="n">
        <v>45724</v>
      </c>
      <c r="C561" s="3" t="s">
        <v>27</v>
      </c>
      <c r="D561" s="3" t="s">
        <v>28</v>
      </c>
      <c r="E561" s="3" t="s">
        <v>35</v>
      </c>
      <c r="F561" s="3" t="s">
        <v>30</v>
      </c>
      <c r="G561" s="3" t="s">
        <v>36</v>
      </c>
      <c r="H561" s="3" t="s">
        <v>30</v>
      </c>
      <c r="I561" s="3" t="s">
        <v>37</v>
      </c>
      <c r="J561" s="0" t="n">
        <v>1</v>
      </c>
      <c r="K561" s="0" t="n">
        <v>0</v>
      </c>
      <c r="L561" s="0" t="n">
        <v>0</v>
      </c>
      <c r="M561" s="0" t="n">
        <v>0</v>
      </c>
      <c r="N561" s="0" t="str">
        <f aca="false">IF(OR(NOT(OR(J561=0,J561=1)),NOT(OR(K561=0,K561=1)),NOT(OR(L561=0,L561=1)),NOT(OR(M561=0,M561=1)),NOT(OR(U561=0,U561=1))),"Yes","No")</f>
        <v>No</v>
      </c>
      <c r="O561" s="0" t="str">
        <f aca="false">IF(OR(AND(M561=1,L561=0),AND(L561=1,K561=0),AND(K561=1,J561=0)),"Yes","No")</f>
        <v>No</v>
      </c>
      <c r="P561" s="0" t="n">
        <v>0</v>
      </c>
      <c r="Q561" s="0" t="str">
        <f aca="false">IF(OR(AND(M561=0,P561&gt;0),AND(M561=1,P561&lt;=0)),"Yes","No")</f>
        <v>No</v>
      </c>
      <c r="R561" s="0" t="str">
        <f aca="false">IF(AND(M561=1,P561&gt;calc_helpers!$B$5),"Yes","No")</f>
        <v>No</v>
      </c>
      <c r="S561" s="0" t="n">
        <v>0</v>
      </c>
      <c r="T561" s="0" t="str">
        <f aca="false">IF(S561&gt;0,"Yes","No")</f>
        <v>No</v>
      </c>
      <c r="U561" s="0" t="n">
        <v>0</v>
      </c>
      <c r="W561" s="0" t="str">
        <f aca="false">IF(OR(AND(M561=1,ISBLANK(V561)),AND(M561=0,NOT(ISBLANK(V561)))),"Yes","No")</f>
        <v>No</v>
      </c>
      <c r="X561" s="0" t="n">
        <v>78.8</v>
      </c>
      <c r="Y561" s="3" t="s">
        <v>30</v>
      </c>
      <c r="Z561" s="0" t="str">
        <f aca="false">IF(M561=1,P561,"")</f>
        <v/>
      </c>
    </row>
    <row r="562" customFormat="false" ht="15" hidden="false" customHeight="false" outlineLevel="0" collapsed="false">
      <c r="A562" s="0" t="s">
        <v>605</v>
      </c>
      <c r="B562" s="2" t="n">
        <v>45708</v>
      </c>
      <c r="C562" s="3" t="s">
        <v>27</v>
      </c>
      <c r="D562" s="3" t="s">
        <v>28</v>
      </c>
      <c r="E562" s="3" t="s">
        <v>35</v>
      </c>
      <c r="F562" s="3" t="s">
        <v>30</v>
      </c>
      <c r="G562" s="3" t="s">
        <v>52</v>
      </c>
      <c r="H562" s="3" t="s">
        <v>30</v>
      </c>
      <c r="I562" s="3" t="s">
        <v>32</v>
      </c>
      <c r="J562" s="0" t="n">
        <v>1</v>
      </c>
      <c r="K562" s="0" t="n">
        <v>0</v>
      </c>
      <c r="L562" s="0" t="n">
        <v>0</v>
      </c>
      <c r="M562" s="0" t="n">
        <v>0</v>
      </c>
      <c r="N562" s="0" t="str">
        <f aca="false">IF(OR(NOT(OR(J562=0,J562=1)),NOT(OR(K562=0,K562=1)),NOT(OR(L562=0,L562=1)),NOT(OR(M562=0,M562=1)),NOT(OR(U562=0,U562=1))),"Yes","No")</f>
        <v>No</v>
      </c>
      <c r="O562" s="0" t="str">
        <f aca="false">IF(OR(AND(M562=1,L562=0),AND(L562=1,K562=0),AND(K562=1,J562=0)),"Yes","No")</f>
        <v>No</v>
      </c>
      <c r="P562" s="0" t="n">
        <v>0</v>
      </c>
      <c r="Q562" s="0" t="str">
        <f aca="false">IF(OR(AND(M562=0,P562&gt;0),AND(M562=1,P562&lt;=0)),"Yes","No")</f>
        <v>No</v>
      </c>
      <c r="R562" s="0" t="str">
        <f aca="false">IF(AND(M562=1,P562&gt;calc_helpers!$B$5),"Yes","No")</f>
        <v>No</v>
      </c>
      <c r="S562" s="0" t="n">
        <v>0</v>
      </c>
      <c r="T562" s="0" t="str">
        <f aca="false">IF(S562&gt;0,"Yes","No")</f>
        <v>No</v>
      </c>
      <c r="U562" s="0" t="n">
        <v>0</v>
      </c>
      <c r="W562" s="0" t="str">
        <f aca="false">IF(OR(AND(M562=1,ISBLANK(V562)),AND(M562=0,NOT(ISBLANK(V562)))),"Yes","No")</f>
        <v>No</v>
      </c>
      <c r="X562" s="0" t="n">
        <v>25</v>
      </c>
      <c r="Y562" s="3" t="s">
        <v>30</v>
      </c>
      <c r="Z562" s="0" t="str">
        <f aca="false">IF(M562=1,P562,"")</f>
        <v/>
      </c>
    </row>
    <row r="563" customFormat="false" ht="15" hidden="false" customHeight="false" outlineLevel="0" collapsed="false">
      <c r="A563" s="0" t="s">
        <v>606</v>
      </c>
      <c r="B563" s="2" t="n">
        <v>45746</v>
      </c>
      <c r="C563" s="3" t="s">
        <v>27</v>
      </c>
      <c r="D563" s="3" t="s">
        <v>39</v>
      </c>
      <c r="E563" s="3" t="s">
        <v>35</v>
      </c>
      <c r="F563" s="3" t="s">
        <v>30</v>
      </c>
      <c r="G563" s="3" t="s">
        <v>52</v>
      </c>
      <c r="H563" s="3" t="s">
        <v>30</v>
      </c>
      <c r="I563" s="3" t="s">
        <v>32</v>
      </c>
      <c r="J563" s="0" t="n">
        <v>0</v>
      </c>
      <c r="K563" s="0" t="n">
        <v>0</v>
      </c>
      <c r="L563" s="0" t="n">
        <v>0</v>
      </c>
      <c r="M563" s="0" t="n">
        <v>0</v>
      </c>
      <c r="N563" s="0" t="str">
        <f aca="false">IF(OR(NOT(OR(J563=0,J563=1)),NOT(OR(K563=0,K563=1)),NOT(OR(L563=0,L563=1)),NOT(OR(M563=0,M563=1)),NOT(OR(U563=0,U563=1))),"Yes","No")</f>
        <v>No</v>
      </c>
      <c r="O563" s="0" t="str">
        <f aca="false">IF(OR(AND(M563=1,L563=0),AND(L563=1,K563=0),AND(K563=1,J563=0)),"Yes","No")</f>
        <v>No</v>
      </c>
      <c r="P563" s="0" t="n">
        <v>0</v>
      </c>
      <c r="Q563" s="0" t="str">
        <f aca="false">IF(OR(AND(M563=0,P563&gt;0),AND(M563=1,P563&lt;=0)),"Yes","No")</f>
        <v>No</v>
      </c>
      <c r="R563" s="0" t="str">
        <f aca="false">IF(AND(M563=1,P563&gt;calc_helpers!$B$5),"Yes","No")</f>
        <v>No</v>
      </c>
      <c r="S563" s="0" t="n">
        <v>0</v>
      </c>
      <c r="T563" s="0" t="str">
        <f aca="false">IF(S563&gt;0,"Yes","No")</f>
        <v>No</v>
      </c>
      <c r="U563" s="0" t="n">
        <v>0</v>
      </c>
      <c r="W563" s="0" t="str">
        <f aca="false">IF(OR(AND(M563=1,ISBLANK(V563)),AND(M563=0,NOT(ISBLANK(V563)))),"Yes","No")</f>
        <v>No</v>
      </c>
      <c r="X563" s="0" t="n">
        <v>53.4</v>
      </c>
      <c r="Y563" s="3" t="s">
        <v>30</v>
      </c>
      <c r="Z563" s="0" t="str">
        <f aca="false">IF(M563=1,P563,"")</f>
        <v/>
      </c>
    </row>
    <row r="564" customFormat="false" ht="15" hidden="false" customHeight="false" outlineLevel="0" collapsed="false">
      <c r="A564" s="0" t="s">
        <v>607</v>
      </c>
      <c r="B564" s="2" t="n">
        <v>45757</v>
      </c>
      <c r="C564" s="3" t="s">
        <v>27</v>
      </c>
      <c r="D564" s="3" t="s">
        <v>39</v>
      </c>
      <c r="E564" s="3" t="s">
        <v>29</v>
      </c>
      <c r="F564" s="3" t="s">
        <v>30</v>
      </c>
      <c r="G564" s="3" t="s">
        <v>36</v>
      </c>
      <c r="H564" s="3" t="s">
        <v>30</v>
      </c>
      <c r="I564" s="3" t="s">
        <v>32</v>
      </c>
      <c r="J564" s="0" t="n">
        <v>0</v>
      </c>
      <c r="K564" s="0" t="n">
        <v>0</v>
      </c>
      <c r="L564" s="0" t="n">
        <v>0</v>
      </c>
      <c r="M564" s="0" t="n">
        <v>0</v>
      </c>
      <c r="N564" s="0" t="str">
        <f aca="false">IF(OR(NOT(OR(J564=0,J564=1)),NOT(OR(K564=0,K564=1)),NOT(OR(L564=0,L564=1)),NOT(OR(M564=0,M564=1)),NOT(OR(U564=0,U564=1))),"Yes","No")</f>
        <v>No</v>
      </c>
      <c r="O564" s="0" t="str">
        <f aca="false">IF(OR(AND(M564=1,L564=0),AND(L564=1,K564=0),AND(K564=1,J564=0)),"Yes","No")</f>
        <v>No</v>
      </c>
      <c r="P564" s="0" t="n">
        <v>0</v>
      </c>
      <c r="Q564" s="0" t="str">
        <f aca="false">IF(OR(AND(M564=0,P564&gt;0),AND(M564=1,P564&lt;=0)),"Yes","No")</f>
        <v>No</v>
      </c>
      <c r="R564" s="0" t="str">
        <f aca="false">IF(AND(M564=1,P564&gt;calc_helpers!$B$5),"Yes","No")</f>
        <v>No</v>
      </c>
      <c r="S564" s="0" t="n">
        <v>0</v>
      </c>
      <c r="T564" s="0" t="str">
        <f aca="false">IF(S564&gt;0,"Yes","No")</f>
        <v>No</v>
      </c>
      <c r="U564" s="0" t="n">
        <v>0</v>
      </c>
      <c r="W564" s="0" t="str">
        <f aca="false">IF(OR(AND(M564=1,ISBLANK(V564)),AND(M564=0,NOT(ISBLANK(V564)))),"Yes","No")</f>
        <v>No</v>
      </c>
      <c r="X564" s="0" t="n">
        <v>40.7</v>
      </c>
      <c r="Y564" s="3" t="s">
        <v>30</v>
      </c>
      <c r="Z564" s="0" t="str">
        <f aca="false">IF(M564=1,P564,"")</f>
        <v/>
      </c>
    </row>
    <row r="565" customFormat="false" ht="15" hidden="false" customHeight="false" outlineLevel="0" collapsed="false">
      <c r="A565" s="0" t="s">
        <v>608</v>
      </c>
      <c r="B565" s="2" t="n">
        <v>45740</v>
      </c>
      <c r="C565" s="3" t="s">
        <v>27</v>
      </c>
      <c r="D565" s="3" t="s">
        <v>39</v>
      </c>
      <c r="E565" s="3" t="s">
        <v>35</v>
      </c>
      <c r="F565" s="3" t="s">
        <v>30</v>
      </c>
      <c r="G565" s="3" t="s">
        <v>36</v>
      </c>
      <c r="H565" s="3" t="s">
        <v>30</v>
      </c>
      <c r="I565" s="3" t="s">
        <v>41</v>
      </c>
      <c r="J565" s="0" t="n">
        <v>1</v>
      </c>
      <c r="K565" s="0" t="n">
        <v>1</v>
      </c>
      <c r="L565" s="0" t="n">
        <v>0</v>
      </c>
      <c r="M565" s="0" t="n">
        <v>0</v>
      </c>
      <c r="N565" s="0" t="str">
        <f aca="false">IF(OR(NOT(OR(J565=0,J565=1)),NOT(OR(K565=0,K565=1)),NOT(OR(L565=0,L565=1)),NOT(OR(M565=0,M565=1)),NOT(OR(U565=0,U565=1))),"Yes","No")</f>
        <v>No</v>
      </c>
      <c r="O565" s="0" t="str">
        <f aca="false">IF(OR(AND(M565=1,L565=0),AND(L565=1,K565=0),AND(K565=1,J565=0)),"Yes","No")</f>
        <v>No</v>
      </c>
      <c r="P565" s="0" t="n">
        <v>0</v>
      </c>
      <c r="Q565" s="0" t="str">
        <f aca="false">IF(OR(AND(M565=0,P565&gt;0),AND(M565=1,P565&lt;=0)),"Yes","No")</f>
        <v>No</v>
      </c>
      <c r="R565" s="0" t="str">
        <f aca="false">IF(AND(M565=1,P565&gt;calc_helpers!$B$5),"Yes","No")</f>
        <v>No</v>
      </c>
      <c r="S565" s="0" t="n">
        <v>0</v>
      </c>
      <c r="T565" s="0" t="str">
        <f aca="false">IF(S565&gt;0,"Yes","No")</f>
        <v>No</v>
      </c>
      <c r="U565" s="0" t="n">
        <v>0</v>
      </c>
      <c r="W565" s="0" t="str">
        <f aca="false">IF(OR(AND(M565=1,ISBLANK(V565)),AND(M565=0,NOT(ISBLANK(V565)))),"Yes","No")</f>
        <v>No</v>
      </c>
      <c r="X565" s="0" t="n">
        <v>36.7</v>
      </c>
      <c r="Y565" s="3" t="s">
        <v>30</v>
      </c>
      <c r="Z565" s="0" t="str">
        <f aca="false">IF(M565=1,P565,"")</f>
        <v/>
      </c>
    </row>
    <row r="566" customFormat="false" ht="15" hidden="false" customHeight="false" outlineLevel="0" collapsed="false">
      <c r="A566" s="0" t="s">
        <v>609</v>
      </c>
      <c r="B566" s="2" t="n">
        <v>45798</v>
      </c>
      <c r="C566" s="3" t="s">
        <v>27</v>
      </c>
      <c r="D566" s="3" t="s">
        <v>34</v>
      </c>
      <c r="E566" s="3" t="s">
        <v>35</v>
      </c>
      <c r="F566" s="3" t="s">
        <v>30</v>
      </c>
      <c r="G566" s="3" t="s">
        <v>36</v>
      </c>
      <c r="H566" s="3" t="s">
        <v>30</v>
      </c>
      <c r="I566" s="3" t="s">
        <v>32</v>
      </c>
      <c r="J566" s="0" t="n">
        <v>1</v>
      </c>
      <c r="K566" s="0" t="n">
        <v>0</v>
      </c>
      <c r="L566" s="0" t="n">
        <v>0</v>
      </c>
      <c r="M566" s="0" t="n">
        <v>0</v>
      </c>
      <c r="N566" s="0" t="str">
        <f aca="false">IF(OR(NOT(OR(J566=0,J566=1)),NOT(OR(K566=0,K566=1)),NOT(OR(L566=0,L566=1)),NOT(OR(M566=0,M566=1)),NOT(OR(U566=0,U566=1))),"Yes","No")</f>
        <v>No</v>
      </c>
      <c r="O566" s="0" t="str">
        <f aca="false">IF(OR(AND(M566=1,L566=0),AND(L566=1,K566=0),AND(K566=1,J566=0)),"Yes","No")</f>
        <v>No</v>
      </c>
      <c r="P566" s="0" t="n">
        <v>0</v>
      </c>
      <c r="Q566" s="0" t="str">
        <f aca="false">IF(OR(AND(M566=0,P566&gt;0),AND(M566=1,P566&lt;=0)),"Yes","No")</f>
        <v>No</v>
      </c>
      <c r="R566" s="0" t="str">
        <f aca="false">IF(AND(M566=1,P566&gt;calc_helpers!$B$5),"Yes","No")</f>
        <v>No</v>
      </c>
      <c r="S566" s="0" t="n">
        <v>1</v>
      </c>
      <c r="T566" s="0" t="str">
        <f aca="false">IF(S566&gt;0,"Yes","No")</f>
        <v>Yes</v>
      </c>
      <c r="U566" s="0" t="n">
        <v>0</v>
      </c>
      <c r="W566" s="0" t="str">
        <f aca="false">IF(OR(AND(M566=1,ISBLANK(V566)),AND(M566=0,NOT(ISBLANK(V566)))),"Yes","No")</f>
        <v>No</v>
      </c>
      <c r="X566" s="0" t="n">
        <v>67.5</v>
      </c>
      <c r="Y566" s="3" t="s">
        <v>30</v>
      </c>
      <c r="Z566" s="0" t="str">
        <f aca="false">IF(M566=1,P566,"")</f>
        <v/>
      </c>
    </row>
    <row r="567" customFormat="false" ht="15" hidden="false" customHeight="false" outlineLevel="0" collapsed="false">
      <c r="A567" s="0" t="s">
        <v>610</v>
      </c>
      <c r="B567" s="2" t="n">
        <v>45745</v>
      </c>
      <c r="C567" s="3" t="s">
        <v>27</v>
      </c>
      <c r="D567" s="3" t="s">
        <v>39</v>
      </c>
      <c r="E567" s="3" t="s">
        <v>35</v>
      </c>
      <c r="F567" s="3" t="s">
        <v>30</v>
      </c>
      <c r="G567" s="3" t="s">
        <v>52</v>
      </c>
      <c r="H567" s="3" t="s">
        <v>30</v>
      </c>
      <c r="I567" s="3" t="s">
        <v>41</v>
      </c>
      <c r="J567" s="0" t="n">
        <v>1</v>
      </c>
      <c r="K567" s="0" t="n">
        <v>1</v>
      </c>
      <c r="L567" s="0" t="n">
        <v>1</v>
      </c>
      <c r="M567" s="0" t="n">
        <v>0</v>
      </c>
      <c r="N567" s="0" t="str">
        <f aca="false">IF(OR(NOT(OR(J567=0,J567=1)),NOT(OR(K567=0,K567=1)),NOT(OR(L567=0,L567=1)),NOT(OR(M567=0,M567=1)),NOT(OR(U567=0,U567=1))),"Yes","No")</f>
        <v>No</v>
      </c>
      <c r="O567" s="0" t="str">
        <f aca="false">IF(OR(AND(M567=1,L567=0),AND(L567=1,K567=0),AND(K567=1,J567=0)),"Yes","No")</f>
        <v>No</v>
      </c>
      <c r="P567" s="0" t="n">
        <v>0</v>
      </c>
      <c r="Q567" s="0" t="str">
        <f aca="false">IF(OR(AND(M567=0,P567&gt;0),AND(M567=1,P567&lt;=0)),"Yes","No")</f>
        <v>No</v>
      </c>
      <c r="R567" s="0" t="str">
        <f aca="false">IF(AND(M567=1,P567&gt;calc_helpers!$B$5),"Yes","No")</f>
        <v>No</v>
      </c>
      <c r="S567" s="0" t="n">
        <v>0</v>
      </c>
      <c r="T567" s="0" t="str">
        <f aca="false">IF(S567&gt;0,"Yes","No")</f>
        <v>No</v>
      </c>
      <c r="U567" s="0" t="n">
        <v>0</v>
      </c>
      <c r="W567" s="0" t="str">
        <f aca="false">IF(OR(AND(M567=1,ISBLANK(V567)),AND(M567=0,NOT(ISBLANK(V567)))),"Yes","No")</f>
        <v>No</v>
      </c>
      <c r="X567" s="0" t="n">
        <v>69.9</v>
      </c>
      <c r="Y567" s="3" t="s">
        <v>30</v>
      </c>
      <c r="Z567" s="0" t="str">
        <f aca="false">IF(M567=1,P567,"")</f>
        <v/>
      </c>
    </row>
    <row r="568" customFormat="false" ht="15" hidden="false" customHeight="false" outlineLevel="0" collapsed="false">
      <c r="A568" s="0" t="s">
        <v>611</v>
      </c>
      <c r="B568" s="2" t="n">
        <v>45711</v>
      </c>
      <c r="C568" s="3" t="s">
        <v>27</v>
      </c>
      <c r="D568" s="3" t="s">
        <v>28</v>
      </c>
      <c r="E568" s="3" t="s">
        <v>45</v>
      </c>
      <c r="F568" s="3" t="s">
        <v>30</v>
      </c>
      <c r="G568" s="3" t="s">
        <v>50</v>
      </c>
      <c r="H568" s="3" t="s">
        <v>30</v>
      </c>
      <c r="I568" s="3" t="s">
        <v>32</v>
      </c>
      <c r="J568" s="0" t="n">
        <v>1</v>
      </c>
      <c r="K568" s="0" t="n">
        <v>0</v>
      </c>
      <c r="L568" s="0" t="n">
        <v>0</v>
      </c>
      <c r="M568" s="0" t="n">
        <v>0</v>
      </c>
      <c r="N568" s="0" t="str">
        <f aca="false">IF(OR(NOT(OR(J568=0,J568=1)),NOT(OR(K568=0,K568=1)),NOT(OR(L568=0,L568=1)),NOT(OR(M568=0,M568=1)),NOT(OR(U568=0,U568=1))),"Yes","No")</f>
        <v>No</v>
      </c>
      <c r="O568" s="0" t="str">
        <f aca="false">IF(OR(AND(M568=1,L568=0),AND(L568=1,K568=0),AND(K568=1,J568=0)),"Yes","No")</f>
        <v>No</v>
      </c>
      <c r="P568" s="0" t="n">
        <v>0</v>
      </c>
      <c r="Q568" s="0" t="str">
        <f aca="false">IF(OR(AND(M568=0,P568&gt;0),AND(M568=1,P568&lt;=0)),"Yes","No")</f>
        <v>No</v>
      </c>
      <c r="R568" s="0" t="str">
        <f aca="false">IF(AND(M568=1,P568&gt;calc_helpers!$B$5),"Yes","No")</f>
        <v>No</v>
      </c>
      <c r="S568" s="0" t="n">
        <v>0</v>
      </c>
      <c r="T568" s="0" t="str">
        <f aca="false">IF(S568&gt;0,"Yes","No")</f>
        <v>No</v>
      </c>
      <c r="U568" s="0" t="n">
        <v>0</v>
      </c>
      <c r="W568" s="0" t="str">
        <f aca="false">IF(OR(AND(M568=1,ISBLANK(V568)),AND(M568=0,NOT(ISBLANK(V568)))),"Yes","No")</f>
        <v>No</v>
      </c>
      <c r="X568" s="0" t="n">
        <v>65.1</v>
      </c>
      <c r="Y568" s="3" t="s">
        <v>30</v>
      </c>
      <c r="Z568" s="0" t="str">
        <f aca="false">IF(M568=1,P568,"")</f>
        <v/>
      </c>
    </row>
    <row r="569" customFormat="false" ht="15" hidden="false" customHeight="false" outlineLevel="0" collapsed="false">
      <c r="A569" s="0" t="s">
        <v>612</v>
      </c>
      <c r="B569" s="2" t="n">
        <v>45704</v>
      </c>
      <c r="C569" s="3" t="s">
        <v>27</v>
      </c>
      <c r="D569" s="3" t="s">
        <v>34</v>
      </c>
      <c r="E569" s="3" t="s">
        <v>35</v>
      </c>
      <c r="F569" s="3" t="s">
        <v>30</v>
      </c>
      <c r="G569" s="3" t="s">
        <v>40</v>
      </c>
      <c r="H569" s="3" t="s">
        <v>30</v>
      </c>
      <c r="I569" s="3" t="s">
        <v>41</v>
      </c>
      <c r="J569" s="0" t="n">
        <v>1</v>
      </c>
      <c r="K569" s="0" t="n">
        <v>0</v>
      </c>
      <c r="L569" s="0" t="n">
        <v>0</v>
      </c>
      <c r="M569" s="0" t="n">
        <v>0</v>
      </c>
      <c r="N569" s="0" t="str">
        <f aca="false">IF(OR(NOT(OR(J569=0,J569=1)),NOT(OR(K569=0,K569=1)),NOT(OR(L569=0,L569=1)),NOT(OR(M569=0,M569=1)),NOT(OR(U569=0,U569=1))),"Yes","No")</f>
        <v>No</v>
      </c>
      <c r="O569" s="0" t="str">
        <f aca="false">IF(OR(AND(M569=1,L569=0),AND(L569=1,K569=0),AND(K569=1,J569=0)),"Yes","No")</f>
        <v>No</v>
      </c>
      <c r="P569" s="0" t="n">
        <v>0</v>
      </c>
      <c r="Q569" s="0" t="str">
        <f aca="false">IF(OR(AND(M569=0,P569&gt;0),AND(M569=1,P569&lt;=0)),"Yes","No")</f>
        <v>No</v>
      </c>
      <c r="R569" s="0" t="str">
        <f aca="false">IF(AND(M569=1,P569&gt;calc_helpers!$B$5),"Yes","No")</f>
        <v>No</v>
      </c>
      <c r="S569" s="0" t="n">
        <v>0</v>
      </c>
      <c r="T569" s="0" t="str">
        <f aca="false">IF(S569&gt;0,"Yes","No")</f>
        <v>No</v>
      </c>
      <c r="U569" s="0" t="n">
        <v>0</v>
      </c>
      <c r="W569" s="0" t="str">
        <f aca="false">IF(OR(AND(M569=1,ISBLANK(V569)),AND(M569=0,NOT(ISBLANK(V569)))),"Yes","No")</f>
        <v>No</v>
      </c>
      <c r="X569" s="0" t="n">
        <v>48.7</v>
      </c>
      <c r="Y569" s="3" t="s">
        <v>30</v>
      </c>
      <c r="Z569" s="0" t="str">
        <f aca="false">IF(M569=1,P569,"")</f>
        <v/>
      </c>
    </row>
    <row r="570" customFormat="false" ht="15" hidden="false" customHeight="false" outlineLevel="0" collapsed="false">
      <c r="A570" s="0" t="s">
        <v>613</v>
      </c>
      <c r="B570" s="2" t="n">
        <v>45709</v>
      </c>
      <c r="C570" s="3" t="s">
        <v>27</v>
      </c>
      <c r="D570" s="3" t="s">
        <v>34</v>
      </c>
      <c r="E570" s="3" t="s">
        <v>29</v>
      </c>
      <c r="F570" s="3" t="s">
        <v>30</v>
      </c>
      <c r="G570" s="3" t="s">
        <v>36</v>
      </c>
      <c r="H570" s="3" t="s">
        <v>30</v>
      </c>
      <c r="I570" s="3" t="s">
        <v>32</v>
      </c>
      <c r="J570" s="0" t="n">
        <v>1</v>
      </c>
      <c r="K570" s="0" t="n">
        <v>1</v>
      </c>
      <c r="L570" s="0" t="n">
        <v>0</v>
      </c>
      <c r="M570" s="0" t="n">
        <v>0</v>
      </c>
      <c r="N570" s="0" t="str">
        <f aca="false">IF(OR(NOT(OR(J570=0,J570=1)),NOT(OR(K570=0,K570=1)),NOT(OR(L570=0,L570=1)),NOT(OR(M570=0,M570=1)),NOT(OR(U570=0,U570=1))),"Yes","No")</f>
        <v>No</v>
      </c>
      <c r="O570" s="0" t="str">
        <f aca="false">IF(OR(AND(M570=1,L570=0),AND(L570=1,K570=0),AND(K570=1,J570=0)),"Yes","No")</f>
        <v>No</v>
      </c>
      <c r="P570" s="0" t="n">
        <v>0</v>
      </c>
      <c r="Q570" s="0" t="str">
        <f aca="false">IF(OR(AND(M570=0,P570&gt;0),AND(M570=1,P570&lt;=0)),"Yes","No")</f>
        <v>No</v>
      </c>
      <c r="R570" s="0" t="str">
        <f aca="false">IF(AND(M570=1,P570&gt;calc_helpers!$B$5),"Yes","No")</f>
        <v>No</v>
      </c>
      <c r="S570" s="0" t="n">
        <v>0</v>
      </c>
      <c r="T570" s="0" t="str">
        <f aca="false">IF(S570&gt;0,"Yes","No")</f>
        <v>No</v>
      </c>
      <c r="U570" s="0" t="n">
        <v>0</v>
      </c>
      <c r="W570" s="0" t="str">
        <f aca="false">IF(OR(AND(M570=1,ISBLANK(V570)),AND(M570=0,NOT(ISBLANK(V570)))),"Yes","No")</f>
        <v>No</v>
      </c>
      <c r="X570" s="0" t="n">
        <v>47.2</v>
      </c>
      <c r="Y570" s="3" t="s">
        <v>30</v>
      </c>
      <c r="Z570" s="0" t="str">
        <f aca="false">IF(M570=1,P570,"")</f>
        <v/>
      </c>
    </row>
    <row r="571" customFormat="false" ht="15" hidden="false" customHeight="false" outlineLevel="0" collapsed="false">
      <c r="A571" s="0" t="s">
        <v>614</v>
      </c>
      <c r="B571" s="2" t="n">
        <v>45664</v>
      </c>
      <c r="C571" s="3" t="s">
        <v>27</v>
      </c>
      <c r="D571" s="3" t="s">
        <v>28</v>
      </c>
      <c r="E571" s="3" t="s">
        <v>35</v>
      </c>
      <c r="F571" s="3" t="s">
        <v>30</v>
      </c>
      <c r="G571" s="3" t="s">
        <v>50</v>
      </c>
      <c r="H571" s="3" t="s">
        <v>30</v>
      </c>
      <c r="I571" s="3" t="s">
        <v>37</v>
      </c>
      <c r="J571" s="0" t="n">
        <v>1</v>
      </c>
      <c r="K571" s="0" t="n">
        <v>0</v>
      </c>
      <c r="L571" s="0" t="n">
        <v>0</v>
      </c>
      <c r="M571" s="0" t="n">
        <v>0</v>
      </c>
      <c r="N571" s="0" t="str">
        <f aca="false">IF(OR(NOT(OR(J571=0,J571=1)),NOT(OR(K571=0,K571=1)),NOT(OR(L571=0,L571=1)),NOT(OR(M571=0,M571=1)),NOT(OR(U571=0,U571=1))),"Yes","No")</f>
        <v>No</v>
      </c>
      <c r="O571" s="0" t="str">
        <f aca="false">IF(OR(AND(M571=1,L571=0),AND(L571=1,K571=0),AND(K571=1,J571=0)),"Yes","No")</f>
        <v>No</v>
      </c>
      <c r="P571" s="0" t="n">
        <v>0</v>
      </c>
      <c r="Q571" s="0" t="str">
        <f aca="false">IF(OR(AND(M571=0,P571&gt;0),AND(M571=1,P571&lt;=0)),"Yes","No")</f>
        <v>No</v>
      </c>
      <c r="R571" s="0" t="str">
        <f aca="false">IF(AND(M571=1,P571&gt;calc_helpers!$B$5),"Yes","No")</f>
        <v>No</v>
      </c>
      <c r="S571" s="0" t="n">
        <v>2</v>
      </c>
      <c r="T571" s="0" t="str">
        <f aca="false">IF(S571&gt;0,"Yes","No")</f>
        <v>Yes</v>
      </c>
      <c r="U571" s="0" t="n">
        <v>0</v>
      </c>
      <c r="W571" s="0" t="str">
        <f aca="false">IF(OR(AND(M571=1,ISBLANK(V571)),AND(M571=0,NOT(ISBLANK(V571)))),"Yes","No")</f>
        <v>No</v>
      </c>
      <c r="X571" s="0" t="n">
        <v>20.3</v>
      </c>
      <c r="Y571" s="3" t="s">
        <v>30</v>
      </c>
      <c r="Z571" s="0" t="str">
        <f aca="false">IF(M571=1,P571,"")</f>
        <v/>
      </c>
    </row>
    <row r="572" customFormat="false" ht="15" hidden="false" customHeight="false" outlineLevel="0" collapsed="false">
      <c r="A572" s="0" t="s">
        <v>615</v>
      </c>
      <c r="B572" s="2" t="n">
        <v>45722</v>
      </c>
      <c r="C572" s="3" t="s">
        <v>27</v>
      </c>
      <c r="D572" s="3" t="s">
        <v>34</v>
      </c>
      <c r="E572" s="3" t="s">
        <v>35</v>
      </c>
      <c r="F572" s="3" t="s">
        <v>30</v>
      </c>
      <c r="G572" s="3" t="s">
        <v>40</v>
      </c>
      <c r="H572" s="3" t="s">
        <v>30</v>
      </c>
      <c r="I572" s="3" t="s">
        <v>37</v>
      </c>
      <c r="J572" s="0" t="n">
        <v>0</v>
      </c>
      <c r="K572" s="0" t="n">
        <v>0</v>
      </c>
      <c r="L572" s="0" t="n">
        <v>0</v>
      </c>
      <c r="M572" s="0" t="n">
        <v>0</v>
      </c>
      <c r="N572" s="0" t="str">
        <f aca="false">IF(OR(NOT(OR(J572=0,J572=1)),NOT(OR(K572=0,K572=1)),NOT(OR(L572=0,L572=1)),NOT(OR(M572=0,M572=1)),NOT(OR(U572=0,U572=1))),"Yes","No")</f>
        <v>No</v>
      </c>
      <c r="O572" s="0" t="str">
        <f aca="false">IF(OR(AND(M572=1,L572=0),AND(L572=1,K572=0),AND(K572=1,J572=0)),"Yes","No")</f>
        <v>No</v>
      </c>
      <c r="P572" s="0" t="n">
        <v>0</v>
      </c>
      <c r="Q572" s="0" t="str">
        <f aca="false">IF(OR(AND(M572=0,P572&gt;0),AND(M572=1,P572&lt;=0)),"Yes","No")</f>
        <v>No</v>
      </c>
      <c r="R572" s="0" t="str">
        <f aca="false">IF(AND(M572=1,P572&gt;calc_helpers!$B$5),"Yes","No")</f>
        <v>No</v>
      </c>
      <c r="S572" s="0" t="n">
        <v>1</v>
      </c>
      <c r="T572" s="0" t="str">
        <f aca="false">IF(S572&gt;0,"Yes","No")</f>
        <v>Yes</v>
      </c>
      <c r="U572" s="0" t="n">
        <v>0</v>
      </c>
      <c r="W572" s="0" t="str">
        <f aca="false">IF(OR(AND(M572=1,ISBLANK(V572)),AND(M572=0,NOT(ISBLANK(V572)))),"Yes","No")</f>
        <v>No</v>
      </c>
      <c r="X572" s="0" t="n">
        <v>57.8</v>
      </c>
      <c r="Y572" s="3" t="s">
        <v>30</v>
      </c>
      <c r="Z572" s="0" t="str">
        <f aca="false">IF(M572=1,P572,"")</f>
        <v/>
      </c>
    </row>
    <row r="573" customFormat="false" ht="15" hidden="false" customHeight="false" outlineLevel="0" collapsed="false">
      <c r="A573" s="0" t="s">
        <v>616</v>
      </c>
      <c r="B573" s="2" t="n">
        <v>45746</v>
      </c>
      <c r="C573" s="3" t="s">
        <v>27</v>
      </c>
      <c r="D573" s="3" t="s">
        <v>39</v>
      </c>
      <c r="E573" s="3" t="s">
        <v>35</v>
      </c>
      <c r="F573" s="3" t="s">
        <v>30</v>
      </c>
      <c r="G573" s="3" t="s">
        <v>31</v>
      </c>
      <c r="H573" s="3" t="s">
        <v>30</v>
      </c>
      <c r="I573" s="3" t="s">
        <v>32</v>
      </c>
      <c r="J573" s="0" t="n">
        <v>1</v>
      </c>
      <c r="K573" s="0" t="n">
        <v>0</v>
      </c>
      <c r="L573" s="0" t="n">
        <v>0</v>
      </c>
      <c r="M573" s="0" t="n">
        <v>0</v>
      </c>
      <c r="N573" s="0" t="str">
        <f aca="false">IF(OR(NOT(OR(J573=0,J573=1)),NOT(OR(K573=0,K573=1)),NOT(OR(L573=0,L573=1)),NOT(OR(M573=0,M573=1)),NOT(OR(U573=0,U573=1))),"Yes","No")</f>
        <v>No</v>
      </c>
      <c r="O573" s="0" t="str">
        <f aca="false">IF(OR(AND(M573=1,L573=0),AND(L573=1,K573=0),AND(K573=1,J573=0)),"Yes","No")</f>
        <v>No</v>
      </c>
      <c r="P573" s="0" t="n">
        <v>0</v>
      </c>
      <c r="Q573" s="0" t="str">
        <f aca="false">IF(OR(AND(M573=0,P573&gt;0),AND(M573=1,P573&lt;=0)),"Yes","No")</f>
        <v>No</v>
      </c>
      <c r="R573" s="0" t="str">
        <f aca="false">IF(AND(M573=1,P573&gt;calc_helpers!$B$5),"Yes","No")</f>
        <v>No</v>
      </c>
      <c r="S573" s="0" t="n">
        <v>0</v>
      </c>
      <c r="T573" s="0" t="str">
        <f aca="false">IF(S573&gt;0,"Yes","No")</f>
        <v>No</v>
      </c>
      <c r="U573" s="0" t="n">
        <v>0</v>
      </c>
      <c r="W573" s="0" t="str">
        <f aca="false">IF(OR(AND(M573=1,ISBLANK(V573)),AND(M573=0,NOT(ISBLANK(V573)))),"Yes","No")</f>
        <v>No</v>
      </c>
      <c r="X573" s="0" t="n">
        <v>78.7</v>
      </c>
      <c r="Y573" s="3" t="s">
        <v>30</v>
      </c>
      <c r="Z573" s="0" t="str">
        <f aca="false">IF(M573=1,P573,"")</f>
        <v/>
      </c>
    </row>
    <row r="574" customFormat="false" ht="15" hidden="false" customHeight="false" outlineLevel="0" collapsed="false">
      <c r="A574" s="0" t="s">
        <v>617</v>
      </c>
      <c r="B574" s="2" t="n">
        <v>45808</v>
      </c>
      <c r="C574" s="3" t="s">
        <v>27</v>
      </c>
      <c r="D574" s="3" t="s">
        <v>43</v>
      </c>
      <c r="E574" s="3" t="s">
        <v>29</v>
      </c>
      <c r="F574" s="3" t="s">
        <v>30</v>
      </c>
      <c r="G574" s="3" t="s">
        <v>36</v>
      </c>
      <c r="H574" s="3" t="s">
        <v>30</v>
      </c>
      <c r="I574" s="3" t="s">
        <v>37</v>
      </c>
      <c r="J574" s="0" t="n">
        <v>1</v>
      </c>
      <c r="K574" s="0" t="n">
        <v>0</v>
      </c>
      <c r="L574" s="0" t="n">
        <v>0</v>
      </c>
      <c r="M574" s="0" t="n">
        <v>0</v>
      </c>
      <c r="N574" s="0" t="str">
        <f aca="false">IF(OR(NOT(OR(J574=0,J574=1)),NOT(OR(K574=0,K574=1)),NOT(OR(L574=0,L574=1)),NOT(OR(M574=0,M574=1)),NOT(OR(U574=0,U574=1))),"Yes","No")</f>
        <v>No</v>
      </c>
      <c r="O574" s="0" t="str">
        <f aca="false">IF(OR(AND(M574=1,L574=0),AND(L574=1,K574=0),AND(K574=1,J574=0)),"Yes","No")</f>
        <v>No</v>
      </c>
      <c r="P574" s="0" t="n">
        <v>0</v>
      </c>
      <c r="Q574" s="0" t="str">
        <f aca="false">IF(OR(AND(M574=0,P574&gt;0),AND(M574=1,P574&lt;=0)),"Yes","No")</f>
        <v>No</v>
      </c>
      <c r="R574" s="0" t="str">
        <f aca="false">IF(AND(M574=1,P574&gt;calc_helpers!$B$5),"Yes","No")</f>
        <v>No</v>
      </c>
      <c r="S574" s="0" t="n">
        <v>0</v>
      </c>
      <c r="T574" s="0" t="str">
        <f aca="false">IF(S574&gt;0,"Yes","No")</f>
        <v>No</v>
      </c>
      <c r="U574" s="0" t="n">
        <v>0</v>
      </c>
      <c r="W574" s="0" t="str">
        <f aca="false">IF(OR(AND(M574=1,ISBLANK(V574)),AND(M574=0,NOT(ISBLANK(V574)))),"Yes","No")</f>
        <v>No</v>
      </c>
      <c r="X574" s="0" t="n">
        <v>63.6</v>
      </c>
      <c r="Y574" s="3" t="s">
        <v>30</v>
      </c>
      <c r="Z574" s="0" t="str">
        <f aca="false">IF(M574=1,P574,"")</f>
        <v/>
      </c>
    </row>
    <row r="575" customFormat="false" ht="15" hidden="false" customHeight="false" outlineLevel="0" collapsed="false">
      <c r="A575" s="0" t="s">
        <v>618</v>
      </c>
      <c r="B575" s="2" t="n">
        <v>45708</v>
      </c>
      <c r="C575" s="3" t="s">
        <v>27</v>
      </c>
      <c r="D575" s="3" t="s">
        <v>43</v>
      </c>
      <c r="E575" s="3" t="s">
        <v>35</v>
      </c>
      <c r="F575" s="3" t="s">
        <v>30</v>
      </c>
      <c r="G575" s="3" t="s">
        <v>31</v>
      </c>
      <c r="H575" s="3" t="s">
        <v>30</v>
      </c>
      <c r="I575" s="3" t="s">
        <v>37</v>
      </c>
      <c r="J575" s="0" t="n">
        <v>0</v>
      </c>
      <c r="K575" s="0" t="n">
        <v>0</v>
      </c>
      <c r="L575" s="0" t="n">
        <v>0</v>
      </c>
      <c r="M575" s="0" t="n">
        <v>0</v>
      </c>
      <c r="N575" s="0" t="str">
        <f aca="false">IF(OR(NOT(OR(J575=0,J575=1)),NOT(OR(K575=0,K575=1)),NOT(OR(L575=0,L575=1)),NOT(OR(M575=0,M575=1)),NOT(OR(U575=0,U575=1))),"Yes","No")</f>
        <v>No</v>
      </c>
      <c r="O575" s="0" t="str">
        <f aca="false">IF(OR(AND(M575=1,L575=0),AND(L575=1,K575=0),AND(K575=1,J575=0)),"Yes","No")</f>
        <v>No</v>
      </c>
      <c r="P575" s="0" t="n">
        <v>0</v>
      </c>
      <c r="Q575" s="0" t="str">
        <f aca="false">IF(OR(AND(M575=0,P575&gt;0),AND(M575=1,P575&lt;=0)),"Yes","No")</f>
        <v>No</v>
      </c>
      <c r="R575" s="0" t="str">
        <f aca="false">IF(AND(M575=1,P575&gt;calc_helpers!$B$5),"Yes","No")</f>
        <v>No</v>
      </c>
      <c r="S575" s="0" t="n">
        <v>2</v>
      </c>
      <c r="T575" s="0" t="str">
        <f aca="false">IF(S575&gt;0,"Yes","No")</f>
        <v>Yes</v>
      </c>
      <c r="U575" s="0" t="n">
        <v>0</v>
      </c>
      <c r="W575" s="0" t="str">
        <f aca="false">IF(OR(AND(M575=1,ISBLANK(V575)),AND(M575=0,NOT(ISBLANK(V575)))),"Yes","No")</f>
        <v>No</v>
      </c>
      <c r="X575" s="0" t="n">
        <v>45.1</v>
      </c>
      <c r="Y575" s="3" t="s">
        <v>30</v>
      </c>
      <c r="Z575" s="0" t="str">
        <f aca="false">IF(M575=1,P575,"")</f>
        <v/>
      </c>
    </row>
    <row r="576" customFormat="false" ht="15" hidden="false" customHeight="false" outlineLevel="0" collapsed="false">
      <c r="A576" s="0" t="s">
        <v>619</v>
      </c>
      <c r="B576" s="2" t="n">
        <v>45670</v>
      </c>
      <c r="C576" s="3" t="s">
        <v>27</v>
      </c>
      <c r="D576" s="3" t="s">
        <v>34</v>
      </c>
      <c r="E576" s="3" t="s">
        <v>35</v>
      </c>
      <c r="F576" s="3" t="s">
        <v>30</v>
      </c>
      <c r="G576" s="3" t="s">
        <v>52</v>
      </c>
      <c r="H576" s="3" t="s">
        <v>30</v>
      </c>
      <c r="I576" s="3" t="s">
        <v>37</v>
      </c>
      <c r="J576" s="0" t="n">
        <v>0</v>
      </c>
      <c r="K576" s="0" t="n">
        <v>0</v>
      </c>
      <c r="L576" s="0" t="n">
        <v>0</v>
      </c>
      <c r="M576" s="0" t="n">
        <v>0</v>
      </c>
      <c r="N576" s="0" t="str">
        <f aca="false">IF(OR(NOT(OR(J576=0,J576=1)),NOT(OR(K576=0,K576=1)),NOT(OR(L576=0,L576=1)),NOT(OR(M576=0,M576=1)),NOT(OR(U576=0,U576=1))),"Yes","No")</f>
        <v>No</v>
      </c>
      <c r="O576" s="0" t="str">
        <f aca="false">IF(OR(AND(M576=1,L576=0),AND(L576=1,K576=0),AND(K576=1,J576=0)),"Yes","No")</f>
        <v>No</v>
      </c>
      <c r="P576" s="0" t="n">
        <v>0</v>
      </c>
      <c r="Q576" s="0" t="str">
        <f aca="false">IF(OR(AND(M576=0,P576&gt;0),AND(M576=1,P576&lt;=0)),"Yes","No")</f>
        <v>No</v>
      </c>
      <c r="R576" s="0" t="str">
        <f aca="false">IF(AND(M576=1,P576&gt;calc_helpers!$B$5),"Yes","No")</f>
        <v>No</v>
      </c>
      <c r="S576" s="0" t="n">
        <v>0</v>
      </c>
      <c r="T576" s="0" t="str">
        <f aca="false">IF(S576&gt;0,"Yes","No")</f>
        <v>No</v>
      </c>
      <c r="U576" s="0" t="n">
        <v>0</v>
      </c>
      <c r="W576" s="0" t="str">
        <f aca="false">IF(OR(AND(M576=1,ISBLANK(V576)),AND(M576=0,NOT(ISBLANK(V576)))),"Yes","No")</f>
        <v>No</v>
      </c>
      <c r="X576" s="0" t="n">
        <v>77.5</v>
      </c>
      <c r="Y576" s="3" t="s">
        <v>30</v>
      </c>
      <c r="Z576" s="0" t="str">
        <f aca="false">IF(M576=1,P576,"")</f>
        <v/>
      </c>
    </row>
    <row r="577" customFormat="false" ht="15" hidden="false" customHeight="false" outlineLevel="0" collapsed="false">
      <c r="A577" s="0" t="s">
        <v>620</v>
      </c>
      <c r="B577" s="2" t="n">
        <v>45790</v>
      </c>
      <c r="C577" s="3" t="s">
        <v>27</v>
      </c>
      <c r="D577" s="3" t="s">
        <v>39</v>
      </c>
      <c r="E577" s="3" t="s">
        <v>29</v>
      </c>
      <c r="F577" s="3" t="s">
        <v>30</v>
      </c>
      <c r="G577" s="3" t="s">
        <v>40</v>
      </c>
      <c r="H577" s="3" t="s">
        <v>30</v>
      </c>
      <c r="I577" s="3" t="s">
        <v>32</v>
      </c>
      <c r="J577" s="0" t="n">
        <v>1</v>
      </c>
      <c r="K577" s="0" t="n">
        <v>1</v>
      </c>
      <c r="L577" s="0" t="n">
        <v>0</v>
      </c>
      <c r="M577" s="0" t="n">
        <v>0</v>
      </c>
      <c r="N577" s="0" t="str">
        <f aca="false">IF(OR(NOT(OR(J577=0,J577=1)),NOT(OR(K577=0,K577=1)),NOT(OR(L577=0,L577=1)),NOT(OR(M577=0,M577=1)),NOT(OR(U577=0,U577=1))),"Yes","No")</f>
        <v>No</v>
      </c>
      <c r="O577" s="0" t="str">
        <f aca="false">IF(OR(AND(M577=1,L577=0),AND(L577=1,K577=0),AND(K577=1,J577=0)),"Yes","No")</f>
        <v>No</v>
      </c>
      <c r="P577" s="0" t="n">
        <v>0</v>
      </c>
      <c r="Q577" s="0" t="str">
        <f aca="false">IF(OR(AND(M577=0,P577&gt;0),AND(M577=1,P577&lt;=0)),"Yes","No")</f>
        <v>No</v>
      </c>
      <c r="R577" s="0" t="str">
        <f aca="false">IF(AND(M577=1,P577&gt;calc_helpers!$B$5),"Yes","No")</f>
        <v>No</v>
      </c>
      <c r="S577" s="0" t="n">
        <v>0</v>
      </c>
      <c r="T577" s="0" t="str">
        <f aca="false">IF(S577&gt;0,"Yes","No")</f>
        <v>No</v>
      </c>
      <c r="U577" s="0" t="n">
        <v>0</v>
      </c>
      <c r="W577" s="0" t="str">
        <f aca="false">IF(OR(AND(M577=1,ISBLANK(V577)),AND(M577=0,NOT(ISBLANK(V577)))),"Yes","No")</f>
        <v>No</v>
      </c>
      <c r="X577" s="0" t="n">
        <v>58</v>
      </c>
      <c r="Y577" s="3" t="s">
        <v>30</v>
      </c>
      <c r="Z577" s="0" t="str">
        <f aca="false">IF(M577=1,P577,"")</f>
        <v/>
      </c>
    </row>
    <row r="578" customFormat="false" ht="15" hidden="false" customHeight="false" outlineLevel="0" collapsed="false">
      <c r="A578" s="0" t="s">
        <v>621</v>
      </c>
      <c r="B578" s="2" t="n">
        <v>45768</v>
      </c>
      <c r="C578" s="3" t="s">
        <v>27</v>
      </c>
      <c r="D578" s="3" t="s">
        <v>43</v>
      </c>
      <c r="E578" s="3" t="s">
        <v>45</v>
      </c>
      <c r="F578" s="3" t="s">
        <v>30</v>
      </c>
      <c r="G578" s="3" t="s">
        <v>36</v>
      </c>
      <c r="H578" s="3" t="s">
        <v>30</v>
      </c>
      <c r="I578" s="3" t="s">
        <v>37</v>
      </c>
      <c r="J578" s="0" t="n">
        <v>1</v>
      </c>
      <c r="K578" s="0" t="n">
        <v>0</v>
      </c>
      <c r="L578" s="0" t="n">
        <v>0</v>
      </c>
      <c r="M578" s="0" t="n">
        <v>0</v>
      </c>
      <c r="N578" s="0" t="str">
        <f aca="false">IF(OR(NOT(OR(J578=0,J578=1)),NOT(OR(K578=0,K578=1)),NOT(OR(L578=0,L578=1)),NOT(OR(M578=0,M578=1)),NOT(OR(U578=0,U578=1))),"Yes","No")</f>
        <v>No</v>
      </c>
      <c r="O578" s="0" t="str">
        <f aca="false">IF(OR(AND(M578=1,L578=0),AND(L578=1,K578=0),AND(K578=1,J578=0)),"Yes","No")</f>
        <v>No</v>
      </c>
      <c r="P578" s="0" t="n">
        <v>0</v>
      </c>
      <c r="Q578" s="0" t="str">
        <f aca="false">IF(OR(AND(M578=0,P578&gt;0),AND(M578=1,P578&lt;=0)),"Yes","No")</f>
        <v>No</v>
      </c>
      <c r="R578" s="0" t="str">
        <f aca="false">IF(AND(M578=1,P578&gt;calc_helpers!$B$5),"Yes","No")</f>
        <v>No</v>
      </c>
      <c r="S578" s="0" t="n">
        <v>0</v>
      </c>
      <c r="T578" s="0" t="str">
        <f aca="false">IF(S578&gt;0,"Yes","No")</f>
        <v>No</v>
      </c>
      <c r="U578" s="0" t="n">
        <v>0</v>
      </c>
      <c r="W578" s="0" t="str">
        <f aca="false">IF(OR(AND(M578=1,ISBLANK(V578)),AND(M578=0,NOT(ISBLANK(V578)))),"Yes","No")</f>
        <v>No</v>
      </c>
      <c r="X578" s="0" t="n">
        <v>68.1</v>
      </c>
      <c r="Y578" s="3" t="s">
        <v>30</v>
      </c>
      <c r="Z578" s="0" t="str">
        <f aca="false">IF(M578=1,P578,"")</f>
        <v/>
      </c>
    </row>
    <row r="579" customFormat="false" ht="15" hidden="false" customHeight="false" outlineLevel="0" collapsed="false">
      <c r="A579" s="0" t="s">
        <v>622</v>
      </c>
      <c r="B579" s="2" t="n">
        <v>45717</v>
      </c>
      <c r="C579" s="3" t="s">
        <v>27</v>
      </c>
      <c r="D579" s="3" t="s">
        <v>39</v>
      </c>
      <c r="E579" s="3" t="s">
        <v>45</v>
      </c>
      <c r="F579" s="3" t="s">
        <v>30</v>
      </c>
      <c r="G579" s="3" t="s">
        <v>36</v>
      </c>
      <c r="H579" s="3" t="s">
        <v>30</v>
      </c>
      <c r="I579" s="3" t="s">
        <v>41</v>
      </c>
      <c r="J579" s="0" t="n">
        <v>1</v>
      </c>
      <c r="K579" s="0" t="n">
        <v>0</v>
      </c>
      <c r="L579" s="0" t="n">
        <v>0</v>
      </c>
      <c r="M579" s="0" t="n">
        <v>0</v>
      </c>
      <c r="N579" s="0" t="str">
        <f aca="false">IF(OR(NOT(OR(J579=0,J579=1)),NOT(OR(K579=0,K579=1)),NOT(OR(L579=0,L579=1)),NOT(OR(M579=0,M579=1)),NOT(OR(U579=0,U579=1))),"Yes","No")</f>
        <v>No</v>
      </c>
      <c r="O579" s="0" t="str">
        <f aca="false">IF(OR(AND(M579=1,L579=0),AND(L579=1,K579=0),AND(K579=1,J579=0)),"Yes","No")</f>
        <v>No</v>
      </c>
      <c r="P579" s="0" t="n">
        <v>0</v>
      </c>
      <c r="Q579" s="0" t="str">
        <f aca="false">IF(OR(AND(M579=0,P579&gt;0),AND(M579=1,P579&lt;=0)),"Yes","No")</f>
        <v>No</v>
      </c>
      <c r="R579" s="0" t="str">
        <f aca="false">IF(AND(M579=1,P579&gt;calc_helpers!$B$5),"Yes","No")</f>
        <v>No</v>
      </c>
      <c r="S579" s="0" t="n">
        <v>0</v>
      </c>
      <c r="T579" s="0" t="str">
        <f aca="false">IF(S579&gt;0,"Yes","No")</f>
        <v>No</v>
      </c>
      <c r="U579" s="0" t="n">
        <v>0</v>
      </c>
      <c r="W579" s="0" t="str">
        <f aca="false">IF(OR(AND(M579=1,ISBLANK(V579)),AND(M579=0,NOT(ISBLANK(V579)))),"Yes","No")</f>
        <v>No</v>
      </c>
      <c r="X579" s="0" t="n">
        <v>35.4</v>
      </c>
      <c r="Y579" s="3" t="s">
        <v>30</v>
      </c>
      <c r="Z579" s="0" t="str">
        <f aca="false">IF(M579=1,P579,"")</f>
        <v/>
      </c>
    </row>
    <row r="580" customFormat="false" ht="15" hidden="false" customHeight="false" outlineLevel="0" collapsed="false">
      <c r="A580" s="0" t="s">
        <v>623</v>
      </c>
      <c r="B580" s="2" t="n">
        <v>45726</v>
      </c>
      <c r="C580" s="3" t="s">
        <v>27</v>
      </c>
      <c r="D580" s="3" t="s">
        <v>34</v>
      </c>
      <c r="E580" s="3" t="s">
        <v>45</v>
      </c>
      <c r="F580" s="3" t="s">
        <v>30</v>
      </c>
      <c r="G580" s="3" t="s">
        <v>36</v>
      </c>
      <c r="H580" s="3" t="s">
        <v>30</v>
      </c>
      <c r="I580" s="3" t="s">
        <v>37</v>
      </c>
      <c r="J580" s="0" t="n">
        <v>0</v>
      </c>
      <c r="K580" s="0" t="n">
        <v>0</v>
      </c>
      <c r="L580" s="0" t="n">
        <v>0</v>
      </c>
      <c r="M580" s="0" t="n">
        <v>0</v>
      </c>
      <c r="N580" s="0" t="str">
        <f aca="false">IF(OR(NOT(OR(J580=0,J580=1)),NOT(OR(K580=0,K580=1)),NOT(OR(L580=0,L580=1)),NOT(OR(M580=0,M580=1)),NOT(OR(U580=0,U580=1))),"Yes","No")</f>
        <v>No</v>
      </c>
      <c r="O580" s="0" t="str">
        <f aca="false">IF(OR(AND(M580=1,L580=0),AND(L580=1,K580=0),AND(K580=1,J580=0)),"Yes","No")</f>
        <v>No</v>
      </c>
      <c r="P580" s="0" t="n">
        <v>0</v>
      </c>
      <c r="Q580" s="0" t="str">
        <f aca="false">IF(OR(AND(M580=0,P580&gt;0),AND(M580=1,P580&lt;=0)),"Yes","No")</f>
        <v>No</v>
      </c>
      <c r="R580" s="0" t="str">
        <f aca="false">IF(AND(M580=1,P580&gt;calc_helpers!$B$5),"Yes","No")</f>
        <v>No</v>
      </c>
      <c r="S580" s="0" t="n">
        <v>0</v>
      </c>
      <c r="T580" s="0" t="str">
        <f aca="false">IF(S580&gt;0,"Yes","No")</f>
        <v>No</v>
      </c>
      <c r="U580" s="0" t="n">
        <v>0</v>
      </c>
      <c r="W580" s="0" t="str">
        <f aca="false">IF(OR(AND(M580=1,ISBLANK(V580)),AND(M580=0,NOT(ISBLANK(V580)))),"Yes","No")</f>
        <v>No</v>
      </c>
      <c r="X580" s="0" t="n">
        <v>47</v>
      </c>
      <c r="Y580" s="3" t="s">
        <v>30</v>
      </c>
      <c r="Z580" s="0" t="str">
        <f aca="false">IF(M580=1,P580,"")</f>
        <v/>
      </c>
    </row>
    <row r="581" customFormat="false" ht="15" hidden="false" customHeight="false" outlineLevel="0" collapsed="false">
      <c r="A581" s="0" t="s">
        <v>624</v>
      </c>
      <c r="B581" s="2" t="n">
        <v>45724</v>
      </c>
      <c r="C581" s="3" t="s">
        <v>27</v>
      </c>
      <c r="D581" s="3" t="s">
        <v>39</v>
      </c>
      <c r="E581" s="3" t="s">
        <v>29</v>
      </c>
      <c r="F581" s="3" t="s">
        <v>30</v>
      </c>
      <c r="G581" s="3" t="s">
        <v>40</v>
      </c>
      <c r="H581" s="3" t="s">
        <v>30</v>
      </c>
      <c r="I581" s="3" t="s">
        <v>37</v>
      </c>
      <c r="J581" s="0" t="n">
        <v>0</v>
      </c>
      <c r="K581" s="0" t="n">
        <v>0</v>
      </c>
      <c r="L581" s="0" t="n">
        <v>0</v>
      </c>
      <c r="M581" s="0" t="n">
        <v>0</v>
      </c>
      <c r="N581" s="0" t="str">
        <f aca="false">IF(OR(NOT(OR(J581=0,J581=1)),NOT(OR(K581=0,K581=1)),NOT(OR(L581=0,L581=1)),NOT(OR(M581=0,M581=1)),NOT(OR(U581=0,U581=1))),"Yes","No")</f>
        <v>No</v>
      </c>
      <c r="O581" s="0" t="str">
        <f aca="false">IF(OR(AND(M581=1,L581=0),AND(L581=1,K581=0),AND(K581=1,J581=0)),"Yes","No")</f>
        <v>No</v>
      </c>
      <c r="P581" s="0" t="n">
        <v>0</v>
      </c>
      <c r="Q581" s="0" t="str">
        <f aca="false">IF(OR(AND(M581=0,P581&gt;0),AND(M581=1,P581&lt;=0)),"Yes","No")</f>
        <v>No</v>
      </c>
      <c r="R581" s="0" t="str">
        <f aca="false">IF(AND(M581=1,P581&gt;calc_helpers!$B$5),"Yes","No")</f>
        <v>No</v>
      </c>
      <c r="S581" s="0" t="n">
        <v>0</v>
      </c>
      <c r="T581" s="0" t="str">
        <f aca="false">IF(S581&gt;0,"Yes","No")</f>
        <v>No</v>
      </c>
      <c r="U581" s="0" t="n">
        <v>0</v>
      </c>
      <c r="W581" s="0" t="str">
        <f aca="false">IF(OR(AND(M581=1,ISBLANK(V581)),AND(M581=0,NOT(ISBLANK(V581)))),"Yes","No")</f>
        <v>No</v>
      </c>
      <c r="X581" s="0" t="n">
        <v>75</v>
      </c>
      <c r="Y581" s="3" t="s">
        <v>30</v>
      </c>
      <c r="Z581" s="0" t="str">
        <f aca="false">IF(M581=1,P581,"")</f>
        <v/>
      </c>
    </row>
    <row r="582" customFormat="false" ht="15" hidden="false" customHeight="false" outlineLevel="0" collapsed="false">
      <c r="A582" s="0" t="s">
        <v>625</v>
      </c>
      <c r="B582" s="2" t="n">
        <v>45803</v>
      </c>
      <c r="C582" s="3" t="s">
        <v>27</v>
      </c>
      <c r="D582" s="3" t="s">
        <v>43</v>
      </c>
      <c r="E582" s="3" t="s">
        <v>29</v>
      </c>
      <c r="F582" s="3" t="s">
        <v>30</v>
      </c>
      <c r="G582" s="3" t="s">
        <v>40</v>
      </c>
      <c r="H582" s="3" t="s">
        <v>30</v>
      </c>
      <c r="I582" s="3" t="s">
        <v>37</v>
      </c>
      <c r="J582" s="0" t="n">
        <v>1</v>
      </c>
      <c r="K582" s="0" t="n">
        <v>1</v>
      </c>
      <c r="L582" s="0" t="n">
        <v>1</v>
      </c>
      <c r="M582" s="0" t="n">
        <v>0</v>
      </c>
      <c r="N582" s="0" t="str">
        <f aca="false">IF(OR(NOT(OR(J582=0,J582=1)),NOT(OR(K582=0,K582=1)),NOT(OR(L582=0,L582=1)),NOT(OR(M582=0,M582=1)),NOT(OR(U582=0,U582=1))),"Yes","No")</f>
        <v>No</v>
      </c>
      <c r="O582" s="0" t="str">
        <f aca="false">IF(OR(AND(M582=1,L582=0),AND(L582=1,K582=0),AND(K582=1,J582=0)),"Yes","No")</f>
        <v>No</v>
      </c>
      <c r="P582" s="0" t="n">
        <v>0</v>
      </c>
      <c r="Q582" s="0" t="str">
        <f aca="false">IF(OR(AND(M582=0,P582&gt;0),AND(M582=1,P582&lt;=0)),"Yes","No")</f>
        <v>No</v>
      </c>
      <c r="R582" s="0" t="str">
        <f aca="false">IF(AND(M582=1,P582&gt;calc_helpers!$B$5),"Yes","No")</f>
        <v>No</v>
      </c>
      <c r="S582" s="0" t="n">
        <v>3</v>
      </c>
      <c r="T582" s="0" t="str">
        <f aca="false">IF(S582&gt;0,"Yes","No")</f>
        <v>Yes</v>
      </c>
      <c r="U582" s="0" t="n">
        <v>0</v>
      </c>
      <c r="W582" s="0" t="str">
        <f aca="false">IF(OR(AND(M582=1,ISBLANK(V582)),AND(M582=0,NOT(ISBLANK(V582)))),"Yes","No")</f>
        <v>No</v>
      </c>
      <c r="X582" s="0" t="n">
        <v>50.2</v>
      </c>
      <c r="Y582" s="3" t="s">
        <v>30</v>
      </c>
      <c r="Z582" s="0" t="str">
        <f aca="false">IF(M582=1,P582,"")</f>
        <v/>
      </c>
    </row>
    <row r="583" customFormat="false" ht="15" hidden="false" customHeight="false" outlineLevel="0" collapsed="false">
      <c r="A583" s="0" t="s">
        <v>626</v>
      </c>
      <c r="B583" s="2" t="n">
        <v>45797</v>
      </c>
      <c r="C583" s="3" t="s">
        <v>27</v>
      </c>
      <c r="D583" s="3" t="s">
        <v>39</v>
      </c>
      <c r="E583" s="3" t="s">
        <v>29</v>
      </c>
      <c r="F583" s="3" t="s">
        <v>30</v>
      </c>
      <c r="G583" s="3" t="s">
        <v>40</v>
      </c>
      <c r="H583" s="3" t="s">
        <v>30</v>
      </c>
      <c r="I583" s="3" t="s">
        <v>37</v>
      </c>
      <c r="J583" s="0" t="n">
        <v>1</v>
      </c>
      <c r="K583" s="0" t="n">
        <v>0</v>
      </c>
      <c r="L583" s="0" t="n">
        <v>0</v>
      </c>
      <c r="M583" s="0" t="n">
        <v>0</v>
      </c>
      <c r="N583" s="0" t="str">
        <f aca="false">IF(OR(NOT(OR(J583=0,J583=1)),NOT(OR(K583=0,K583=1)),NOT(OR(L583=0,L583=1)),NOT(OR(M583=0,M583=1)),NOT(OR(U583=0,U583=1))),"Yes","No")</f>
        <v>No</v>
      </c>
      <c r="O583" s="0" t="str">
        <f aca="false">IF(OR(AND(M583=1,L583=0),AND(L583=1,K583=0),AND(K583=1,J583=0)),"Yes","No")</f>
        <v>No</v>
      </c>
      <c r="P583" s="0" t="n">
        <v>0</v>
      </c>
      <c r="Q583" s="0" t="str">
        <f aca="false">IF(OR(AND(M583=0,P583&gt;0),AND(M583=1,P583&lt;=0)),"Yes","No")</f>
        <v>No</v>
      </c>
      <c r="R583" s="0" t="str">
        <f aca="false">IF(AND(M583=1,P583&gt;calc_helpers!$B$5),"Yes","No")</f>
        <v>No</v>
      </c>
      <c r="S583" s="0" t="n">
        <v>0</v>
      </c>
      <c r="T583" s="0" t="str">
        <f aca="false">IF(S583&gt;0,"Yes","No")</f>
        <v>No</v>
      </c>
      <c r="U583" s="0" t="n">
        <v>0</v>
      </c>
      <c r="W583" s="0" t="str">
        <f aca="false">IF(OR(AND(M583=1,ISBLANK(V583)),AND(M583=0,NOT(ISBLANK(V583)))),"Yes","No")</f>
        <v>No</v>
      </c>
      <c r="X583" s="0" t="n">
        <v>40.1</v>
      </c>
      <c r="Y583" s="3" t="s">
        <v>30</v>
      </c>
      <c r="Z583" s="0" t="str">
        <f aca="false">IF(M583=1,P583,"")</f>
        <v/>
      </c>
    </row>
    <row r="584" customFormat="false" ht="15" hidden="false" customHeight="false" outlineLevel="0" collapsed="false">
      <c r="A584" s="0" t="s">
        <v>627</v>
      </c>
      <c r="B584" s="2" t="n">
        <v>45738</v>
      </c>
      <c r="C584" s="3" t="s">
        <v>27</v>
      </c>
      <c r="D584" s="3" t="s">
        <v>34</v>
      </c>
      <c r="E584" s="3" t="s">
        <v>29</v>
      </c>
      <c r="F584" s="3" t="s">
        <v>30</v>
      </c>
      <c r="G584" s="3" t="s">
        <v>40</v>
      </c>
      <c r="H584" s="3" t="s">
        <v>30</v>
      </c>
      <c r="I584" s="3" t="s">
        <v>37</v>
      </c>
      <c r="J584" s="0" t="n">
        <v>0</v>
      </c>
      <c r="K584" s="0" t="n">
        <v>0</v>
      </c>
      <c r="L584" s="0" t="n">
        <v>0</v>
      </c>
      <c r="M584" s="0" t="n">
        <v>0</v>
      </c>
      <c r="N584" s="0" t="str">
        <f aca="false">IF(OR(NOT(OR(J584=0,J584=1)),NOT(OR(K584=0,K584=1)),NOT(OR(L584=0,L584=1)),NOT(OR(M584=0,M584=1)),NOT(OR(U584=0,U584=1))),"Yes","No")</f>
        <v>No</v>
      </c>
      <c r="O584" s="0" t="str">
        <f aca="false">IF(OR(AND(M584=1,L584=0),AND(L584=1,K584=0),AND(K584=1,J584=0)),"Yes","No")</f>
        <v>No</v>
      </c>
      <c r="P584" s="0" t="n">
        <v>0</v>
      </c>
      <c r="Q584" s="0" t="str">
        <f aca="false">IF(OR(AND(M584=0,P584&gt;0),AND(M584=1,P584&lt;=0)),"Yes","No")</f>
        <v>No</v>
      </c>
      <c r="R584" s="0" t="str">
        <f aca="false">IF(AND(M584=1,P584&gt;calc_helpers!$B$5),"Yes","No")</f>
        <v>No</v>
      </c>
      <c r="S584" s="0" t="n">
        <v>0</v>
      </c>
      <c r="T584" s="0" t="str">
        <f aca="false">IF(S584&gt;0,"Yes","No")</f>
        <v>No</v>
      </c>
      <c r="U584" s="0" t="n">
        <v>0</v>
      </c>
      <c r="W584" s="0" t="str">
        <f aca="false">IF(OR(AND(M584=1,ISBLANK(V584)),AND(M584=0,NOT(ISBLANK(V584)))),"Yes","No")</f>
        <v>No</v>
      </c>
      <c r="X584" s="0" t="n">
        <v>61.1</v>
      </c>
      <c r="Y584" s="3" t="s">
        <v>30</v>
      </c>
      <c r="Z584" s="0" t="str">
        <f aca="false">IF(M584=1,P584,"")</f>
        <v/>
      </c>
    </row>
    <row r="585" customFormat="false" ht="15" hidden="false" customHeight="false" outlineLevel="0" collapsed="false">
      <c r="A585" s="0" t="s">
        <v>628</v>
      </c>
      <c r="B585" s="2" t="n">
        <v>45703</v>
      </c>
      <c r="C585" s="3" t="s">
        <v>27</v>
      </c>
      <c r="D585" s="3" t="s">
        <v>43</v>
      </c>
      <c r="E585" s="3" t="s">
        <v>29</v>
      </c>
      <c r="F585" s="3" t="s">
        <v>30</v>
      </c>
      <c r="G585" s="3" t="s">
        <v>40</v>
      </c>
      <c r="H585" s="3" t="s">
        <v>30</v>
      </c>
      <c r="I585" s="3" t="s">
        <v>37</v>
      </c>
      <c r="J585" s="0" t="n">
        <v>0</v>
      </c>
      <c r="K585" s="0" t="n">
        <v>0</v>
      </c>
      <c r="L585" s="0" t="n">
        <v>0</v>
      </c>
      <c r="M585" s="0" t="n">
        <v>0</v>
      </c>
      <c r="N585" s="0" t="str">
        <f aca="false">IF(OR(NOT(OR(J585=0,J585=1)),NOT(OR(K585=0,K585=1)),NOT(OR(L585=0,L585=1)),NOT(OR(M585=0,M585=1)),NOT(OR(U585=0,U585=1))),"Yes","No")</f>
        <v>No</v>
      </c>
      <c r="O585" s="0" t="str">
        <f aca="false">IF(OR(AND(M585=1,L585=0),AND(L585=1,K585=0),AND(K585=1,J585=0)),"Yes","No")</f>
        <v>No</v>
      </c>
      <c r="P585" s="0" t="n">
        <v>0</v>
      </c>
      <c r="Q585" s="0" t="str">
        <f aca="false">IF(OR(AND(M585=0,P585&gt;0),AND(M585=1,P585&lt;=0)),"Yes","No")</f>
        <v>No</v>
      </c>
      <c r="R585" s="0" t="str">
        <f aca="false">IF(AND(M585=1,P585&gt;calc_helpers!$B$5),"Yes","No")</f>
        <v>No</v>
      </c>
      <c r="S585" s="0" t="n">
        <v>0</v>
      </c>
      <c r="T585" s="0" t="str">
        <f aca="false">IF(S585&gt;0,"Yes","No")</f>
        <v>No</v>
      </c>
      <c r="U585" s="0" t="n">
        <v>0</v>
      </c>
      <c r="W585" s="0" t="str">
        <f aca="false">IF(OR(AND(M585=1,ISBLANK(V585)),AND(M585=0,NOT(ISBLANK(V585)))),"Yes","No")</f>
        <v>No</v>
      </c>
      <c r="X585" s="0" t="n">
        <v>42.4</v>
      </c>
      <c r="Y585" s="3" t="s">
        <v>30</v>
      </c>
      <c r="Z585" s="0" t="str">
        <f aca="false">IF(M585=1,P585,"")</f>
        <v/>
      </c>
    </row>
    <row r="586" customFormat="false" ht="15" hidden="false" customHeight="false" outlineLevel="0" collapsed="false">
      <c r="A586" s="0" t="s">
        <v>629</v>
      </c>
      <c r="B586" s="2" t="n">
        <v>45665</v>
      </c>
      <c r="C586" s="3" t="s">
        <v>27</v>
      </c>
      <c r="D586" s="3" t="s">
        <v>28</v>
      </c>
      <c r="E586" s="3" t="s">
        <v>35</v>
      </c>
      <c r="F586" s="3" t="s">
        <v>30</v>
      </c>
      <c r="G586" s="3" t="s">
        <v>52</v>
      </c>
      <c r="H586" s="3" t="s">
        <v>30</v>
      </c>
      <c r="I586" s="3" t="s">
        <v>37</v>
      </c>
      <c r="J586" s="0" t="n">
        <v>0</v>
      </c>
      <c r="K586" s="0" t="n">
        <v>0</v>
      </c>
      <c r="L586" s="0" t="n">
        <v>0</v>
      </c>
      <c r="M586" s="0" t="n">
        <v>0</v>
      </c>
      <c r="N586" s="0" t="str">
        <f aca="false">IF(OR(NOT(OR(J586=0,J586=1)),NOT(OR(K586=0,K586=1)),NOT(OR(L586=0,L586=1)),NOT(OR(M586=0,M586=1)),NOT(OR(U586=0,U586=1))),"Yes","No")</f>
        <v>No</v>
      </c>
      <c r="O586" s="0" t="str">
        <f aca="false">IF(OR(AND(M586=1,L586=0),AND(L586=1,K586=0),AND(K586=1,J586=0)),"Yes","No")</f>
        <v>No</v>
      </c>
      <c r="P586" s="0" t="n">
        <v>0</v>
      </c>
      <c r="Q586" s="0" t="str">
        <f aca="false">IF(OR(AND(M586=0,P586&gt;0),AND(M586=1,P586&lt;=0)),"Yes","No")</f>
        <v>No</v>
      </c>
      <c r="R586" s="0" t="str">
        <f aca="false">IF(AND(M586=1,P586&gt;calc_helpers!$B$5),"Yes","No")</f>
        <v>No</v>
      </c>
      <c r="S586" s="0" t="n">
        <v>1</v>
      </c>
      <c r="T586" s="0" t="str">
        <f aca="false">IF(S586&gt;0,"Yes","No")</f>
        <v>Yes</v>
      </c>
      <c r="U586" s="0" t="n">
        <v>0</v>
      </c>
      <c r="W586" s="0" t="str">
        <f aca="false">IF(OR(AND(M586=1,ISBLANK(V586)),AND(M586=0,NOT(ISBLANK(V586)))),"Yes","No")</f>
        <v>No</v>
      </c>
      <c r="X586" s="0" t="n">
        <v>46.6</v>
      </c>
      <c r="Y586" s="3" t="s">
        <v>30</v>
      </c>
      <c r="Z586" s="0" t="str">
        <f aca="false">IF(M586=1,P586,"")</f>
        <v/>
      </c>
    </row>
    <row r="587" customFormat="false" ht="15" hidden="false" customHeight="false" outlineLevel="0" collapsed="false">
      <c r="A587" s="0" t="s">
        <v>630</v>
      </c>
      <c r="B587" s="2" t="n">
        <v>45686</v>
      </c>
      <c r="C587" s="3" t="s">
        <v>27</v>
      </c>
      <c r="D587" s="3" t="s">
        <v>43</v>
      </c>
      <c r="E587" s="3" t="s">
        <v>35</v>
      </c>
      <c r="F587" s="3" t="s">
        <v>30</v>
      </c>
      <c r="G587" s="3" t="s">
        <v>36</v>
      </c>
      <c r="H587" s="3" t="s">
        <v>30</v>
      </c>
      <c r="I587" s="3" t="s">
        <v>41</v>
      </c>
      <c r="J587" s="0" t="n">
        <v>1</v>
      </c>
      <c r="K587" s="0" t="n">
        <v>1</v>
      </c>
      <c r="L587" s="0" t="n">
        <v>0</v>
      </c>
      <c r="M587" s="0" t="n">
        <v>0</v>
      </c>
      <c r="N587" s="0" t="str">
        <f aca="false">IF(OR(NOT(OR(J587=0,J587=1)),NOT(OR(K587=0,K587=1)),NOT(OR(L587=0,L587=1)),NOT(OR(M587=0,M587=1)),NOT(OR(U587=0,U587=1))),"Yes","No")</f>
        <v>No</v>
      </c>
      <c r="O587" s="0" t="str">
        <f aca="false">IF(OR(AND(M587=1,L587=0),AND(L587=1,K587=0),AND(K587=1,J587=0)),"Yes","No")</f>
        <v>No</v>
      </c>
      <c r="P587" s="0" t="n">
        <v>0</v>
      </c>
      <c r="Q587" s="0" t="str">
        <f aca="false">IF(OR(AND(M587=0,P587&gt;0),AND(M587=1,P587&lt;=0)),"Yes","No")</f>
        <v>No</v>
      </c>
      <c r="R587" s="0" t="str">
        <f aca="false">IF(AND(M587=1,P587&gt;calc_helpers!$B$5),"Yes","No")</f>
        <v>No</v>
      </c>
      <c r="S587" s="0" t="n">
        <v>0</v>
      </c>
      <c r="T587" s="0" t="str">
        <f aca="false">IF(S587&gt;0,"Yes","No")</f>
        <v>No</v>
      </c>
      <c r="U587" s="0" t="n">
        <v>0</v>
      </c>
      <c r="W587" s="0" t="str">
        <f aca="false">IF(OR(AND(M587=1,ISBLANK(V587)),AND(M587=0,NOT(ISBLANK(V587)))),"Yes","No")</f>
        <v>No</v>
      </c>
      <c r="X587" s="0" t="n">
        <v>72.1</v>
      </c>
      <c r="Y587" s="3" t="s">
        <v>30</v>
      </c>
      <c r="Z587" s="0" t="str">
        <f aca="false">IF(M587=1,P587,"")</f>
        <v/>
      </c>
    </row>
    <row r="588" customFormat="false" ht="15" hidden="false" customHeight="false" outlineLevel="0" collapsed="false">
      <c r="A588" s="0" t="s">
        <v>631</v>
      </c>
      <c r="B588" s="2" t="n">
        <v>45784</v>
      </c>
      <c r="C588" s="3" t="s">
        <v>27</v>
      </c>
      <c r="D588" s="3" t="s">
        <v>39</v>
      </c>
      <c r="E588" s="3" t="s">
        <v>45</v>
      </c>
      <c r="F588" s="3" t="s">
        <v>30</v>
      </c>
      <c r="G588" s="3" t="s">
        <v>36</v>
      </c>
      <c r="H588" s="3" t="s">
        <v>30</v>
      </c>
      <c r="I588" s="3" t="s">
        <v>37</v>
      </c>
      <c r="J588" s="0" t="n">
        <v>0</v>
      </c>
      <c r="K588" s="0" t="n">
        <v>0</v>
      </c>
      <c r="L588" s="0" t="n">
        <v>0</v>
      </c>
      <c r="M588" s="0" t="n">
        <v>0</v>
      </c>
      <c r="N588" s="0" t="str">
        <f aca="false">IF(OR(NOT(OR(J588=0,J588=1)),NOT(OR(K588=0,K588=1)),NOT(OR(L588=0,L588=1)),NOT(OR(M588=0,M588=1)),NOT(OR(U588=0,U588=1))),"Yes","No")</f>
        <v>No</v>
      </c>
      <c r="O588" s="0" t="str">
        <f aca="false">IF(OR(AND(M588=1,L588=0),AND(L588=1,K588=0),AND(K588=1,J588=0)),"Yes","No")</f>
        <v>No</v>
      </c>
      <c r="P588" s="0" t="n">
        <v>0</v>
      </c>
      <c r="Q588" s="0" t="str">
        <f aca="false">IF(OR(AND(M588=0,P588&gt;0),AND(M588=1,P588&lt;=0)),"Yes","No")</f>
        <v>No</v>
      </c>
      <c r="R588" s="0" t="str">
        <f aca="false">IF(AND(M588=1,P588&gt;calc_helpers!$B$5),"Yes","No")</f>
        <v>No</v>
      </c>
      <c r="S588" s="0" t="n">
        <v>0</v>
      </c>
      <c r="T588" s="0" t="str">
        <f aca="false">IF(S588&gt;0,"Yes","No")</f>
        <v>No</v>
      </c>
      <c r="U588" s="0" t="n">
        <v>0</v>
      </c>
      <c r="W588" s="0" t="str">
        <f aca="false">IF(OR(AND(M588=1,ISBLANK(V588)),AND(M588=0,NOT(ISBLANK(V588)))),"Yes","No")</f>
        <v>No</v>
      </c>
      <c r="X588" s="0" t="n">
        <v>21.5</v>
      </c>
      <c r="Y588" s="3" t="s">
        <v>30</v>
      </c>
      <c r="Z588" s="0" t="str">
        <f aca="false">IF(M588=1,P588,"")</f>
        <v/>
      </c>
    </row>
    <row r="589" customFormat="false" ht="15" hidden="false" customHeight="false" outlineLevel="0" collapsed="false">
      <c r="A589" s="0" t="s">
        <v>632</v>
      </c>
      <c r="B589" s="2" t="n">
        <v>45717</v>
      </c>
      <c r="C589" s="3" t="s">
        <v>27</v>
      </c>
      <c r="D589" s="3" t="s">
        <v>28</v>
      </c>
      <c r="E589" s="3" t="s">
        <v>35</v>
      </c>
      <c r="F589" s="3" t="s">
        <v>30</v>
      </c>
      <c r="G589" s="3" t="s">
        <v>52</v>
      </c>
      <c r="H589" s="3" t="s">
        <v>30</v>
      </c>
      <c r="I589" s="3" t="s">
        <v>32</v>
      </c>
      <c r="J589" s="0" t="n">
        <v>1</v>
      </c>
      <c r="K589" s="0" t="n">
        <v>0</v>
      </c>
      <c r="L589" s="0" t="n">
        <v>0</v>
      </c>
      <c r="M589" s="0" t="n">
        <v>0</v>
      </c>
      <c r="N589" s="0" t="str">
        <f aca="false">IF(OR(NOT(OR(J589=0,J589=1)),NOT(OR(K589=0,K589=1)),NOT(OR(L589=0,L589=1)),NOT(OR(M589=0,M589=1)),NOT(OR(U589=0,U589=1))),"Yes","No")</f>
        <v>No</v>
      </c>
      <c r="O589" s="0" t="str">
        <f aca="false">IF(OR(AND(M589=1,L589=0),AND(L589=1,K589=0),AND(K589=1,J589=0)),"Yes","No")</f>
        <v>No</v>
      </c>
      <c r="P589" s="0" t="n">
        <v>0</v>
      </c>
      <c r="Q589" s="0" t="str">
        <f aca="false">IF(OR(AND(M589=0,P589&gt;0),AND(M589=1,P589&lt;=0)),"Yes","No")</f>
        <v>No</v>
      </c>
      <c r="R589" s="0" t="str">
        <f aca="false">IF(AND(M589=1,P589&gt;calc_helpers!$B$5),"Yes","No")</f>
        <v>No</v>
      </c>
      <c r="S589" s="0" t="n">
        <v>1</v>
      </c>
      <c r="T589" s="0" t="str">
        <f aca="false">IF(S589&gt;0,"Yes","No")</f>
        <v>Yes</v>
      </c>
      <c r="U589" s="0" t="n">
        <v>0</v>
      </c>
      <c r="W589" s="0" t="str">
        <f aca="false">IF(OR(AND(M589=1,ISBLANK(V589)),AND(M589=0,NOT(ISBLANK(V589)))),"Yes","No")</f>
        <v>No</v>
      </c>
      <c r="X589" s="0" t="n">
        <v>65.4</v>
      </c>
      <c r="Y589" s="3" t="s">
        <v>30</v>
      </c>
      <c r="Z589" s="0" t="str">
        <f aca="false">IF(M589=1,P589,"")</f>
        <v/>
      </c>
    </row>
    <row r="590" customFormat="false" ht="15" hidden="false" customHeight="false" outlineLevel="0" collapsed="false">
      <c r="A590" s="0" t="s">
        <v>633</v>
      </c>
      <c r="B590" s="2" t="n">
        <v>45767</v>
      </c>
      <c r="C590" s="3" t="s">
        <v>27</v>
      </c>
      <c r="D590" s="3" t="s">
        <v>39</v>
      </c>
      <c r="E590" s="3" t="s">
        <v>35</v>
      </c>
      <c r="F590" s="3" t="s">
        <v>30</v>
      </c>
      <c r="G590" s="3" t="s">
        <v>36</v>
      </c>
      <c r="H590" s="3" t="s">
        <v>30</v>
      </c>
      <c r="I590" s="3" t="s">
        <v>37</v>
      </c>
      <c r="J590" s="0" t="n">
        <v>1</v>
      </c>
      <c r="K590" s="0" t="n">
        <v>1</v>
      </c>
      <c r="L590" s="0" t="n">
        <v>0</v>
      </c>
      <c r="M590" s="0" t="n">
        <v>0</v>
      </c>
      <c r="N590" s="0" t="str">
        <f aca="false">IF(OR(NOT(OR(J590=0,J590=1)),NOT(OR(K590=0,K590=1)),NOT(OR(L590=0,L590=1)),NOT(OR(M590=0,M590=1)),NOT(OR(U590=0,U590=1))),"Yes","No")</f>
        <v>No</v>
      </c>
      <c r="O590" s="0" t="str">
        <f aca="false">IF(OR(AND(M590=1,L590=0),AND(L590=1,K590=0),AND(K590=1,J590=0)),"Yes","No")</f>
        <v>No</v>
      </c>
      <c r="P590" s="0" t="n">
        <v>0</v>
      </c>
      <c r="Q590" s="0" t="str">
        <f aca="false">IF(OR(AND(M590=0,P590&gt;0),AND(M590=1,P590&lt;=0)),"Yes","No")</f>
        <v>No</v>
      </c>
      <c r="R590" s="0" t="str">
        <f aca="false">IF(AND(M590=1,P590&gt;calc_helpers!$B$5),"Yes","No")</f>
        <v>No</v>
      </c>
      <c r="S590" s="0" t="n">
        <v>0</v>
      </c>
      <c r="T590" s="0" t="str">
        <f aca="false">IF(S590&gt;0,"Yes","No")</f>
        <v>No</v>
      </c>
      <c r="U590" s="0" t="n">
        <v>0</v>
      </c>
      <c r="W590" s="0" t="str">
        <f aca="false">IF(OR(AND(M590=1,ISBLANK(V590)),AND(M590=0,NOT(ISBLANK(V590)))),"Yes","No")</f>
        <v>No</v>
      </c>
      <c r="X590" s="0" t="n">
        <v>53.3</v>
      </c>
      <c r="Y590" s="3" t="s">
        <v>30</v>
      </c>
      <c r="Z590" s="0" t="str">
        <f aca="false">IF(M590=1,P590,"")</f>
        <v/>
      </c>
    </row>
    <row r="591" customFormat="false" ht="15" hidden="false" customHeight="false" outlineLevel="0" collapsed="false">
      <c r="A591" s="0" t="s">
        <v>634</v>
      </c>
      <c r="B591" s="2" t="n">
        <v>45673</v>
      </c>
      <c r="C591" s="3" t="s">
        <v>27</v>
      </c>
      <c r="D591" s="3" t="s">
        <v>39</v>
      </c>
      <c r="E591" s="3" t="s">
        <v>35</v>
      </c>
      <c r="F591" s="3" t="s">
        <v>30</v>
      </c>
      <c r="G591" s="3" t="s">
        <v>36</v>
      </c>
      <c r="H591" s="3" t="s">
        <v>30</v>
      </c>
      <c r="I591" s="3" t="s">
        <v>41</v>
      </c>
      <c r="J591" s="0" t="n">
        <v>0</v>
      </c>
      <c r="K591" s="0" t="n">
        <v>0</v>
      </c>
      <c r="L591" s="0" t="n">
        <v>0</v>
      </c>
      <c r="M591" s="0" t="n">
        <v>0</v>
      </c>
      <c r="N591" s="0" t="str">
        <f aca="false">IF(OR(NOT(OR(J591=0,J591=1)),NOT(OR(K591=0,K591=1)),NOT(OR(L591=0,L591=1)),NOT(OR(M591=0,M591=1)),NOT(OR(U591=0,U591=1))),"Yes","No")</f>
        <v>No</v>
      </c>
      <c r="O591" s="0" t="str">
        <f aca="false">IF(OR(AND(M591=1,L591=0),AND(L591=1,K591=0),AND(K591=1,J591=0)),"Yes","No")</f>
        <v>No</v>
      </c>
      <c r="P591" s="0" t="n">
        <v>0</v>
      </c>
      <c r="Q591" s="0" t="str">
        <f aca="false">IF(OR(AND(M591=0,P591&gt;0),AND(M591=1,P591&lt;=0)),"Yes","No")</f>
        <v>No</v>
      </c>
      <c r="R591" s="0" t="str">
        <f aca="false">IF(AND(M591=1,P591&gt;calc_helpers!$B$5),"Yes","No")</f>
        <v>No</v>
      </c>
      <c r="S591" s="0" t="n">
        <v>2</v>
      </c>
      <c r="T591" s="0" t="str">
        <f aca="false">IF(S591&gt;0,"Yes","No")</f>
        <v>Yes</v>
      </c>
      <c r="U591" s="0" t="n">
        <v>0</v>
      </c>
      <c r="W591" s="0" t="str">
        <f aca="false">IF(OR(AND(M591=1,ISBLANK(V591)),AND(M591=0,NOT(ISBLANK(V591)))),"Yes","No")</f>
        <v>No</v>
      </c>
      <c r="X591" s="0" t="n">
        <v>52.3</v>
      </c>
      <c r="Y591" s="3" t="s">
        <v>30</v>
      </c>
      <c r="Z591" s="0" t="str">
        <f aca="false">IF(M591=1,P591,"")</f>
        <v/>
      </c>
    </row>
    <row r="592" customFormat="false" ht="15" hidden="false" customHeight="false" outlineLevel="0" collapsed="false">
      <c r="A592" s="0" t="s">
        <v>635</v>
      </c>
      <c r="B592" s="2" t="n">
        <v>45751</v>
      </c>
      <c r="C592" s="3" t="s">
        <v>27</v>
      </c>
      <c r="D592" s="3" t="s">
        <v>39</v>
      </c>
      <c r="E592" s="3" t="s">
        <v>35</v>
      </c>
      <c r="F592" s="3" t="s">
        <v>30</v>
      </c>
      <c r="G592" s="3" t="s">
        <v>40</v>
      </c>
      <c r="H592" s="3" t="s">
        <v>30</v>
      </c>
      <c r="I592" s="3" t="s">
        <v>37</v>
      </c>
      <c r="J592" s="0" t="n">
        <v>1</v>
      </c>
      <c r="K592" s="0" t="n">
        <v>0</v>
      </c>
      <c r="L592" s="0" t="n">
        <v>0</v>
      </c>
      <c r="M592" s="0" t="n">
        <v>0</v>
      </c>
      <c r="N592" s="0" t="str">
        <f aca="false">IF(OR(NOT(OR(J592=0,J592=1)),NOT(OR(K592=0,K592=1)),NOT(OR(L592=0,L592=1)),NOT(OR(M592=0,M592=1)),NOT(OR(U592=0,U592=1))),"Yes","No")</f>
        <v>No</v>
      </c>
      <c r="O592" s="0" t="str">
        <f aca="false">IF(OR(AND(M592=1,L592=0),AND(L592=1,K592=0),AND(K592=1,J592=0)),"Yes","No")</f>
        <v>No</v>
      </c>
      <c r="P592" s="0" t="n">
        <v>0</v>
      </c>
      <c r="Q592" s="0" t="str">
        <f aca="false">IF(OR(AND(M592=0,P592&gt;0),AND(M592=1,P592&lt;=0)),"Yes","No")</f>
        <v>No</v>
      </c>
      <c r="R592" s="0" t="str">
        <f aca="false">IF(AND(M592=1,P592&gt;calc_helpers!$B$5),"Yes","No")</f>
        <v>No</v>
      </c>
      <c r="S592" s="0" t="n">
        <v>0</v>
      </c>
      <c r="T592" s="0" t="str">
        <f aca="false">IF(S592&gt;0,"Yes","No")</f>
        <v>No</v>
      </c>
      <c r="U592" s="0" t="n">
        <v>0</v>
      </c>
      <c r="W592" s="0" t="str">
        <f aca="false">IF(OR(AND(M592=1,ISBLANK(V592)),AND(M592=0,NOT(ISBLANK(V592)))),"Yes","No")</f>
        <v>No</v>
      </c>
      <c r="X592" s="0" t="n">
        <v>62.5</v>
      </c>
      <c r="Y592" s="3" t="s">
        <v>30</v>
      </c>
      <c r="Z592" s="0" t="str">
        <f aca="false">IF(M592=1,P592,"")</f>
        <v/>
      </c>
    </row>
    <row r="593" customFormat="false" ht="15" hidden="false" customHeight="false" outlineLevel="0" collapsed="false">
      <c r="A593" s="0" t="s">
        <v>636</v>
      </c>
      <c r="B593" s="2" t="n">
        <v>45686</v>
      </c>
      <c r="C593" s="3" t="s">
        <v>27</v>
      </c>
      <c r="D593" s="3" t="s">
        <v>28</v>
      </c>
      <c r="E593" s="3" t="s">
        <v>45</v>
      </c>
      <c r="F593" s="3" t="s">
        <v>30</v>
      </c>
      <c r="G593" s="3" t="s">
        <v>52</v>
      </c>
      <c r="H593" s="3" t="s">
        <v>30</v>
      </c>
      <c r="I593" s="3" t="s">
        <v>37</v>
      </c>
      <c r="J593" s="0" t="n">
        <v>1</v>
      </c>
      <c r="K593" s="0" t="n">
        <v>0</v>
      </c>
      <c r="L593" s="0" t="n">
        <v>0</v>
      </c>
      <c r="M593" s="0" t="n">
        <v>0</v>
      </c>
      <c r="N593" s="0" t="str">
        <f aca="false">IF(OR(NOT(OR(J593=0,J593=1)),NOT(OR(K593=0,K593=1)),NOT(OR(L593=0,L593=1)),NOT(OR(M593=0,M593=1)),NOT(OR(U593=0,U593=1))),"Yes","No")</f>
        <v>No</v>
      </c>
      <c r="O593" s="0" t="str">
        <f aca="false">IF(OR(AND(M593=1,L593=0),AND(L593=1,K593=0),AND(K593=1,J593=0)),"Yes","No")</f>
        <v>No</v>
      </c>
      <c r="P593" s="0" t="n">
        <v>0</v>
      </c>
      <c r="Q593" s="0" t="str">
        <f aca="false">IF(OR(AND(M593=0,P593&gt;0),AND(M593=1,P593&lt;=0)),"Yes","No")</f>
        <v>No</v>
      </c>
      <c r="R593" s="0" t="str">
        <f aca="false">IF(AND(M593=1,P593&gt;calc_helpers!$B$5),"Yes","No")</f>
        <v>No</v>
      </c>
      <c r="S593" s="0" t="n">
        <v>0</v>
      </c>
      <c r="T593" s="0" t="str">
        <f aca="false">IF(S593&gt;0,"Yes","No")</f>
        <v>No</v>
      </c>
      <c r="U593" s="0" t="n">
        <v>0</v>
      </c>
      <c r="W593" s="0" t="str">
        <f aca="false">IF(OR(AND(M593=1,ISBLANK(V593)),AND(M593=0,NOT(ISBLANK(V593)))),"Yes","No")</f>
        <v>No</v>
      </c>
      <c r="X593" s="0" t="n">
        <v>69.8</v>
      </c>
      <c r="Y593" s="3" t="s">
        <v>30</v>
      </c>
      <c r="Z593" s="0" t="str">
        <f aca="false">IF(M593=1,P593,"")</f>
        <v/>
      </c>
    </row>
    <row r="594" customFormat="false" ht="15" hidden="false" customHeight="false" outlineLevel="0" collapsed="false">
      <c r="A594" s="0" t="s">
        <v>637</v>
      </c>
      <c r="B594" s="2" t="n">
        <v>45766</v>
      </c>
      <c r="C594" s="3" t="s">
        <v>27</v>
      </c>
      <c r="D594" s="3" t="s">
        <v>39</v>
      </c>
      <c r="E594" s="3" t="s">
        <v>35</v>
      </c>
      <c r="F594" s="3" t="s">
        <v>30</v>
      </c>
      <c r="G594" s="3" t="s">
        <v>31</v>
      </c>
      <c r="H594" s="3" t="s">
        <v>30</v>
      </c>
      <c r="I594" s="3" t="s">
        <v>37</v>
      </c>
      <c r="J594" s="0" t="n">
        <v>1</v>
      </c>
      <c r="K594" s="0" t="n">
        <v>0</v>
      </c>
      <c r="L594" s="0" t="n">
        <v>0</v>
      </c>
      <c r="M594" s="0" t="n">
        <v>0</v>
      </c>
      <c r="N594" s="0" t="str">
        <f aca="false">IF(OR(NOT(OR(J594=0,J594=1)),NOT(OR(K594=0,K594=1)),NOT(OR(L594=0,L594=1)),NOT(OR(M594=0,M594=1)),NOT(OR(U594=0,U594=1))),"Yes","No")</f>
        <v>No</v>
      </c>
      <c r="O594" s="0" t="str">
        <f aca="false">IF(OR(AND(M594=1,L594=0),AND(L594=1,K594=0),AND(K594=1,J594=0)),"Yes","No")</f>
        <v>No</v>
      </c>
      <c r="P594" s="0" t="n">
        <v>0</v>
      </c>
      <c r="Q594" s="0" t="str">
        <f aca="false">IF(OR(AND(M594=0,P594&gt;0),AND(M594=1,P594&lt;=0)),"Yes","No")</f>
        <v>No</v>
      </c>
      <c r="R594" s="0" t="str">
        <f aca="false">IF(AND(M594=1,P594&gt;calc_helpers!$B$5),"Yes","No")</f>
        <v>No</v>
      </c>
      <c r="S594" s="0" t="n">
        <v>0</v>
      </c>
      <c r="T594" s="0" t="str">
        <f aca="false">IF(S594&gt;0,"Yes","No")</f>
        <v>No</v>
      </c>
      <c r="U594" s="0" t="n">
        <v>0</v>
      </c>
      <c r="W594" s="0" t="str">
        <f aca="false">IF(OR(AND(M594=1,ISBLANK(V594)),AND(M594=0,NOT(ISBLANK(V594)))),"Yes","No")</f>
        <v>No</v>
      </c>
      <c r="X594" s="0" t="n">
        <v>68.2</v>
      </c>
      <c r="Y594" s="3" t="s">
        <v>30</v>
      </c>
      <c r="Z594" s="0" t="str">
        <f aca="false">IF(M594=1,P594,"")</f>
        <v/>
      </c>
    </row>
    <row r="595" customFormat="false" ht="15" hidden="false" customHeight="false" outlineLevel="0" collapsed="false">
      <c r="A595" s="0" t="s">
        <v>638</v>
      </c>
      <c r="B595" s="2" t="n">
        <v>45726</v>
      </c>
      <c r="C595" s="3" t="s">
        <v>27</v>
      </c>
      <c r="D595" s="3" t="s">
        <v>43</v>
      </c>
      <c r="E595" s="3" t="s">
        <v>35</v>
      </c>
      <c r="F595" s="3" t="s">
        <v>30</v>
      </c>
      <c r="G595" s="3" t="s">
        <v>52</v>
      </c>
      <c r="H595" s="3" t="s">
        <v>30</v>
      </c>
      <c r="I595" s="3" t="s">
        <v>32</v>
      </c>
      <c r="J595" s="0" t="n">
        <v>1</v>
      </c>
      <c r="K595" s="0" t="n">
        <v>1</v>
      </c>
      <c r="L595" s="0" t="n">
        <v>1</v>
      </c>
      <c r="M595" s="0" t="n">
        <v>1</v>
      </c>
      <c r="N595" s="0" t="str">
        <f aca="false">IF(OR(NOT(OR(J595=0,J595=1)),NOT(OR(K595=0,K595=1)),NOT(OR(L595=0,L595=1)),NOT(OR(M595=0,M595=1)),NOT(OR(U595=0,U595=1))),"Yes","No")</f>
        <v>No</v>
      </c>
      <c r="O595" s="0" t="str">
        <f aca="false">IF(OR(AND(M595=1,L595=0),AND(L595=1,K595=0),AND(K595=1,J595=0)),"Yes","No")</f>
        <v>No</v>
      </c>
      <c r="P595" s="0" t="n">
        <v>751.73</v>
      </c>
      <c r="Q595" s="0" t="str">
        <f aca="false">IF(OR(AND(M595=0,P595&gt;0),AND(M595=1,P595&lt;=0)),"Yes","No")</f>
        <v>No</v>
      </c>
      <c r="R595" s="0" t="str">
        <f aca="false">IF(AND(M595=1,P595&gt;calc_helpers!$B$5),"Yes","No")</f>
        <v>No</v>
      </c>
      <c r="S595" s="0" t="n">
        <v>0</v>
      </c>
      <c r="T595" s="0" t="str">
        <f aca="false">IF(S595&gt;0,"Yes","No")</f>
        <v>No</v>
      </c>
      <c r="U595" s="0" t="n">
        <v>0</v>
      </c>
      <c r="V595" s="0" t="n">
        <v>6</v>
      </c>
      <c r="W595" s="0" t="str">
        <f aca="false">IF(OR(AND(M595=1,ISBLANK(V595)),AND(M595=0,NOT(ISBLANK(V595)))),"Yes","No")</f>
        <v>No</v>
      </c>
      <c r="X595" s="0" t="n">
        <v>35.2</v>
      </c>
      <c r="Y595" s="3" t="s">
        <v>30</v>
      </c>
      <c r="Z595" s="3" t="n">
        <f aca="false">IF(M595=1,P595,"")</f>
        <v>751.73</v>
      </c>
    </row>
    <row r="596" customFormat="false" ht="15" hidden="false" customHeight="false" outlineLevel="0" collapsed="false">
      <c r="A596" s="0" t="s">
        <v>639</v>
      </c>
      <c r="B596" s="2" t="n">
        <v>45787</v>
      </c>
      <c r="C596" s="3" t="s">
        <v>27</v>
      </c>
      <c r="D596" s="3" t="s">
        <v>43</v>
      </c>
      <c r="E596" s="3" t="s">
        <v>35</v>
      </c>
      <c r="F596" s="3" t="s">
        <v>30</v>
      </c>
      <c r="G596" s="3" t="s">
        <v>52</v>
      </c>
      <c r="H596" s="3" t="s">
        <v>30</v>
      </c>
      <c r="I596" s="3" t="s">
        <v>32</v>
      </c>
      <c r="J596" s="0" t="n">
        <v>0</v>
      </c>
      <c r="K596" s="0" t="n">
        <v>0</v>
      </c>
      <c r="L596" s="0" t="n">
        <v>0</v>
      </c>
      <c r="M596" s="0" t="n">
        <v>0</v>
      </c>
      <c r="N596" s="0" t="str">
        <f aca="false">IF(OR(NOT(OR(J596=0,J596=1)),NOT(OR(K596=0,K596=1)),NOT(OR(L596=0,L596=1)),NOT(OR(M596=0,M596=1)),NOT(OR(U596=0,U596=1))),"Yes","No")</f>
        <v>No</v>
      </c>
      <c r="O596" s="0" t="str">
        <f aca="false">IF(OR(AND(M596=1,L596=0),AND(L596=1,K596=0),AND(K596=1,J596=0)),"Yes","No")</f>
        <v>No</v>
      </c>
      <c r="P596" s="0" t="n">
        <v>0</v>
      </c>
      <c r="Q596" s="0" t="str">
        <f aca="false">IF(OR(AND(M596=0,P596&gt;0),AND(M596=1,P596&lt;=0)),"Yes","No")</f>
        <v>No</v>
      </c>
      <c r="R596" s="0" t="str">
        <f aca="false">IF(AND(M596=1,P596&gt;calc_helpers!$B$5),"Yes","No")</f>
        <v>No</v>
      </c>
      <c r="S596" s="0" t="n">
        <v>0</v>
      </c>
      <c r="T596" s="0" t="str">
        <f aca="false">IF(S596&gt;0,"Yes","No")</f>
        <v>No</v>
      </c>
      <c r="U596" s="0" t="n">
        <v>0</v>
      </c>
      <c r="W596" s="0" t="str">
        <f aca="false">IF(OR(AND(M596=1,ISBLANK(V596)),AND(M596=0,NOT(ISBLANK(V596)))),"Yes","No")</f>
        <v>No</v>
      </c>
      <c r="X596" s="0" t="n">
        <v>59.3</v>
      </c>
      <c r="Y596" s="3" t="s">
        <v>30</v>
      </c>
      <c r="Z596" s="0" t="str">
        <f aca="false">IF(M596=1,P596,"")</f>
        <v/>
      </c>
    </row>
    <row r="597" customFormat="false" ht="15" hidden="false" customHeight="false" outlineLevel="0" collapsed="false">
      <c r="A597" s="0" t="s">
        <v>640</v>
      </c>
      <c r="B597" s="2" t="n">
        <v>45690</v>
      </c>
      <c r="C597" s="3" t="s">
        <v>27</v>
      </c>
      <c r="D597" s="3" t="s">
        <v>28</v>
      </c>
      <c r="E597" s="3" t="s">
        <v>35</v>
      </c>
      <c r="F597" s="3" t="s">
        <v>30</v>
      </c>
      <c r="G597" s="3" t="s">
        <v>52</v>
      </c>
      <c r="H597" s="3" t="s">
        <v>30</v>
      </c>
      <c r="I597" s="3" t="s">
        <v>37</v>
      </c>
      <c r="J597" s="0" t="n">
        <v>0</v>
      </c>
      <c r="K597" s="0" t="n">
        <v>0</v>
      </c>
      <c r="L597" s="0" t="n">
        <v>0</v>
      </c>
      <c r="M597" s="0" t="n">
        <v>0</v>
      </c>
      <c r="N597" s="0" t="str">
        <f aca="false">IF(OR(NOT(OR(J597=0,J597=1)),NOT(OR(K597=0,K597=1)),NOT(OR(L597=0,L597=1)),NOT(OR(M597=0,M597=1)),NOT(OR(U597=0,U597=1))),"Yes","No")</f>
        <v>No</v>
      </c>
      <c r="O597" s="0" t="str">
        <f aca="false">IF(OR(AND(M597=1,L597=0),AND(L597=1,K597=0),AND(K597=1,J597=0)),"Yes","No")</f>
        <v>No</v>
      </c>
      <c r="P597" s="0" t="n">
        <v>0</v>
      </c>
      <c r="Q597" s="0" t="str">
        <f aca="false">IF(OR(AND(M597=0,P597&gt;0),AND(M597=1,P597&lt;=0)),"Yes","No")</f>
        <v>No</v>
      </c>
      <c r="R597" s="0" t="str">
        <f aca="false">IF(AND(M597=1,P597&gt;calc_helpers!$B$5),"Yes","No")</f>
        <v>No</v>
      </c>
      <c r="S597" s="0" t="n">
        <v>0</v>
      </c>
      <c r="T597" s="0" t="str">
        <f aca="false">IF(S597&gt;0,"Yes","No")</f>
        <v>No</v>
      </c>
      <c r="U597" s="0" t="n">
        <v>0</v>
      </c>
      <c r="W597" s="0" t="str">
        <f aca="false">IF(OR(AND(M597=1,ISBLANK(V597)),AND(M597=0,NOT(ISBLANK(V597)))),"Yes","No")</f>
        <v>No</v>
      </c>
      <c r="X597" s="0" t="n">
        <v>68.1</v>
      </c>
      <c r="Y597" s="3" t="s">
        <v>30</v>
      </c>
      <c r="Z597" s="0" t="str">
        <f aca="false">IF(M597=1,P597,"")</f>
        <v/>
      </c>
    </row>
    <row r="598" customFormat="false" ht="15" hidden="false" customHeight="false" outlineLevel="0" collapsed="false">
      <c r="A598" s="0" t="s">
        <v>641</v>
      </c>
      <c r="B598" s="2" t="n">
        <v>45783</v>
      </c>
      <c r="C598" s="3" t="s">
        <v>27</v>
      </c>
      <c r="D598" s="3" t="s">
        <v>28</v>
      </c>
      <c r="E598" s="3" t="s">
        <v>29</v>
      </c>
      <c r="F598" s="3" t="s">
        <v>30</v>
      </c>
      <c r="G598" s="3" t="s">
        <v>36</v>
      </c>
      <c r="H598" s="3" t="s">
        <v>30</v>
      </c>
      <c r="I598" s="3" t="s">
        <v>37</v>
      </c>
      <c r="J598" s="0" t="n">
        <v>1</v>
      </c>
      <c r="K598" s="0" t="n">
        <v>1</v>
      </c>
      <c r="L598" s="0" t="n">
        <v>0</v>
      </c>
      <c r="M598" s="0" t="n">
        <v>0</v>
      </c>
      <c r="N598" s="0" t="str">
        <f aca="false">IF(OR(NOT(OR(J598=0,J598=1)),NOT(OR(K598=0,K598=1)),NOT(OR(L598=0,L598=1)),NOT(OR(M598=0,M598=1)),NOT(OR(U598=0,U598=1))),"Yes","No")</f>
        <v>No</v>
      </c>
      <c r="O598" s="0" t="str">
        <f aca="false">IF(OR(AND(M598=1,L598=0),AND(L598=1,K598=0),AND(K598=1,J598=0)),"Yes","No")</f>
        <v>No</v>
      </c>
      <c r="P598" s="0" t="n">
        <v>0</v>
      </c>
      <c r="Q598" s="0" t="str">
        <f aca="false">IF(OR(AND(M598=0,P598&gt;0),AND(M598=1,P598&lt;=0)),"Yes","No")</f>
        <v>No</v>
      </c>
      <c r="R598" s="0" t="str">
        <f aca="false">IF(AND(M598=1,P598&gt;calc_helpers!$B$5),"Yes","No")</f>
        <v>No</v>
      </c>
      <c r="S598" s="0" t="n">
        <v>0</v>
      </c>
      <c r="T598" s="0" t="str">
        <f aca="false">IF(S598&gt;0,"Yes","No")</f>
        <v>No</v>
      </c>
      <c r="U598" s="0" t="n">
        <v>0</v>
      </c>
      <c r="W598" s="0" t="str">
        <f aca="false">IF(OR(AND(M598=1,ISBLANK(V598)),AND(M598=0,NOT(ISBLANK(V598)))),"Yes","No")</f>
        <v>No</v>
      </c>
      <c r="X598" s="0" t="n">
        <v>74.8</v>
      </c>
      <c r="Y598" s="3" t="s">
        <v>30</v>
      </c>
      <c r="Z598" s="0" t="str">
        <f aca="false">IF(M598=1,P598,"")</f>
        <v/>
      </c>
    </row>
    <row r="599" customFormat="false" ht="15" hidden="false" customHeight="false" outlineLevel="0" collapsed="false">
      <c r="A599" s="0" t="s">
        <v>642</v>
      </c>
      <c r="B599" s="2" t="n">
        <v>45676</v>
      </c>
      <c r="C599" s="3" t="s">
        <v>27</v>
      </c>
      <c r="D599" s="3" t="s">
        <v>34</v>
      </c>
      <c r="E599" s="3" t="s">
        <v>29</v>
      </c>
      <c r="F599" s="3" t="s">
        <v>30</v>
      </c>
      <c r="G599" s="3" t="s">
        <v>36</v>
      </c>
      <c r="H599" s="3" t="s">
        <v>30</v>
      </c>
      <c r="I599" s="3" t="s">
        <v>37</v>
      </c>
      <c r="J599" s="0" t="n">
        <v>1</v>
      </c>
      <c r="K599" s="0" t="n">
        <v>1</v>
      </c>
      <c r="L599" s="0" t="n">
        <v>1</v>
      </c>
      <c r="M599" s="0" t="n">
        <v>0</v>
      </c>
      <c r="N599" s="0" t="str">
        <f aca="false">IF(OR(NOT(OR(J599=0,J599=1)),NOT(OR(K599=0,K599=1)),NOT(OR(L599=0,L599=1)),NOT(OR(M599=0,M599=1)),NOT(OR(U599=0,U599=1))),"Yes","No")</f>
        <v>No</v>
      </c>
      <c r="O599" s="0" t="str">
        <f aca="false">IF(OR(AND(M599=1,L599=0),AND(L599=1,K599=0),AND(K599=1,J599=0)),"Yes","No")</f>
        <v>No</v>
      </c>
      <c r="P599" s="0" t="n">
        <v>0</v>
      </c>
      <c r="Q599" s="0" t="str">
        <f aca="false">IF(OR(AND(M599=0,P599&gt;0),AND(M599=1,P599&lt;=0)),"Yes","No")</f>
        <v>No</v>
      </c>
      <c r="R599" s="0" t="str">
        <f aca="false">IF(AND(M599=1,P599&gt;calc_helpers!$B$5),"Yes","No")</f>
        <v>No</v>
      </c>
      <c r="S599" s="0" t="n">
        <v>0</v>
      </c>
      <c r="T599" s="0" t="str">
        <f aca="false">IF(S599&gt;0,"Yes","No")</f>
        <v>No</v>
      </c>
      <c r="U599" s="0" t="n">
        <v>0</v>
      </c>
      <c r="W599" s="0" t="str">
        <f aca="false">IF(OR(AND(M599=1,ISBLANK(V599)),AND(M599=0,NOT(ISBLANK(V599)))),"Yes","No")</f>
        <v>No</v>
      </c>
      <c r="X599" s="0" t="n">
        <v>61.7</v>
      </c>
      <c r="Y599" s="3" t="s">
        <v>30</v>
      </c>
      <c r="Z599" s="0" t="str">
        <f aca="false">IF(M599=1,P599,"")</f>
        <v/>
      </c>
    </row>
    <row r="600" customFormat="false" ht="15" hidden="false" customHeight="false" outlineLevel="0" collapsed="false">
      <c r="A600" s="0" t="s">
        <v>643</v>
      </c>
      <c r="B600" s="2" t="n">
        <v>45659</v>
      </c>
      <c r="C600" s="3" t="s">
        <v>27</v>
      </c>
      <c r="D600" s="3" t="s">
        <v>28</v>
      </c>
      <c r="E600" s="3" t="s">
        <v>35</v>
      </c>
      <c r="F600" s="3" t="s">
        <v>30</v>
      </c>
      <c r="G600" s="3" t="s">
        <v>36</v>
      </c>
      <c r="H600" s="3" t="s">
        <v>30</v>
      </c>
      <c r="I600" s="3" t="s">
        <v>37</v>
      </c>
      <c r="J600" s="0" t="n">
        <v>1</v>
      </c>
      <c r="K600" s="0" t="n">
        <v>0</v>
      </c>
      <c r="L600" s="0" t="n">
        <v>0</v>
      </c>
      <c r="M600" s="0" t="n">
        <v>0</v>
      </c>
      <c r="N600" s="0" t="str">
        <f aca="false">IF(OR(NOT(OR(J600=0,J600=1)),NOT(OR(K600=0,K600=1)),NOT(OR(L600=0,L600=1)),NOT(OR(M600=0,M600=1)),NOT(OR(U600=0,U600=1))),"Yes","No")</f>
        <v>No</v>
      </c>
      <c r="O600" s="0" t="str">
        <f aca="false">IF(OR(AND(M600=1,L600=0),AND(L600=1,K600=0),AND(K600=1,J600=0)),"Yes","No")</f>
        <v>No</v>
      </c>
      <c r="P600" s="0" t="n">
        <v>0</v>
      </c>
      <c r="Q600" s="0" t="str">
        <f aca="false">IF(OR(AND(M600=0,P600&gt;0),AND(M600=1,P600&lt;=0)),"Yes","No")</f>
        <v>No</v>
      </c>
      <c r="R600" s="0" t="str">
        <f aca="false">IF(AND(M600=1,P600&gt;calc_helpers!$B$5),"Yes","No")</f>
        <v>No</v>
      </c>
      <c r="S600" s="0" t="n">
        <v>0</v>
      </c>
      <c r="T600" s="0" t="str">
        <f aca="false">IF(S600&gt;0,"Yes","No")</f>
        <v>No</v>
      </c>
      <c r="U600" s="0" t="n">
        <v>0</v>
      </c>
      <c r="W600" s="0" t="str">
        <f aca="false">IF(OR(AND(M600=1,ISBLANK(V600)),AND(M600=0,NOT(ISBLANK(V600)))),"Yes","No")</f>
        <v>No</v>
      </c>
      <c r="X600" s="0" t="n">
        <v>24.3</v>
      </c>
      <c r="Y600" s="3" t="s">
        <v>30</v>
      </c>
      <c r="Z600" s="0" t="str">
        <f aca="false">IF(M600=1,P600,"")</f>
        <v/>
      </c>
    </row>
    <row r="601" customFormat="false" ht="15" hidden="false" customHeight="false" outlineLevel="0" collapsed="false">
      <c r="A601" s="0" t="s">
        <v>644</v>
      </c>
      <c r="B601" s="2" t="n">
        <v>45780</v>
      </c>
      <c r="C601" s="3" t="s">
        <v>27</v>
      </c>
      <c r="D601" s="3" t="s">
        <v>43</v>
      </c>
      <c r="E601" s="3" t="s">
        <v>29</v>
      </c>
      <c r="F601" s="3" t="s">
        <v>30</v>
      </c>
      <c r="G601" s="3" t="s">
        <v>40</v>
      </c>
      <c r="H601" s="3" t="s">
        <v>30</v>
      </c>
      <c r="I601" s="3" t="s">
        <v>37</v>
      </c>
      <c r="J601" s="0" t="n">
        <v>0</v>
      </c>
      <c r="K601" s="0" t="n">
        <v>0</v>
      </c>
      <c r="L601" s="0" t="n">
        <v>0</v>
      </c>
      <c r="M601" s="0" t="n">
        <v>0</v>
      </c>
      <c r="N601" s="0" t="str">
        <f aca="false">IF(OR(NOT(OR(J601=0,J601=1)),NOT(OR(K601=0,K601=1)),NOT(OR(L601=0,L601=1)),NOT(OR(M601=0,M601=1)),NOT(OR(U601=0,U601=1))),"Yes","No")</f>
        <v>No</v>
      </c>
      <c r="O601" s="0" t="str">
        <f aca="false">IF(OR(AND(M601=1,L601=0),AND(L601=1,K601=0),AND(K601=1,J601=0)),"Yes","No")</f>
        <v>No</v>
      </c>
      <c r="P601" s="0" t="n">
        <v>0</v>
      </c>
      <c r="Q601" s="0" t="str">
        <f aca="false">IF(OR(AND(M601=0,P601&gt;0),AND(M601=1,P601&lt;=0)),"Yes","No")</f>
        <v>No</v>
      </c>
      <c r="R601" s="0" t="str">
        <f aca="false">IF(AND(M601=1,P601&gt;calc_helpers!$B$5),"Yes","No")</f>
        <v>No</v>
      </c>
      <c r="S601" s="0" t="n">
        <v>1</v>
      </c>
      <c r="T601" s="0" t="str">
        <f aca="false">IF(S601&gt;0,"Yes","No")</f>
        <v>Yes</v>
      </c>
      <c r="U601" s="0" t="n">
        <v>0</v>
      </c>
      <c r="W601" s="0" t="str">
        <f aca="false">IF(OR(AND(M601=1,ISBLANK(V601)),AND(M601=0,NOT(ISBLANK(V601)))),"Yes","No")</f>
        <v>No</v>
      </c>
      <c r="X601" s="0" t="n">
        <v>61.9</v>
      </c>
      <c r="Y601" s="3" t="s">
        <v>30</v>
      </c>
      <c r="Z601" s="0" t="str">
        <f aca="false">IF(M601=1,P601,"")</f>
        <v/>
      </c>
    </row>
    <row r="602" customFormat="false" ht="15" hidden="false" customHeight="false" outlineLevel="0" collapsed="false">
      <c r="A602" s="0" t="s">
        <v>645</v>
      </c>
      <c r="B602" s="2" t="n">
        <v>45804</v>
      </c>
      <c r="C602" s="3" t="s">
        <v>27</v>
      </c>
      <c r="D602" s="3" t="s">
        <v>39</v>
      </c>
      <c r="E602" s="3" t="s">
        <v>29</v>
      </c>
      <c r="F602" s="3" t="s">
        <v>30</v>
      </c>
      <c r="G602" s="3" t="s">
        <v>50</v>
      </c>
      <c r="H602" s="3" t="s">
        <v>30</v>
      </c>
      <c r="I602" s="3" t="s">
        <v>41</v>
      </c>
      <c r="J602" s="0" t="n">
        <v>0</v>
      </c>
      <c r="K602" s="0" t="n">
        <v>0</v>
      </c>
      <c r="L602" s="0" t="n">
        <v>0</v>
      </c>
      <c r="M602" s="0" t="n">
        <v>0</v>
      </c>
      <c r="N602" s="0" t="str">
        <f aca="false">IF(OR(NOT(OR(J602=0,J602=1)),NOT(OR(K602=0,K602=1)),NOT(OR(L602=0,L602=1)),NOT(OR(M602=0,M602=1)),NOT(OR(U602=0,U602=1))),"Yes","No")</f>
        <v>No</v>
      </c>
      <c r="O602" s="0" t="str">
        <f aca="false">IF(OR(AND(M602=1,L602=0),AND(L602=1,K602=0),AND(K602=1,J602=0)),"Yes","No")</f>
        <v>No</v>
      </c>
      <c r="P602" s="0" t="n">
        <v>0</v>
      </c>
      <c r="Q602" s="0" t="str">
        <f aca="false">IF(OR(AND(M602=0,P602&gt;0),AND(M602=1,P602&lt;=0)),"Yes","No")</f>
        <v>No</v>
      </c>
      <c r="R602" s="0" t="str">
        <f aca="false">IF(AND(M602=1,P602&gt;calc_helpers!$B$5),"Yes","No")</f>
        <v>No</v>
      </c>
      <c r="S602" s="0" t="n">
        <v>2</v>
      </c>
      <c r="T602" s="0" t="str">
        <f aca="false">IF(S602&gt;0,"Yes","No")</f>
        <v>Yes</v>
      </c>
      <c r="U602" s="0" t="n">
        <v>0</v>
      </c>
      <c r="W602" s="0" t="str">
        <f aca="false">IF(OR(AND(M602=1,ISBLANK(V602)),AND(M602=0,NOT(ISBLANK(V602)))),"Yes","No")</f>
        <v>No</v>
      </c>
      <c r="X602" s="0" t="n">
        <v>41.7</v>
      </c>
      <c r="Y602" s="3" t="s">
        <v>30</v>
      </c>
      <c r="Z602" s="0" t="str">
        <f aca="false">IF(M602=1,P602,"")</f>
        <v/>
      </c>
    </row>
    <row r="603" customFormat="false" ht="15" hidden="false" customHeight="false" outlineLevel="0" collapsed="false">
      <c r="A603" s="0" t="s">
        <v>646</v>
      </c>
      <c r="B603" s="2" t="n">
        <v>45697</v>
      </c>
      <c r="C603" s="3" t="s">
        <v>27</v>
      </c>
      <c r="D603" s="3" t="s">
        <v>43</v>
      </c>
      <c r="E603" s="3" t="s">
        <v>29</v>
      </c>
      <c r="F603" s="3" t="s">
        <v>30</v>
      </c>
      <c r="G603" s="3" t="s">
        <v>52</v>
      </c>
      <c r="H603" s="3" t="s">
        <v>30</v>
      </c>
      <c r="I603" s="3" t="s">
        <v>37</v>
      </c>
      <c r="J603" s="0" t="n">
        <v>1</v>
      </c>
      <c r="K603" s="0" t="n">
        <v>0</v>
      </c>
      <c r="L603" s="0" t="n">
        <v>0</v>
      </c>
      <c r="M603" s="0" t="n">
        <v>0</v>
      </c>
      <c r="N603" s="0" t="str">
        <f aca="false">IF(OR(NOT(OR(J603=0,J603=1)),NOT(OR(K603=0,K603=1)),NOT(OR(L603=0,L603=1)),NOT(OR(M603=0,M603=1)),NOT(OR(U603=0,U603=1))),"Yes","No")</f>
        <v>No</v>
      </c>
      <c r="O603" s="0" t="str">
        <f aca="false">IF(OR(AND(M603=1,L603=0),AND(L603=1,K603=0),AND(K603=1,J603=0)),"Yes","No")</f>
        <v>No</v>
      </c>
      <c r="P603" s="0" t="n">
        <v>0</v>
      </c>
      <c r="Q603" s="0" t="str">
        <f aca="false">IF(OR(AND(M603=0,P603&gt;0),AND(M603=1,P603&lt;=0)),"Yes","No")</f>
        <v>No</v>
      </c>
      <c r="R603" s="0" t="str">
        <f aca="false">IF(AND(M603=1,P603&gt;calc_helpers!$B$5),"Yes","No")</f>
        <v>No</v>
      </c>
      <c r="S603" s="0" t="n">
        <v>0</v>
      </c>
      <c r="T603" s="0" t="str">
        <f aca="false">IF(S603&gt;0,"Yes","No")</f>
        <v>No</v>
      </c>
      <c r="U603" s="0" t="n">
        <v>0</v>
      </c>
      <c r="W603" s="0" t="str">
        <f aca="false">IF(OR(AND(M603=1,ISBLANK(V603)),AND(M603=0,NOT(ISBLANK(V603)))),"Yes","No")</f>
        <v>No</v>
      </c>
      <c r="X603" s="0" t="n">
        <v>87.6</v>
      </c>
      <c r="Y603" s="3" t="s">
        <v>30</v>
      </c>
      <c r="Z603" s="0" t="str">
        <f aca="false">IF(M603=1,P603,"")</f>
        <v/>
      </c>
    </row>
    <row r="604" customFormat="false" ht="15" hidden="false" customHeight="false" outlineLevel="0" collapsed="false">
      <c r="A604" s="0" t="s">
        <v>647</v>
      </c>
      <c r="B604" s="2" t="n">
        <v>45795</v>
      </c>
      <c r="C604" s="3" t="s">
        <v>27</v>
      </c>
      <c r="D604" s="3" t="s">
        <v>39</v>
      </c>
      <c r="E604" s="3" t="s">
        <v>35</v>
      </c>
      <c r="F604" s="3" t="s">
        <v>30</v>
      </c>
      <c r="G604" s="3" t="s">
        <v>40</v>
      </c>
      <c r="H604" s="3" t="s">
        <v>30</v>
      </c>
      <c r="I604" s="3" t="s">
        <v>37</v>
      </c>
      <c r="J604" s="0" t="n">
        <v>1</v>
      </c>
      <c r="K604" s="0" t="n">
        <v>0</v>
      </c>
      <c r="L604" s="0" t="n">
        <v>0</v>
      </c>
      <c r="M604" s="0" t="n">
        <v>0</v>
      </c>
      <c r="N604" s="0" t="str">
        <f aca="false">IF(OR(NOT(OR(J604=0,J604=1)),NOT(OR(K604=0,K604=1)),NOT(OR(L604=0,L604=1)),NOT(OR(M604=0,M604=1)),NOT(OR(U604=0,U604=1))),"Yes","No")</f>
        <v>No</v>
      </c>
      <c r="O604" s="0" t="str">
        <f aca="false">IF(OR(AND(M604=1,L604=0),AND(L604=1,K604=0),AND(K604=1,J604=0)),"Yes","No")</f>
        <v>No</v>
      </c>
      <c r="P604" s="0" t="n">
        <v>0</v>
      </c>
      <c r="Q604" s="0" t="str">
        <f aca="false">IF(OR(AND(M604=0,P604&gt;0),AND(M604=1,P604&lt;=0)),"Yes","No")</f>
        <v>No</v>
      </c>
      <c r="R604" s="0" t="str">
        <f aca="false">IF(AND(M604=1,P604&gt;calc_helpers!$B$5),"Yes","No")</f>
        <v>No</v>
      </c>
      <c r="S604" s="0" t="n">
        <v>0</v>
      </c>
      <c r="T604" s="0" t="str">
        <f aca="false">IF(S604&gt;0,"Yes","No")</f>
        <v>No</v>
      </c>
      <c r="U604" s="0" t="n">
        <v>0</v>
      </c>
      <c r="W604" s="0" t="str">
        <f aca="false">IF(OR(AND(M604=1,ISBLANK(V604)),AND(M604=0,NOT(ISBLANK(V604)))),"Yes","No")</f>
        <v>No</v>
      </c>
      <c r="X604" s="0" t="n">
        <v>30.8</v>
      </c>
      <c r="Y604" s="3" t="s">
        <v>30</v>
      </c>
      <c r="Z604" s="0" t="str">
        <f aca="false">IF(M604=1,P604,"")</f>
        <v/>
      </c>
    </row>
    <row r="605" customFormat="false" ht="15" hidden="false" customHeight="false" outlineLevel="0" collapsed="false">
      <c r="A605" s="0" t="s">
        <v>648</v>
      </c>
      <c r="B605" s="2" t="n">
        <v>45794</v>
      </c>
      <c r="C605" s="3" t="s">
        <v>27</v>
      </c>
      <c r="D605" s="3" t="s">
        <v>28</v>
      </c>
      <c r="E605" s="3" t="s">
        <v>35</v>
      </c>
      <c r="F605" s="3" t="s">
        <v>30</v>
      </c>
      <c r="G605" s="3" t="s">
        <v>31</v>
      </c>
      <c r="H605" s="3" t="s">
        <v>30</v>
      </c>
      <c r="I605" s="3" t="s">
        <v>37</v>
      </c>
      <c r="J605" s="0" t="n">
        <v>0</v>
      </c>
      <c r="K605" s="0" t="n">
        <v>0</v>
      </c>
      <c r="L605" s="0" t="n">
        <v>0</v>
      </c>
      <c r="M605" s="0" t="n">
        <v>0</v>
      </c>
      <c r="N605" s="0" t="str">
        <f aca="false">IF(OR(NOT(OR(J605=0,J605=1)),NOT(OR(K605=0,K605=1)),NOT(OR(L605=0,L605=1)),NOT(OR(M605=0,M605=1)),NOT(OR(U605=0,U605=1))),"Yes","No")</f>
        <v>No</v>
      </c>
      <c r="O605" s="0" t="str">
        <f aca="false">IF(OR(AND(M605=1,L605=0),AND(L605=1,K605=0),AND(K605=1,J605=0)),"Yes","No")</f>
        <v>No</v>
      </c>
      <c r="P605" s="0" t="n">
        <v>0</v>
      </c>
      <c r="Q605" s="0" t="str">
        <f aca="false">IF(OR(AND(M605=0,P605&gt;0),AND(M605=1,P605&lt;=0)),"Yes","No")</f>
        <v>No</v>
      </c>
      <c r="R605" s="0" t="str">
        <f aca="false">IF(AND(M605=1,P605&gt;calc_helpers!$B$5),"Yes","No")</f>
        <v>No</v>
      </c>
      <c r="S605" s="0" t="n">
        <v>0</v>
      </c>
      <c r="T605" s="0" t="str">
        <f aca="false">IF(S605&gt;0,"Yes","No")</f>
        <v>No</v>
      </c>
      <c r="U605" s="0" t="n">
        <v>0</v>
      </c>
      <c r="W605" s="0" t="str">
        <f aca="false">IF(OR(AND(M605=1,ISBLANK(V605)),AND(M605=0,NOT(ISBLANK(V605)))),"Yes","No")</f>
        <v>No</v>
      </c>
      <c r="X605" s="0" t="n">
        <v>54</v>
      </c>
      <c r="Y605" s="3" t="s">
        <v>30</v>
      </c>
      <c r="Z605" s="0" t="str">
        <f aca="false">IF(M605=1,P605,"")</f>
        <v/>
      </c>
    </row>
    <row r="606" customFormat="false" ht="15" hidden="false" customHeight="false" outlineLevel="0" collapsed="false">
      <c r="A606" s="0" t="s">
        <v>649</v>
      </c>
      <c r="B606" s="2" t="n">
        <v>45682</v>
      </c>
      <c r="C606" s="3" t="s">
        <v>27</v>
      </c>
      <c r="D606" s="3" t="s">
        <v>39</v>
      </c>
      <c r="E606" s="3" t="s">
        <v>29</v>
      </c>
      <c r="F606" s="3" t="s">
        <v>30</v>
      </c>
      <c r="G606" s="3" t="s">
        <v>50</v>
      </c>
      <c r="H606" s="3" t="s">
        <v>30</v>
      </c>
      <c r="I606" s="3" t="s">
        <v>32</v>
      </c>
      <c r="J606" s="0" t="n">
        <v>1</v>
      </c>
      <c r="K606" s="0" t="n">
        <v>0</v>
      </c>
      <c r="L606" s="0" t="n">
        <v>0</v>
      </c>
      <c r="M606" s="0" t="n">
        <v>0</v>
      </c>
      <c r="N606" s="0" t="str">
        <f aca="false">IF(OR(NOT(OR(J606=0,J606=1)),NOT(OR(K606=0,K606=1)),NOT(OR(L606=0,L606=1)),NOT(OR(M606=0,M606=1)),NOT(OR(U606=0,U606=1))),"Yes","No")</f>
        <v>No</v>
      </c>
      <c r="O606" s="0" t="str">
        <f aca="false">IF(OR(AND(M606=1,L606=0),AND(L606=1,K606=0),AND(K606=1,J606=0)),"Yes","No")</f>
        <v>No</v>
      </c>
      <c r="P606" s="0" t="n">
        <v>0</v>
      </c>
      <c r="Q606" s="0" t="str">
        <f aca="false">IF(OR(AND(M606=0,P606&gt;0),AND(M606=1,P606&lt;=0)),"Yes","No")</f>
        <v>No</v>
      </c>
      <c r="R606" s="0" t="str">
        <f aca="false">IF(AND(M606=1,P606&gt;calc_helpers!$B$5),"Yes","No")</f>
        <v>No</v>
      </c>
      <c r="S606" s="0" t="n">
        <v>1</v>
      </c>
      <c r="T606" s="0" t="str">
        <f aca="false">IF(S606&gt;0,"Yes","No")</f>
        <v>Yes</v>
      </c>
      <c r="U606" s="0" t="n">
        <v>0</v>
      </c>
      <c r="W606" s="0" t="str">
        <f aca="false">IF(OR(AND(M606=1,ISBLANK(V606)),AND(M606=0,NOT(ISBLANK(V606)))),"Yes","No")</f>
        <v>No</v>
      </c>
      <c r="X606" s="0" t="n">
        <v>54.5</v>
      </c>
      <c r="Y606" s="3" t="s">
        <v>30</v>
      </c>
      <c r="Z606" s="0" t="str">
        <f aca="false">IF(M606=1,P606,"")</f>
        <v/>
      </c>
    </row>
    <row r="607" customFormat="false" ht="15" hidden="false" customHeight="false" outlineLevel="0" collapsed="false">
      <c r="A607" s="0" t="s">
        <v>650</v>
      </c>
      <c r="B607" s="2" t="n">
        <v>45781</v>
      </c>
      <c r="C607" s="3" t="s">
        <v>27</v>
      </c>
      <c r="D607" s="3" t="s">
        <v>34</v>
      </c>
      <c r="E607" s="3" t="s">
        <v>35</v>
      </c>
      <c r="F607" s="3" t="s">
        <v>30</v>
      </c>
      <c r="G607" s="3" t="s">
        <v>40</v>
      </c>
      <c r="H607" s="3" t="s">
        <v>30</v>
      </c>
      <c r="I607" s="3" t="s">
        <v>41</v>
      </c>
      <c r="J607" s="0" t="n">
        <v>1</v>
      </c>
      <c r="K607" s="0" t="n">
        <v>1</v>
      </c>
      <c r="L607" s="0" t="n">
        <v>0</v>
      </c>
      <c r="M607" s="0" t="n">
        <v>0</v>
      </c>
      <c r="N607" s="0" t="str">
        <f aca="false">IF(OR(NOT(OR(J607=0,J607=1)),NOT(OR(K607=0,K607=1)),NOT(OR(L607=0,L607=1)),NOT(OR(M607=0,M607=1)),NOT(OR(U607=0,U607=1))),"Yes","No")</f>
        <v>No</v>
      </c>
      <c r="O607" s="0" t="str">
        <f aca="false">IF(OR(AND(M607=1,L607=0),AND(L607=1,K607=0),AND(K607=1,J607=0)),"Yes","No")</f>
        <v>No</v>
      </c>
      <c r="P607" s="0" t="n">
        <v>0</v>
      </c>
      <c r="Q607" s="0" t="str">
        <f aca="false">IF(OR(AND(M607=0,P607&gt;0),AND(M607=1,P607&lt;=0)),"Yes","No")</f>
        <v>No</v>
      </c>
      <c r="R607" s="0" t="str">
        <f aca="false">IF(AND(M607=1,P607&gt;calc_helpers!$B$5),"Yes","No")</f>
        <v>No</v>
      </c>
      <c r="S607" s="0" t="n">
        <v>0</v>
      </c>
      <c r="T607" s="0" t="str">
        <f aca="false">IF(S607&gt;0,"Yes","No")</f>
        <v>No</v>
      </c>
      <c r="U607" s="0" t="n">
        <v>0</v>
      </c>
      <c r="W607" s="0" t="str">
        <f aca="false">IF(OR(AND(M607=1,ISBLANK(V607)),AND(M607=0,NOT(ISBLANK(V607)))),"Yes","No")</f>
        <v>No</v>
      </c>
      <c r="X607" s="0" t="n">
        <v>61.3</v>
      </c>
      <c r="Y607" s="3" t="s">
        <v>30</v>
      </c>
      <c r="Z607" s="0" t="str">
        <f aca="false">IF(M607=1,P607,"")</f>
        <v/>
      </c>
    </row>
    <row r="608" customFormat="false" ht="15" hidden="false" customHeight="false" outlineLevel="0" collapsed="false">
      <c r="A608" s="0" t="s">
        <v>651</v>
      </c>
      <c r="B608" s="2" t="n">
        <v>45761</v>
      </c>
      <c r="C608" s="3" t="s">
        <v>27</v>
      </c>
      <c r="D608" s="3" t="s">
        <v>34</v>
      </c>
      <c r="E608" s="3" t="s">
        <v>35</v>
      </c>
      <c r="F608" s="3" t="s">
        <v>30</v>
      </c>
      <c r="G608" s="3" t="s">
        <v>36</v>
      </c>
      <c r="H608" s="3" t="s">
        <v>30</v>
      </c>
      <c r="I608" s="3" t="s">
        <v>37</v>
      </c>
      <c r="J608" s="0" t="n">
        <v>1</v>
      </c>
      <c r="K608" s="0" t="n">
        <v>0</v>
      </c>
      <c r="L608" s="0" t="n">
        <v>0</v>
      </c>
      <c r="M608" s="0" t="n">
        <v>0</v>
      </c>
      <c r="N608" s="0" t="str">
        <f aca="false">IF(OR(NOT(OR(J608=0,J608=1)),NOT(OR(K608=0,K608=1)),NOT(OR(L608=0,L608=1)),NOT(OR(M608=0,M608=1)),NOT(OR(U608=0,U608=1))),"Yes","No")</f>
        <v>No</v>
      </c>
      <c r="O608" s="0" t="str">
        <f aca="false">IF(OR(AND(M608=1,L608=0),AND(L608=1,K608=0),AND(K608=1,J608=0)),"Yes","No")</f>
        <v>No</v>
      </c>
      <c r="P608" s="0" t="n">
        <v>0</v>
      </c>
      <c r="Q608" s="0" t="str">
        <f aca="false">IF(OR(AND(M608=0,P608&gt;0),AND(M608=1,P608&lt;=0)),"Yes","No")</f>
        <v>No</v>
      </c>
      <c r="R608" s="0" t="str">
        <f aca="false">IF(AND(M608=1,P608&gt;calc_helpers!$B$5),"Yes","No")</f>
        <v>No</v>
      </c>
      <c r="S608" s="0" t="n">
        <v>0</v>
      </c>
      <c r="T608" s="0" t="str">
        <f aca="false">IF(S608&gt;0,"Yes","No")</f>
        <v>No</v>
      </c>
      <c r="U608" s="0" t="n">
        <v>0</v>
      </c>
      <c r="W608" s="0" t="str">
        <f aca="false">IF(OR(AND(M608=1,ISBLANK(V608)),AND(M608=0,NOT(ISBLANK(V608)))),"Yes","No")</f>
        <v>No</v>
      </c>
      <c r="X608" s="0" t="n">
        <v>62.7</v>
      </c>
      <c r="Y608" s="3" t="s">
        <v>30</v>
      </c>
      <c r="Z608" s="0" t="str">
        <f aca="false">IF(M608=1,P608,"")</f>
        <v/>
      </c>
    </row>
    <row r="609" customFormat="false" ht="15" hidden="false" customHeight="false" outlineLevel="0" collapsed="false">
      <c r="A609" s="0" t="s">
        <v>652</v>
      </c>
      <c r="B609" s="2" t="n">
        <v>45765</v>
      </c>
      <c r="C609" s="3" t="s">
        <v>27</v>
      </c>
      <c r="D609" s="3" t="s">
        <v>43</v>
      </c>
      <c r="E609" s="3" t="s">
        <v>35</v>
      </c>
      <c r="F609" s="3" t="s">
        <v>30</v>
      </c>
      <c r="G609" s="3" t="s">
        <v>40</v>
      </c>
      <c r="H609" s="3" t="s">
        <v>30</v>
      </c>
      <c r="I609" s="3" t="s">
        <v>37</v>
      </c>
      <c r="J609" s="0" t="n">
        <v>1</v>
      </c>
      <c r="K609" s="0" t="n">
        <v>1</v>
      </c>
      <c r="L609" s="0" t="n">
        <v>0</v>
      </c>
      <c r="M609" s="0" t="n">
        <v>0</v>
      </c>
      <c r="N609" s="0" t="str">
        <f aca="false">IF(OR(NOT(OR(J609=0,J609=1)),NOT(OR(K609=0,K609=1)),NOT(OR(L609=0,L609=1)),NOT(OR(M609=0,M609=1)),NOT(OR(U609=0,U609=1))),"Yes","No")</f>
        <v>No</v>
      </c>
      <c r="O609" s="0" t="str">
        <f aca="false">IF(OR(AND(M609=1,L609=0),AND(L609=1,K609=0),AND(K609=1,J609=0)),"Yes","No")</f>
        <v>No</v>
      </c>
      <c r="P609" s="0" t="n">
        <v>0</v>
      </c>
      <c r="Q609" s="0" t="str">
        <f aca="false">IF(OR(AND(M609=0,P609&gt;0),AND(M609=1,P609&lt;=0)),"Yes","No")</f>
        <v>No</v>
      </c>
      <c r="R609" s="0" t="str">
        <f aca="false">IF(AND(M609=1,P609&gt;calc_helpers!$B$5),"Yes","No")</f>
        <v>No</v>
      </c>
      <c r="S609" s="0" t="n">
        <v>0</v>
      </c>
      <c r="T609" s="0" t="str">
        <f aca="false">IF(S609&gt;0,"Yes","No")</f>
        <v>No</v>
      </c>
      <c r="U609" s="0" t="n">
        <v>0</v>
      </c>
      <c r="W609" s="0" t="str">
        <f aca="false">IF(OR(AND(M609=1,ISBLANK(V609)),AND(M609=0,NOT(ISBLANK(V609)))),"Yes","No")</f>
        <v>No</v>
      </c>
      <c r="X609" s="0" t="n">
        <v>43.1</v>
      </c>
      <c r="Y609" s="3" t="s">
        <v>30</v>
      </c>
      <c r="Z609" s="0" t="str">
        <f aca="false">IF(M609=1,P609,"")</f>
        <v/>
      </c>
    </row>
    <row r="610" customFormat="false" ht="15" hidden="false" customHeight="false" outlineLevel="0" collapsed="false">
      <c r="A610" s="0" t="s">
        <v>653</v>
      </c>
      <c r="B610" s="2" t="n">
        <v>45712</v>
      </c>
      <c r="C610" s="3" t="s">
        <v>27</v>
      </c>
      <c r="D610" s="3" t="s">
        <v>43</v>
      </c>
      <c r="E610" s="3" t="s">
        <v>29</v>
      </c>
      <c r="F610" s="3" t="s">
        <v>30</v>
      </c>
      <c r="G610" s="3" t="s">
        <v>31</v>
      </c>
      <c r="H610" s="3" t="s">
        <v>30</v>
      </c>
      <c r="I610" s="3" t="s">
        <v>32</v>
      </c>
      <c r="J610" s="0" t="n">
        <v>0</v>
      </c>
      <c r="K610" s="0" t="n">
        <v>0</v>
      </c>
      <c r="L610" s="0" t="n">
        <v>0</v>
      </c>
      <c r="M610" s="0" t="n">
        <v>0</v>
      </c>
      <c r="N610" s="0" t="str">
        <f aca="false">IF(OR(NOT(OR(J610=0,J610=1)),NOT(OR(K610=0,K610=1)),NOT(OR(L610=0,L610=1)),NOT(OR(M610=0,M610=1)),NOT(OR(U610=0,U610=1))),"Yes","No")</f>
        <v>No</v>
      </c>
      <c r="O610" s="0" t="str">
        <f aca="false">IF(OR(AND(M610=1,L610=0),AND(L610=1,K610=0),AND(K610=1,J610=0)),"Yes","No")</f>
        <v>No</v>
      </c>
      <c r="P610" s="0" t="n">
        <v>0</v>
      </c>
      <c r="Q610" s="0" t="str">
        <f aca="false">IF(OR(AND(M610=0,P610&gt;0),AND(M610=1,P610&lt;=0)),"Yes","No")</f>
        <v>No</v>
      </c>
      <c r="R610" s="0" t="str">
        <f aca="false">IF(AND(M610=1,P610&gt;calc_helpers!$B$5),"Yes","No")</f>
        <v>No</v>
      </c>
      <c r="S610" s="0" t="n">
        <v>0</v>
      </c>
      <c r="T610" s="0" t="str">
        <f aca="false">IF(S610&gt;0,"Yes","No")</f>
        <v>No</v>
      </c>
      <c r="U610" s="0" t="n">
        <v>0</v>
      </c>
      <c r="W610" s="0" t="str">
        <f aca="false">IF(OR(AND(M610=1,ISBLANK(V610)),AND(M610=0,NOT(ISBLANK(V610)))),"Yes","No")</f>
        <v>No</v>
      </c>
      <c r="X610" s="0" t="n">
        <v>59.9</v>
      </c>
      <c r="Y610" s="3" t="s">
        <v>30</v>
      </c>
      <c r="Z610" s="0" t="str">
        <f aca="false">IF(M610=1,P610,"")</f>
        <v/>
      </c>
    </row>
    <row r="611" customFormat="false" ht="15" hidden="false" customHeight="false" outlineLevel="0" collapsed="false">
      <c r="A611" s="0" t="s">
        <v>654</v>
      </c>
      <c r="B611" s="2" t="n">
        <v>45766</v>
      </c>
      <c r="C611" s="3" t="s">
        <v>27</v>
      </c>
      <c r="D611" s="3" t="s">
        <v>28</v>
      </c>
      <c r="E611" s="3" t="s">
        <v>45</v>
      </c>
      <c r="F611" s="3" t="s">
        <v>30</v>
      </c>
      <c r="G611" s="3" t="s">
        <v>40</v>
      </c>
      <c r="H611" s="3" t="s">
        <v>30</v>
      </c>
      <c r="I611" s="3" t="s">
        <v>37</v>
      </c>
      <c r="J611" s="0" t="n">
        <v>1</v>
      </c>
      <c r="K611" s="0" t="n">
        <v>1</v>
      </c>
      <c r="L611" s="0" t="n">
        <v>1</v>
      </c>
      <c r="M611" s="0" t="n">
        <v>0</v>
      </c>
      <c r="N611" s="0" t="str">
        <f aca="false">IF(OR(NOT(OR(J611=0,J611=1)),NOT(OR(K611=0,K611=1)),NOT(OR(L611=0,L611=1)),NOT(OR(M611=0,M611=1)),NOT(OR(U611=0,U611=1))),"Yes","No")</f>
        <v>No</v>
      </c>
      <c r="O611" s="0" t="str">
        <f aca="false">IF(OR(AND(M611=1,L611=0),AND(L611=1,K611=0),AND(K611=1,J611=0)),"Yes","No")</f>
        <v>No</v>
      </c>
      <c r="P611" s="0" t="n">
        <v>0</v>
      </c>
      <c r="Q611" s="0" t="str">
        <f aca="false">IF(OR(AND(M611=0,P611&gt;0),AND(M611=1,P611&lt;=0)),"Yes","No")</f>
        <v>No</v>
      </c>
      <c r="R611" s="0" t="str">
        <f aca="false">IF(AND(M611=1,P611&gt;calc_helpers!$B$5),"Yes","No")</f>
        <v>No</v>
      </c>
      <c r="S611" s="0" t="n">
        <v>0</v>
      </c>
      <c r="T611" s="0" t="str">
        <f aca="false">IF(S611&gt;0,"Yes","No")</f>
        <v>No</v>
      </c>
      <c r="U611" s="0" t="n">
        <v>0</v>
      </c>
      <c r="W611" s="0" t="str">
        <f aca="false">IF(OR(AND(M611=1,ISBLANK(V611)),AND(M611=0,NOT(ISBLANK(V611)))),"Yes","No")</f>
        <v>No</v>
      </c>
      <c r="X611" s="0" t="n">
        <v>55.7</v>
      </c>
      <c r="Y611" s="3" t="s">
        <v>30</v>
      </c>
      <c r="Z611" s="0" t="str">
        <f aca="false">IF(M611=1,P611,"")</f>
        <v/>
      </c>
    </row>
    <row r="612" customFormat="false" ht="15" hidden="false" customHeight="false" outlineLevel="0" collapsed="false">
      <c r="A612" s="0" t="s">
        <v>655</v>
      </c>
      <c r="B612" s="2" t="n">
        <v>45723</v>
      </c>
      <c r="C612" s="3" t="s">
        <v>27</v>
      </c>
      <c r="D612" s="3" t="s">
        <v>43</v>
      </c>
      <c r="E612" s="3" t="s">
        <v>29</v>
      </c>
      <c r="F612" s="3" t="s">
        <v>30</v>
      </c>
      <c r="G612" s="3" t="s">
        <v>36</v>
      </c>
      <c r="H612" s="3" t="s">
        <v>30</v>
      </c>
      <c r="I612" s="3" t="s">
        <v>32</v>
      </c>
      <c r="J612" s="0" t="n">
        <v>1</v>
      </c>
      <c r="K612" s="0" t="n">
        <v>0</v>
      </c>
      <c r="L612" s="0" t="n">
        <v>0</v>
      </c>
      <c r="M612" s="0" t="n">
        <v>0</v>
      </c>
      <c r="N612" s="0" t="str">
        <f aca="false">IF(OR(NOT(OR(J612=0,J612=1)),NOT(OR(K612=0,K612=1)),NOT(OR(L612=0,L612=1)),NOT(OR(M612=0,M612=1)),NOT(OR(U612=0,U612=1))),"Yes","No")</f>
        <v>No</v>
      </c>
      <c r="O612" s="0" t="str">
        <f aca="false">IF(OR(AND(M612=1,L612=0),AND(L612=1,K612=0),AND(K612=1,J612=0)),"Yes","No")</f>
        <v>No</v>
      </c>
      <c r="P612" s="0" t="n">
        <v>0</v>
      </c>
      <c r="Q612" s="0" t="str">
        <f aca="false">IF(OR(AND(M612=0,P612&gt;0),AND(M612=1,P612&lt;=0)),"Yes","No")</f>
        <v>No</v>
      </c>
      <c r="R612" s="0" t="str">
        <f aca="false">IF(AND(M612=1,P612&gt;calc_helpers!$B$5),"Yes","No")</f>
        <v>No</v>
      </c>
      <c r="S612" s="0" t="n">
        <v>0</v>
      </c>
      <c r="T612" s="0" t="str">
        <f aca="false">IF(S612&gt;0,"Yes","No")</f>
        <v>No</v>
      </c>
      <c r="U612" s="0" t="n">
        <v>0</v>
      </c>
      <c r="W612" s="0" t="str">
        <f aca="false">IF(OR(AND(M612=1,ISBLANK(V612)),AND(M612=0,NOT(ISBLANK(V612)))),"Yes","No")</f>
        <v>No</v>
      </c>
      <c r="X612" s="0" t="n">
        <v>37.1</v>
      </c>
      <c r="Y612" s="3" t="s">
        <v>30</v>
      </c>
      <c r="Z612" s="0" t="str">
        <f aca="false">IF(M612=1,P612,"")</f>
        <v/>
      </c>
    </row>
    <row r="613" customFormat="false" ht="15" hidden="false" customHeight="false" outlineLevel="0" collapsed="false">
      <c r="A613" s="0" t="s">
        <v>656</v>
      </c>
      <c r="B613" s="2" t="n">
        <v>45725</v>
      </c>
      <c r="C613" s="3" t="s">
        <v>27</v>
      </c>
      <c r="D613" s="3" t="s">
        <v>39</v>
      </c>
      <c r="E613" s="3" t="s">
        <v>35</v>
      </c>
      <c r="F613" s="3" t="s">
        <v>30</v>
      </c>
      <c r="G613" s="3" t="s">
        <v>36</v>
      </c>
      <c r="H613" s="3" t="s">
        <v>30</v>
      </c>
      <c r="I613" s="3" t="s">
        <v>32</v>
      </c>
      <c r="J613" s="0" t="n">
        <v>0</v>
      </c>
      <c r="K613" s="0" t="n">
        <v>0</v>
      </c>
      <c r="L613" s="0" t="n">
        <v>0</v>
      </c>
      <c r="M613" s="0" t="n">
        <v>0</v>
      </c>
      <c r="N613" s="0" t="str">
        <f aca="false">IF(OR(NOT(OR(J613=0,J613=1)),NOT(OR(K613=0,K613=1)),NOT(OR(L613=0,L613=1)),NOT(OR(M613=0,M613=1)),NOT(OR(U613=0,U613=1))),"Yes","No")</f>
        <v>No</v>
      </c>
      <c r="O613" s="0" t="str">
        <f aca="false">IF(OR(AND(M613=1,L613=0),AND(L613=1,K613=0),AND(K613=1,J613=0)),"Yes","No")</f>
        <v>No</v>
      </c>
      <c r="P613" s="0" t="n">
        <v>0</v>
      </c>
      <c r="Q613" s="0" t="str">
        <f aca="false">IF(OR(AND(M613=0,P613&gt;0),AND(M613=1,P613&lt;=0)),"Yes","No")</f>
        <v>No</v>
      </c>
      <c r="R613" s="0" t="str">
        <f aca="false">IF(AND(M613=1,P613&gt;calc_helpers!$B$5),"Yes","No")</f>
        <v>No</v>
      </c>
      <c r="S613" s="0" t="n">
        <v>1</v>
      </c>
      <c r="T613" s="0" t="str">
        <f aca="false">IF(S613&gt;0,"Yes","No")</f>
        <v>Yes</v>
      </c>
      <c r="U613" s="0" t="n">
        <v>0</v>
      </c>
      <c r="W613" s="0" t="str">
        <f aca="false">IF(OR(AND(M613=1,ISBLANK(V613)),AND(M613=0,NOT(ISBLANK(V613)))),"Yes","No")</f>
        <v>No</v>
      </c>
      <c r="X613" s="0" t="n">
        <v>46.7</v>
      </c>
      <c r="Y613" s="3" t="s">
        <v>30</v>
      </c>
      <c r="Z613" s="0" t="str">
        <f aca="false">IF(M613=1,P613,"")</f>
        <v/>
      </c>
    </row>
    <row r="614" customFormat="false" ht="15" hidden="false" customHeight="false" outlineLevel="0" collapsed="false">
      <c r="A614" s="0" t="s">
        <v>657</v>
      </c>
      <c r="B614" s="2" t="n">
        <v>45778</v>
      </c>
      <c r="C614" s="3" t="s">
        <v>27</v>
      </c>
      <c r="D614" s="3" t="s">
        <v>43</v>
      </c>
      <c r="E614" s="3" t="s">
        <v>29</v>
      </c>
      <c r="F614" s="3" t="s">
        <v>30</v>
      </c>
      <c r="G614" s="3" t="s">
        <v>36</v>
      </c>
      <c r="H614" s="3" t="s">
        <v>30</v>
      </c>
      <c r="I614" s="3" t="s">
        <v>32</v>
      </c>
      <c r="J614" s="0" t="n">
        <v>1</v>
      </c>
      <c r="K614" s="0" t="n">
        <v>0</v>
      </c>
      <c r="L614" s="0" t="n">
        <v>0</v>
      </c>
      <c r="M614" s="0" t="n">
        <v>0</v>
      </c>
      <c r="N614" s="0" t="str">
        <f aca="false">IF(OR(NOT(OR(J614=0,J614=1)),NOT(OR(K614=0,K614=1)),NOT(OR(L614=0,L614=1)),NOT(OR(M614=0,M614=1)),NOT(OR(U614=0,U614=1))),"Yes","No")</f>
        <v>No</v>
      </c>
      <c r="O614" s="0" t="str">
        <f aca="false">IF(OR(AND(M614=1,L614=0),AND(L614=1,K614=0),AND(K614=1,J614=0)),"Yes","No")</f>
        <v>No</v>
      </c>
      <c r="P614" s="0" t="n">
        <v>0</v>
      </c>
      <c r="Q614" s="0" t="str">
        <f aca="false">IF(OR(AND(M614=0,P614&gt;0),AND(M614=1,P614&lt;=0)),"Yes","No")</f>
        <v>No</v>
      </c>
      <c r="R614" s="0" t="str">
        <f aca="false">IF(AND(M614=1,P614&gt;calc_helpers!$B$5),"Yes","No")</f>
        <v>No</v>
      </c>
      <c r="S614" s="0" t="n">
        <v>0</v>
      </c>
      <c r="T614" s="0" t="str">
        <f aca="false">IF(S614&gt;0,"Yes","No")</f>
        <v>No</v>
      </c>
      <c r="U614" s="0" t="n">
        <v>0</v>
      </c>
      <c r="W614" s="0" t="str">
        <f aca="false">IF(OR(AND(M614=1,ISBLANK(V614)),AND(M614=0,NOT(ISBLANK(V614)))),"Yes","No")</f>
        <v>No</v>
      </c>
      <c r="X614" s="0" t="n">
        <v>54.1</v>
      </c>
      <c r="Y614" s="3" t="s">
        <v>30</v>
      </c>
      <c r="Z614" s="0" t="str">
        <f aca="false">IF(M614=1,P614,"")</f>
        <v/>
      </c>
    </row>
    <row r="615" customFormat="false" ht="15" hidden="false" customHeight="false" outlineLevel="0" collapsed="false">
      <c r="A615" s="0" t="s">
        <v>658</v>
      </c>
      <c r="B615" s="2" t="n">
        <v>45697</v>
      </c>
      <c r="C615" s="3" t="s">
        <v>27</v>
      </c>
      <c r="D615" s="3" t="s">
        <v>34</v>
      </c>
      <c r="E615" s="3" t="s">
        <v>29</v>
      </c>
      <c r="F615" s="3" t="s">
        <v>30</v>
      </c>
      <c r="G615" s="3" t="s">
        <v>36</v>
      </c>
      <c r="H615" s="3" t="s">
        <v>30</v>
      </c>
      <c r="I615" s="3" t="s">
        <v>41</v>
      </c>
      <c r="J615" s="0" t="n">
        <v>1</v>
      </c>
      <c r="K615" s="0" t="n">
        <v>1</v>
      </c>
      <c r="L615" s="0" t="n">
        <v>1</v>
      </c>
      <c r="M615" s="0" t="n">
        <v>0</v>
      </c>
      <c r="N615" s="0" t="str">
        <f aca="false">IF(OR(NOT(OR(J615=0,J615=1)),NOT(OR(K615=0,K615=1)),NOT(OR(L615=0,L615=1)),NOT(OR(M615=0,M615=1)),NOT(OR(U615=0,U615=1))),"Yes","No")</f>
        <v>No</v>
      </c>
      <c r="O615" s="0" t="str">
        <f aca="false">IF(OR(AND(M615=1,L615=0),AND(L615=1,K615=0),AND(K615=1,J615=0)),"Yes","No")</f>
        <v>No</v>
      </c>
      <c r="P615" s="0" t="n">
        <v>0</v>
      </c>
      <c r="Q615" s="0" t="str">
        <f aca="false">IF(OR(AND(M615=0,P615&gt;0),AND(M615=1,P615&lt;=0)),"Yes","No")</f>
        <v>No</v>
      </c>
      <c r="R615" s="0" t="str">
        <f aca="false">IF(AND(M615=1,P615&gt;calc_helpers!$B$5),"Yes","No")</f>
        <v>No</v>
      </c>
      <c r="S615" s="0" t="n">
        <v>0</v>
      </c>
      <c r="T615" s="0" t="str">
        <f aca="false">IF(S615&gt;0,"Yes","No")</f>
        <v>No</v>
      </c>
      <c r="U615" s="0" t="n">
        <v>0</v>
      </c>
      <c r="W615" s="0" t="str">
        <f aca="false">IF(OR(AND(M615=1,ISBLANK(V615)),AND(M615=0,NOT(ISBLANK(V615)))),"Yes","No")</f>
        <v>No</v>
      </c>
      <c r="X615" s="0" t="n">
        <v>56.1</v>
      </c>
      <c r="Y615" s="3" t="s">
        <v>30</v>
      </c>
      <c r="Z615" s="0" t="str">
        <f aca="false">IF(M615=1,P615,"")</f>
        <v/>
      </c>
    </row>
    <row r="616" customFormat="false" ht="15" hidden="false" customHeight="false" outlineLevel="0" collapsed="false">
      <c r="A616" s="0" t="s">
        <v>659</v>
      </c>
      <c r="B616" s="2" t="n">
        <v>45799</v>
      </c>
      <c r="C616" s="3" t="s">
        <v>27</v>
      </c>
      <c r="D616" s="3" t="s">
        <v>34</v>
      </c>
      <c r="E616" s="3" t="s">
        <v>35</v>
      </c>
      <c r="F616" s="3" t="s">
        <v>30</v>
      </c>
      <c r="G616" s="3" t="s">
        <v>50</v>
      </c>
      <c r="H616" s="3" t="s">
        <v>30</v>
      </c>
      <c r="I616" s="3" t="s">
        <v>41</v>
      </c>
      <c r="J616" s="0" t="n">
        <v>0</v>
      </c>
      <c r="K616" s="0" t="n">
        <v>0</v>
      </c>
      <c r="L616" s="0" t="n">
        <v>0</v>
      </c>
      <c r="M616" s="0" t="n">
        <v>0</v>
      </c>
      <c r="N616" s="0" t="str">
        <f aca="false">IF(OR(NOT(OR(J616=0,J616=1)),NOT(OR(K616=0,K616=1)),NOT(OR(L616=0,L616=1)),NOT(OR(M616=0,M616=1)),NOT(OR(U616=0,U616=1))),"Yes","No")</f>
        <v>No</v>
      </c>
      <c r="O616" s="0" t="str">
        <f aca="false">IF(OR(AND(M616=1,L616=0),AND(L616=1,K616=0),AND(K616=1,J616=0)),"Yes","No")</f>
        <v>No</v>
      </c>
      <c r="P616" s="0" t="n">
        <v>0</v>
      </c>
      <c r="Q616" s="0" t="str">
        <f aca="false">IF(OR(AND(M616=0,P616&gt;0),AND(M616=1,P616&lt;=0)),"Yes","No")</f>
        <v>No</v>
      </c>
      <c r="R616" s="0" t="str">
        <f aca="false">IF(AND(M616=1,P616&gt;calc_helpers!$B$5),"Yes","No")</f>
        <v>No</v>
      </c>
      <c r="S616" s="0" t="n">
        <v>0</v>
      </c>
      <c r="T616" s="0" t="str">
        <f aca="false">IF(S616&gt;0,"Yes","No")</f>
        <v>No</v>
      </c>
      <c r="U616" s="0" t="n">
        <v>0</v>
      </c>
      <c r="W616" s="0" t="str">
        <f aca="false">IF(OR(AND(M616=1,ISBLANK(V616)),AND(M616=0,NOT(ISBLANK(V616)))),"Yes","No")</f>
        <v>No</v>
      </c>
      <c r="X616" s="0" t="n">
        <v>23.6</v>
      </c>
      <c r="Y616" s="3" t="s">
        <v>30</v>
      </c>
      <c r="Z616" s="0" t="str">
        <f aca="false">IF(M616=1,P616,"")</f>
        <v/>
      </c>
    </row>
    <row r="617" customFormat="false" ht="15" hidden="false" customHeight="false" outlineLevel="0" collapsed="false">
      <c r="A617" s="0" t="s">
        <v>660</v>
      </c>
      <c r="B617" s="2" t="n">
        <v>45699</v>
      </c>
      <c r="C617" s="3" t="s">
        <v>27</v>
      </c>
      <c r="D617" s="3" t="s">
        <v>28</v>
      </c>
      <c r="E617" s="3" t="s">
        <v>35</v>
      </c>
      <c r="F617" s="3" t="s">
        <v>30</v>
      </c>
      <c r="G617" s="3" t="s">
        <v>36</v>
      </c>
      <c r="H617" s="3" t="s">
        <v>30</v>
      </c>
      <c r="I617" s="3" t="s">
        <v>41</v>
      </c>
      <c r="J617" s="0" t="n">
        <v>0</v>
      </c>
      <c r="K617" s="0" t="n">
        <v>0</v>
      </c>
      <c r="L617" s="0" t="n">
        <v>0</v>
      </c>
      <c r="M617" s="0" t="n">
        <v>0</v>
      </c>
      <c r="N617" s="0" t="str">
        <f aca="false">IF(OR(NOT(OR(J617=0,J617=1)),NOT(OR(K617=0,K617=1)),NOT(OR(L617=0,L617=1)),NOT(OR(M617=0,M617=1)),NOT(OR(U617=0,U617=1))),"Yes","No")</f>
        <v>No</v>
      </c>
      <c r="O617" s="0" t="str">
        <f aca="false">IF(OR(AND(M617=1,L617=0),AND(L617=1,K617=0),AND(K617=1,J617=0)),"Yes","No")</f>
        <v>No</v>
      </c>
      <c r="P617" s="0" t="n">
        <v>0</v>
      </c>
      <c r="Q617" s="0" t="str">
        <f aca="false">IF(OR(AND(M617=0,P617&gt;0),AND(M617=1,P617&lt;=0)),"Yes","No")</f>
        <v>No</v>
      </c>
      <c r="R617" s="0" t="str">
        <f aca="false">IF(AND(M617=1,P617&gt;calc_helpers!$B$5),"Yes","No")</f>
        <v>No</v>
      </c>
      <c r="S617" s="0" t="n">
        <v>0</v>
      </c>
      <c r="T617" s="0" t="str">
        <f aca="false">IF(S617&gt;0,"Yes","No")</f>
        <v>No</v>
      </c>
      <c r="U617" s="0" t="n">
        <v>0</v>
      </c>
      <c r="W617" s="0" t="str">
        <f aca="false">IF(OR(AND(M617=1,ISBLANK(V617)),AND(M617=0,NOT(ISBLANK(V617)))),"Yes","No")</f>
        <v>No</v>
      </c>
      <c r="X617" s="0" t="n">
        <v>54.7</v>
      </c>
      <c r="Y617" s="3" t="s">
        <v>30</v>
      </c>
      <c r="Z617" s="0" t="str">
        <f aca="false">IF(M617=1,P617,"")</f>
        <v/>
      </c>
    </row>
    <row r="618" customFormat="false" ht="15" hidden="false" customHeight="false" outlineLevel="0" collapsed="false">
      <c r="A618" s="0" t="s">
        <v>661</v>
      </c>
      <c r="B618" s="2" t="n">
        <v>45759</v>
      </c>
      <c r="C618" s="3" t="s">
        <v>27</v>
      </c>
      <c r="D618" s="3" t="s">
        <v>28</v>
      </c>
      <c r="E618" s="3" t="s">
        <v>35</v>
      </c>
      <c r="F618" s="3" t="s">
        <v>30</v>
      </c>
      <c r="G618" s="3" t="s">
        <v>50</v>
      </c>
      <c r="H618" s="3" t="s">
        <v>30</v>
      </c>
      <c r="I618" s="3" t="s">
        <v>32</v>
      </c>
      <c r="J618" s="0" t="n">
        <v>0</v>
      </c>
      <c r="K618" s="0" t="n">
        <v>0</v>
      </c>
      <c r="L618" s="0" t="n">
        <v>0</v>
      </c>
      <c r="M618" s="0" t="n">
        <v>0</v>
      </c>
      <c r="N618" s="0" t="str">
        <f aca="false">IF(OR(NOT(OR(J618=0,J618=1)),NOT(OR(K618=0,K618=1)),NOT(OR(L618=0,L618=1)),NOT(OR(M618=0,M618=1)),NOT(OR(U618=0,U618=1))),"Yes","No")</f>
        <v>No</v>
      </c>
      <c r="O618" s="0" t="str">
        <f aca="false">IF(OR(AND(M618=1,L618=0),AND(L618=1,K618=0),AND(K618=1,J618=0)),"Yes","No")</f>
        <v>No</v>
      </c>
      <c r="P618" s="0" t="n">
        <v>0</v>
      </c>
      <c r="Q618" s="0" t="str">
        <f aca="false">IF(OR(AND(M618=0,P618&gt;0),AND(M618=1,P618&lt;=0)),"Yes","No")</f>
        <v>No</v>
      </c>
      <c r="R618" s="0" t="str">
        <f aca="false">IF(AND(M618=1,P618&gt;calc_helpers!$B$5),"Yes","No")</f>
        <v>No</v>
      </c>
      <c r="S618" s="0" t="n">
        <v>2</v>
      </c>
      <c r="T618" s="0" t="str">
        <f aca="false">IF(S618&gt;0,"Yes","No")</f>
        <v>Yes</v>
      </c>
      <c r="U618" s="0" t="n">
        <v>0</v>
      </c>
      <c r="W618" s="0" t="str">
        <f aca="false">IF(OR(AND(M618=1,ISBLANK(V618)),AND(M618=0,NOT(ISBLANK(V618)))),"Yes","No")</f>
        <v>No</v>
      </c>
      <c r="X618" s="0" t="n">
        <v>50.4</v>
      </c>
      <c r="Y618" s="3" t="s">
        <v>30</v>
      </c>
      <c r="Z618" s="0" t="str">
        <f aca="false">IF(M618=1,P618,"")</f>
        <v/>
      </c>
    </row>
    <row r="619" customFormat="false" ht="15" hidden="false" customHeight="false" outlineLevel="0" collapsed="false">
      <c r="A619" s="0" t="s">
        <v>662</v>
      </c>
      <c r="B619" s="2" t="n">
        <v>45717</v>
      </c>
      <c r="C619" s="3" t="s">
        <v>27</v>
      </c>
      <c r="D619" s="3" t="s">
        <v>34</v>
      </c>
      <c r="E619" s="3" t="s">
        <v>35</v>
      </c>
      <c r="F619" s="3" t="s">
        <v>30</v>
      </c>
      <c r="G619" s="3" t="s">
        <v>52</v>
      </c>
      <c r="H619" s="3" t="s">
        <v>30</v>
      </c>
      <c r="I619" s="3" t="s">
        <v>37</v>
      </c>
      <c r="J619" s="0" t="n">
        <v>1</v>
      </c>
      <c r="K619" s="0" t="n">
        <v>0</v>
      </c>
      <c r="L619" s="0" t="n">
        <v>0</v>
      </c>
      <c r="M619" s="0" t="n">
        <v>0</v>
      </c>
      <c r="N619" s="0" t="str">
        <f aca="false">IF(OR(NOT(OR(J619=0,J619=1)),NOT(OR(K619=0,K619=1)),NOT(OR(L619=0,L619=1)),NOT(OR(M619=0,M619=1)),NOT(OR(U619=0,U619=1))),"Yes","No")</f>
        <v>No</v>
      </c>
      <c r="O619" s="0" t="str">
        <f aca="false">IF(OR(AND(M619=1,L619=0),AND(L619=1,K619=0),AND(K619=1,J619=0)),"Yes","No")</f>
        <v>No</v>
      </c>
      <c r="P619" s="0" t="n">
        <v>0</v>
      </c>
      <c r="Q619" s="0" t="str">
        <f aca="false">IF(OR(AND(M619=0,P619&gt;0),AND(M619=1,P619&lt;=0)),"Yes","No")</f>
        <v>No</v>
      </c>
      <c r="R619" s="0" t="str">
        <f aca="false">IF(AND(M619=1,P619&gt;calc_helpers!$B$5),"Yes","No")</f>
        <v>No</v>
      </c>
      <c r="S619" s="0" t="n">
        <v>0</v>
      </c>
      <c r="T619" s="0" t="str">
        <f aca="false">IF(S619&gt;0,"Yes","No")</f>
        <v>No</v>
      </c>
      <c r="U619" s="0" t="n">
        <v>0</v>
      </c>
      <c r="W619" s="0" t="str">
        <f aca="false">IF(OR(AND(M619=1,ISBLANK(V619)),AND(M619=0,NOT(ISBLANK(V619)))),"Yes","No")</f>
        <v>No</v>
      </c>
      <c r="X619" s="0" t="n">
        <v>54.5</v>
      </c>
      <c r="Y619" s="3" t="s">
        <v>30</v>
      </c>
      <c r="Z619" s="0" t="str">
        <f aca="false">IF(M619=1,P619,"")</f>
        <v/>
      </c>
    </row>
    <row r="620" customFormat="false" ht="15" hidden="false" customHeight="false" outlineLevel="0" collapsed="false">
      <c r="A620" s="0" t="s">
        <v>663</v>
      </c>
      <c r="B620" s="2" t="n">
        <v>45733</v>
      </c>
      <c r="C620" s="3" t="s">
        <v>27</v>
      </c>
      <c r="D620" s="3" t="s">
        <v>34</v>
      </c>
      <c r="E620" s="3" t="s">
        <v>29</v>
      </c>
      <c r="F620" s="3" t="s">
        <v>30</v>
      </c>
      <c r="G620" s="3" t="s">
        <v>31</v>
      </c>
      <c r="H620" s="3" t="s">
        <v>30</v>
      </c>
      <c r="I620" s="3" t="s">
        <v>32</v>
      </c>
      <c r="J620" s="0" t="n">
        <v>0</v>
      </c>
      <c r="K620" s="0" t="n">
        <v>0</v>
      </c>
      <c r="L620" s="0" t="n">
        <v>0</v>
      </c>
      <c r="M620" s="0" t="n">
        <v>0</v>
      </c>
      <c r="N620" s="0" t="str">
        <f aca="false">IF(OR(NOT(OR(J620=0,J620=1)),NOT(OR(K620=0,K620=1)),NOT(OR(L620=0,L620=1)),NOT(OR(M620=0,M620=1)),NOT(OR(U620=0,U620=1))),"Yes","No")</f>
        <v>No</v>
      </c>
      <c r="O620" s="0" t="str">
        <f aca="false">IF(OR(AND(M620=1,L620=0),AND(L620=1,K620=0),AND(K620=1,J620=0)),"Yes","No")</f>
        <v>No</v>
      </c>
      <c r="P620" s="0" t="n">
        <v>0</v>
      </c>
      <c r="Q620" s="0" t="str">
        <f aca="false">IF(OR(AND(M620=0,P620&gt;0),AND(M620=1,P620&lt;=0)),"Yes","No")</f>
        <v>No</v>
      </c>
      <c r="R620" s="0" t="str">
        <f aca="false">IF(AND(M620=1,P620&gt;calc_helpers!$B$5),"Yes","No")</f>
        <v>No</v>
      </c>
      <c r="S620" s="0" t="n">
        <v>0</v>
      </c>
      <c r="T620" s="0" t="str">
        <f aca="false">IF(S620&gt;0,"Yes","No")</f>
        <v>No</v>
      </c>
      <c r="U620" s="0" t="n">
        <v>0</v>
      </c>
      <c r="W620" s="0" t="str">
        <f aca="false">IF(OR(AND(M620=1,ISBLANK(V620)),AND(M620=0,NOT(ISBLANK(V620)))),"Yes","No")</f>
        <v>No</v>
      </c>
      <c r="X620" s="0" t="n">
        <v>58</v>
      </c>
      <c r="Y620" s="3" t="s">
        <v>30</v>
      </c>
      <c r="Z620" s="0" t="str">
        <f aca="false">IF(M620=1,P620,"")</f>
        <v/>
      </c>
    </row>
    <row r="621" customFormat="false" ht="15" hidden="false" customHeight="false" outlineLevel="0" collapsed="false">
      <c r="A621" s="0" t="s">
        <v>664</v>
      </c>
      <c r="B621" s="2" t="n">
        <v>45668</v>
      </c>
      <c r="C621" s="3" t="s">
        <v>27</v>
      </c>
      <c r="D621" s="3" t="s">
        <v>28</v>
      </c>
      <c r="E621" s="3" t="s">
        <v>35</v>
      </c>
      <c r="F621" s="3" t="s">
        <v>30</v>
      </c>
      <c r="G621" s="3" t="s">
        <v>40</v>
      </c>
      <c r="H621" s="3" t="s">
        <v>30</v>
      </c>
      <c r="I621" s="3" t="s">
        <v>37</v>
      </c>
      <c r="J621" s="0" t="n">
        <v>0</v>
      </c>
      <c r="K621" s="0" t="n">
        <v>0</v>
      </c>
      <c r="L621" s="0" t="n">
        <v>0</v>
      </c>
      <c r="M621" s="0" t="n">
        <v>0</v>
      </c>
      <c r="N621" s="0" t="str">
        <f aca="false">IF(OR(NOT(OR(J621=0,J621=1)),NOT(OR(K621=0,K621=1)),NOT(OR(L621=0,L621=1)),NOT(OR(M621=0,M621=1)),NOT(OR(U621=0,U621=1))),"Yes","No")</f>
        <v>No</v>
      </c>
      <c r="O621" s="0" t="str">
        <f aca="false">IF(OR(AND(M621=1,L621=0),AND(L621=1,K621=0),AND(K621=1,J621=0)),"Yes","No")</f>
        <v>No</v>
      </c>
      <c r="P621" s="0" t="n">
        <v>0</v>
      </c>
      <c r="Q621" s="0" t="str">
        <f aca="false">IF(OR(AND(M621=0,P621&gt;0),AND(M621=1,P621&lt;=0)),"Yes","No")</f>
        <v>No</v>
      </c>
      <c r="R621" s="0" t="str">
        <f aca="false">IF(AND(M621=1,P621&gt;calc_helpers!$B$5),"Yes","No")</f>
        <v>No</v>
      </c>
      <c r="S621" s="0" t="n">
        <v>0</v>
      </c>
      <c r="T621" s="0" t="str">
        <f aca="false">IF(S621&gt;0,"Yes","No")</f>
        <v>No</v>
      </c>
      <c r="U621" s="0" t="n">
        <v>0</v>
      </c>
      <c r="W621" s="0" t="str">
        <f aca="false">IF(OR(AND(M621=1,ISBLANK(V621)),AND(M621=0,NOT(ISBLANK(V621)))),"Yes","No")</f>
        <v>No</v>
      </c>
      <c r="X621" s="0" t="n">
        <v>42.9</v>
      </c>
      <c r="Y621" s="3" t="s">
        <v>30</v>
      </c>
      <c r="Z621" s="0" t="str">
        <f aca="false">IF(M621=1,P621,"")</f>
        <v/>
      </c>
    </row>
    <row r="622" customFormat="false" ht="15" hidden="false" customHeight="false" outlineLevel="0" collapsed="false">
      <c r="A622" s="0" t="s">
        <v>665</v>
      </c>
      <c r="B622" s="2" t="n">
        <v>45705</v>
      </c>
      <c r="C622" s="3" t="s">
        <v>27</v>
      </c>
      <c r="D622" s="3" t="s">
        <v>43</v>
      </c>
      <c r="E622" s="3" t="s">
        <v>35</v>
      </c>
      <c r="F622" s="3" t="s">
        <v>30</v>
      </c>
      <c r="G622" s="3" t="s">
        <v>52</v>
      </c>
      <c r="H622" s="3" t="s">
        <v>30</v>
      </c>
      <c r="I622" s="3" t="s">
        <v>41</v>
      </c>
      <c r="J622" s="0" t="n">
        <v>1</v>
      </c>
      <c r="K622" s="0" t="n">
        <v>0</v>
      </c>
      <c r="L622" s="0" t="n">
        <v>0</v>
      </c>
      <c r="M622" s="0" t="n">
        <v>0</v>
      </c>
      <c r="N622" s="0" t="str">
        <f aca="false">IF(OR(NOT(OR(J622=0,J622=1)),NOT(OR(K622=0,K622=1)),NOT(OR(L622=0,L622=1)),NOT(OR(M622=0,M622=1)),NOT(OR(U622=0,U622=1))),"Yes","No")</f>
        <v>No</v>
      </c>
      <c r="O622" s="0" t="str">
        <f aca="false">IF(OR(AND(M622=1,L622=0),AND(L622=1,K622=0),AND(K622=1,J622=0)),"Yes","No")</f>
        <v>No</v>
      </c>
      <c r="P622" s="0" t="n">
        <v>0</v>
      </c>
      <c r="Q622" s="0" t="str">
        <f aca="false">IF(OR(AND(M622=0,P622&gt;0),AND(M622=1,P622&lt;=0)),"Yes","No")</f>
        <v>No</v>
      </c>
      <c r="R622" s="0" t="str">
        <f aca="false">IF(AND(M622=1,P622&gt;calc_helpers!$B$5),"Yes","No")</f>
        <v>No</v>
      </c>
      <c r="S622" s="0" t="n">
        <v>0</v>
      </c>
      <c r="T622" s="0" t="str">
        <f aca="false">IF(S622&gt;0,"Yes","No")</f>
        <v>No</v>
      </c>
      <c r="U622" s="0" t="n">
        <v>0</v>
      </c>
      <c r="W622" s="0" t="str">
        <f aca="false">IF(OR(AND(M622=1,ISBLANK(V622)),AND(M622=0,NOT(ISBLANK(V622)))),"Yes","No")</f>
        <v>No</v>
      </c>
      <c r="X622" s="0" t="n">
        <v>51.1</v>
      </c>
      <c r="Y622" s="3" t="s">
        <v>30</v>
      </c>
      <c r="Z622" s="0" t="str">
        <f aca="false">IF(M622=1,P622,"")</f>
        <v/>
      </c>
    </row>
    <row r="623" customFormat="false" ht="15" hidden="false" customHeight="false" outlineLevel="0" collapsed="false">
      <c r="A623" s="0" t="s">
        <v>666</v>
      </c>
      <c r="B623" s="2" t="n">
        <v>45741</v>
      </c>
      <c r="C623" s="3" t="s">
        <v>27</v>
      </c>
      <c r="D623" s="3" t="s">
        <v>39</v>
      </c>
      <c r="E623" s="3" t="s">
        <v>35</v>
      </c>
      <c r="F623" s="3" t="s">
        <v>30</v>
      </c>
      <c r="G623" s="3" t="s">
        <v>40</v>
      </c>
      <c r="H623" s="3" t="s">
        <v>30</v>
      </c>
      <c r="I623" s="3" t="s">
        <v>32</v>
      </c>
      <c r="J623" s="0" t="n">
        <v>1</v>
      </c>
      <c r="K623" s="0" t="n">
        <v>1</v>
      </c>
      <c r="L623" s="0" t="n">
        <v>0</v>
      </c>
      <c r="M623" s="0" t="n">
        <v>0</v>
      </c>
      <c r="N623" s="0" t="str">
        <f aca="false">IF(OR(NOT(OR(J623=0,J623=1)),NOT(OR(K623=0,K623=1)),NOT(OR(L623=0,L623=1)),NOT(OR(M623=0,M623=1)),NOT(OR(U623=0,U623=1))),"Yes","No")</f>
        <v>No</v>
      </c>
      <c r="O623" s="0" t="str">
        <f aca="false">IF(OR(AND(M623=1,L623=0),AND(L623=1,K623=0),AND(K623=1,J623=0)),"Yes","No")</f>
        <v>No</v>
      </c>
      <c r="P623" s="0" t="n">
        <v>0</v>
      </c>
      <c r="Q623" s="0" t="str">
        <f aca="false">IF(OR(AND(M623=0,P623&gt;0),AND(M623=1,P623&lt;=0)),"Yes","No")</f>
        <v>No</v>
      </c>
      <c r="R623" s="0" t="str">
        <f aca="false">IF(AND(M623=1,P623&gt;calc_helpers!$B$5),"Yes","No")</f>
        <v>No</v>
      </c>
      <c r="S623" s="0" t="n">
        <v>0</v>
      </c>
      <c r="T623" s="0" t="str">
        <f aca="false">IF(S623&gt;0,"Yes","No")</f>
        <v>No</v>
      </c>
      <c r="U623" s="0" t="n">
        <v>0</v>
      </c>
      <c r="W623" s="0" t="str">
        <f aca="false">IF(OR(AND(M623=1,ISBLANK(V623)),AND(M623=0,NOT(ISBLANK(V623)))),"Yes","No")</f>
        <v>No</v>
      </c>
      <c r="X623" s="0" t="n">
        <v>51.8</v>
      </c>
      <c r="Y623" s="3" t="s">
        <v>30</v>
      </c>
      <c r="Z623" s="0" t="str">
        <f aca="false">IF(M623=1,P623,"")</f>
        <v/>
      </c>
    </row>
    <row r="624" customFormat="false" ht="15" hidden="false" customHeight="false" outlineLevel="0" collapsed="false">
      <c r="A624" s="0" t="s">
        <v>667</v>
      </c>
      <c r="B624" s="2" t="n">
        <v>45778</v>
      </c>
      <c r="C624" s="3" t="s">
        <v>27</v>
      </c>
      <c r="D624" s="3" t="s">
        <v>43</v>
      </c>
      <c r="E624" s="3" t="s">
        <v>35</v>
      </c>
      <c r="F624" s="3" t="s">
        <v>30</v>
      </c>
      <c r="G624" s="3" t="s">
        <v>40</v>
      </c>
      <c r="H624" s="3" t="s">
        <v>30</v>
      </c>
      <c r="I624" s="3" t="s">
        <v>37</v>
      </c>
      <c r="J624" s="0" t="n">
        <v>0</v>
      </c>
      <c r="K624" s="0" t="n">
        <v>0</v>
      </c>
      <c r="L624" s="0" t="n">
        <v>0</v>
      </c>
      <c r="M624" s="0" t="n">
        <v>0</v>
      </c>
      <c r="N624" s="0" t="str">
        <f aca="false">IF(OR(NOT(OR(J624=0,J624=1)),NOT(OR(K624=0,K624=1)),NOT(OR(L624=0,L624=1)),NOT(OR(M624=0,M624=1)),NOT(OR(U624=0,U624=1))),"Yes","No")</f>
        <v>No</v>
      </c>
      <c r="O624" s="0" t="str">
        <f aca="false">IF(OR(AND(M624=1,L624=0),AND(L624=1,K624=0),AND(K624=1,J624=0)),"Yes","No")</f>
        <v>No</v>
      </c>
      <c r="P624" s="0" t="n">
        <v>0</v>
      </c>
      <c r="Q624" s="0" t="str">
        <f aca="false">IF(OR(AND(M624=0,P624&gt;0),AND(M624=1,P624&lt;=0)),"Yes","No")</f>
        <v>No</v>
      </c>
      <c r="R624" s="0" t="str">
        <f aca="false">IF(AND(M624=1,P624&gt;calc_helpers!$B$5),"Yes","No")</f>
        <v>No</v>
      </c>
      <c r="S624" s="0" t="n">
        <v>0</v>
      </c>
      <c r="T624" s="0" t="str">
        <f aca="false">IF(S624&gt;0,"Yes","No")</f>
        <v>No</v>
      </c>
      <c r="U624" s="0" t="n">
        <v>0</v>
      </c>
      <c r="W624" s="0" t="str">
        <f aca="false">IF(OR(AND(M624=1,ISBLANK(V624)),AND(M624=0,NOT(ISBLANK(V624)))),"Yes","No")</f>
        <v>No</v>
      </c>
      <c r="X624" s="0" t="n">
        <v>67.7</v>
      </c>
      <c r="Y624" s="3" t="s">
        <v>30</v>
      </c>
      <c r="Z624" s="0" t="str">
        <f aca="false">IF(M624=1,P624,"")</f>
        <v/>
      </c>
    </row>
    <row r="625" customFormat="false" ht="15" hidden="false" customHeight="false" outlineLevel="0" collapsed="false">
      <c r="A625" s="0" t="s">
        <v>668</v>
      </c>
      <c r="B625" s="2" t="n">
        <v>45749</v>
      </c>
      <c r="C625" s="3" t="s">
        <v>27</v>
      </c>
      <c r="D625" s="3" t="s">
        <v>39</v>
      </c>
      <c r="E625" s="3" t="s">
        <v>35</v>
      </c>
      <c r="F625" s="3" t="s">
        <v>30</v>
      </c>
      <c r="G625" s="3" t="s">
        <v>36</v>
      </c>
      <c r="H625" s="3" t="s">
        <v>30</v>
      </c>
      <c r="I625" s="3" t="s">
        <v>32</v>
      </c>
      <c r="J625" s="0" t="n">
        <v>0</v>
      </c>
      <c r="K625" s="0" t="n">
        <v>0</v>
      </c>
      <c r="L625" s="0" t="n">
        <v>0</v>
      </c>
      <c r="M625" s="0" t="n">
        <v>0</v>
      </c>
      <c r="N625" s="0" t="str">
        <f aca="false">IF(OR(NOT(OR(J625=0,J625=1)),NOT(OR(K625=0,K625=1)),NOT(OR(L625=0,L625=1)),NOT(OR(M625=0,M625=1)),NOT(OR(U625=0,U625=1))),"Yes","No")</f>
        <v>No</v>
      </c>
      <c r="O625" s="0" t="str">
        <f aca="false">IF(OR(AND(M625=1,L625=0),AND(L625=1,K625=0),AND(K625=1,J625=0)),"Yes","No")</f>
        <v>No</v>
      </c>
      <c r="P625" s="0" t="n">
        <v>0</v>
      </c>
      <c r="Q625" s="0" t="str">
        <f aca="false">IF(OR(AND(M625=0,P625&gt;0),AND(M625=1,P625&lt;=0)),"Yes","No")</f>
        <v>No</v>
      </c>
      <c r="R625" s="0" t="str">
        <f aca="false">IF(AND(M625=1,P625&gt;calc_helpers!$B$5),"Yes","No")</f>
        <v>No</v>
      </c>
      <c r="S625" s="0" t="n">
        <v>0</v>
      </c>
      <c r="T625" s="0" t="str">
        <f aca="false">IF(S625&gt;0,"Yes","No")</f>
        <v>No</v>
      </c>
      <c r="U625" s="0" t="n">
        <v>0</v>
      </c>
      <c r="W625" s="0" t="str">
        <f aca="false">IF(OR(AND(M625=1,ISBLANK(V625)),AND(M625=0,NOT(ISBLANK(V625)))),"Yes","No")</f>
        <v>No</v>
      </c>
      <c r="X625" s="0" t="n">
        <v>75.8</v>
      </c>
      <c r="Y625" s="3" t="s">
        <v>30</v>
      </c>
      <c r="Z625" s="0" t="str">
        <f aca="false">IF(M625=1,P625,"")</f>
        <v/>
      </c>
    </row>
    <row r="626" customFormat="false" ht="15" hidden="false" customHeight="false" outlineLevel="0" collapsed="false">
      <c r="A626" s="0" t="s">
        <v>669</v>
      </c>
      <c r="B626" s="2" t="n">
        <v>45752</v>
      </c>
      <c r="C626" s="3" t="s">
        <v>27</v>
      </c>
      <c r="D626" s="3" t="s">
        <v>39</v>
      </c>
      <c r="E626" s="3" t="s">
        <v>35</v>
      </c>
      <c r="F626" s="3" t="s">
        <v>30</v>
      </c>
      <c r="G626" s="3" t="s">
        <v>31</v>
      </c>
      <c r="H626" s="3" t="s">
        <v>30</v>
      </c>
      <c r="I626" s="3" t="s">
        <v>37</v>
      </c>
      <c r="J626" s="0" t="n">
        <v>1</v>
      </c>
      <c r="K626" s="0" t="n">
        <v>1</v>
      </c>
      <c r="L626" s="0" t="n">
        <v>0</v>
      </c>
      <c r="M626" s="0" t="n">
        <v>0</v>
      </c>
      <c r="N626" s="0" t="str">
        <f aca="false">IF(OR(NOT(OR(J626=0,J626=1)),NOT(OR(K626=0,K626=1)),NOT(OR(L626=0,L626=1)),NOT(OR(M626=0,M626=1)),NOT(OR(U626=0,U626=1))),"Yes","No")</f>
        <v>No</v>
      </c>
      <c r="O626" s="0" t="str">
        <f aca="false">IF(OR(AND(M626=1,L626=0),AND(L626=1,K626=0),AND(K626=1,J626=0)),"Yes","No")</f>
        <v>No</v>
      </c>
      <c r="P626" s="0" t="n">
        <v>0</v>
      </c>
      <c r="Q626" s="0" t="str">
        <f aca="false">IF(OR(AND(M626=0,P626&gt;0),AND(M626=1,P626&lt;=0)),"Yes","No")</f>
        <v>No</v>
      </c>
      <c r="R626" s="0" t="str">
        <f aca="false">IF(AND(M626=1,P626&gt;calc_helpers!$B$5),"Yes","No")</f>
        <v>No</v>
      </c>
      <c r="S626" s="0" t="n">
        <v>0</v>
      </c>
      <c r="T626" s="0" t="str">
        <f aca="false">IF(S626&gt;0,"Yes","No")</f>
        <v>No</v>
      </c>
      <c r="U626" s="0" t="n">
        <v>0</v>
      </c>
      <c r="W626" s="0" t="str">
        <f aca="false">IF(OR(AND(M626=1,ISBLANK(V626)),AND(M626=0,NOT(ISBLANK(V626)))),"Yes","No")</f>
        <v>No</v>
      </c>
      <c r="X626" s="0" t="n">
        <v>72.8</v>
      </c>
      <c r="Y626" s="3" t="s">
        <v>30</v>
      </c>
      <c r="Z626" s="0" t="str">
        <f aca="false">IF(M626=1,P626,"")</f>
        <v/>
      </c>
    </row>
    <row r="627" customFormat="false" ht="15" hidden="false" customHeight="false" outlineLevel="0" collapsed="false">
      <c r="A627" s="0" t="s">
        <v>670</v>
      </c>
      <c r="B627" s="2" t="n">
        <v>45712</v>
      </c>
      <c r="C627" s="3" t="s">
        <v>27</v>
      </c>
      <c r="D627" s="3" t="s">
        <v>28</v>
      </c>
      <c r="E627" s="3" t="s">
        <v>29</v>
      </c>
      <c r="F627" s="3" t="s">
        <v>30</v>
      </c>
      <c r="G627" s="3" t="s">
        <v>52</v>
      </c>
      <c r="H627" s="3" t="s">
        <v>30</v>
      </c>
      <c r="I627" s="3" t="s">
        <v>37</v>
      </c>
      <c r="J627" s="0" t="n">
        <v>1</v>
      </c>
      <c r="K627" s="0" t="n">
        <v>1</v>
      </c>
      <c r="L627" s="0" t="n">
        <v>0</v>
      </c>
      <c r="M627" s="0" t="n">
        <v>0</v>
      </c>
      <c r="N627" s="0" t="str">
        <f aca="false">IF(OR(NOT(OR(J627=0,J627=1)),NOT(OR(K627=0,K627=1)),NOT(OR(L627=0,L627=1)),NOT(OR(M627=0,M627=1)),NOT(OR(U627=0,U627=1))),"Yes","No")</f>
        <v>No</v>
      </c>
      <c r="O627" s="0" t="str">
        <f aca="false">IF(OR(AND(M627=1,L627=0),AND(L627=1,K627=0),AND(K627=1,J627=0)),"Yes","No")</f>
        <v>No</v>
      </c>
      <c r="P627" s="0" t="n">
        <v>0</v>
      </c>
      <c r="Q627" s="0" t="str">
        <f aca="false">IF(OR(AND(M627=0,P627&gt;0),AND(M627=1,P627&lt;=0)),"Yes","No")</f>
        <v>No</v>
      </c>
      <c r="R627" s="0" t="str">
        <f aca="false">IF(AND(M627=1,P627&gt;calc_helpers!$B$5),"Yes","No")</f>
        <v>No</v>
      </c>
      <c r="S627" s="0" t="n">
        <v>0</v>
      </c>
      <c r="T627" s="0" t="str">
        <f aca="false">IF(S627&gt;0,"Yes","No")</f>
        <v>No</v>
      </c>
      <c r="U627" s="0" t="n">
        <v>0</v>
      </c>
      <c r="W627" s="0" t="str">
        <f aca="false">IF(OR(AND(M627=1,ISBLANK(V627)),AND(M627=0,NOT(ISBLANK(V627)))),"Yes","No")</f>
        <v>No</v>
      </c>
      <c r="X627" s="0" t="n">
        <v>54.4</v>
      </c>
      <c r="Y627" s="3" t="s">
        <v>30</v>
      </c>
      <c r="Z627" s="0" t="str">
        <f aca="false">IF(M627=1,P627,"")</f>
        <v/>
      </c>
    </row>
    <row r="628" customFormat="false" ht="15" hidden="false" customHeight="false" outlineLevel="0" collapsed="false">
      <c r="A628" s="0" t="s">
        <v>671</v>
      </c>
      <c r="B628" s="2" t="n">
        <v>45681</v>
      </c>
      <c r="C628" s="3" t="s">
        <v>27</v>
      </c>
      <c r="D628" s="3" t="s">
        <v>34</v>
      </c>
      <c r="E628" s="3" t="s">
        <v>35</v>
      </c>
      <c r="F628" s="3" t="s">
        <v>30</v>
      </c>
      <c r="G628" s="3" t="s">
        <v>40</v>
      </c>
      <c r="H628" s="3" t="s">
        <v>30</v>
      </c>
      <c r="I628" s="3" t="s">
        <v>32</v>
      </c>
      <c r="J628" s="0" t="n">
        <v>1</v>
      </c>
      <c r="K628" s="0" t="n">
        <v>0</v>
      </c>
      <c r="L628" s="0" t="n">
        <v>0</v>
      </c>
      <c r="M628" s="0" t="n">
        <v>0</v>
      </c>
      <c r="N628" s="0" t="str">
        <f aca="false">IF(OR(NOT(OR(J628=0,J628=1)),NOT(OR(K628=0,K628=1)),NOT(OR(L628=0,L628=1)),NOT(OR(M628=0,M628=1)),NOT(OR(U628=0,U628=1))),"Yes","No")</f>
        <v>No</v>
      </c>
      <c r="O628" s="0" t="str">
        <f aca="false">IF(OR(AND(M628=1,L628=0),AND(L628=1,K628=0),AND(K628=1,J628=0)),"Yes","No")</f>
        <v>No</v>
      </c>
      <c r="P628" s="0" t="n">
        <v>0</v>
      </c>
      <c r="Q628" s="0" t="str">
        <f aca="false">IF(OR(AND(M628=0,P628&gt;0),AND(M628=1,P628&lt;=0)),"Yes","No")</f>
        <v>No</v>
      </c>
      <c r="R628" s="0" t="str">
        <f aca="false">IF(AND(M628=1,P628&gt;calc_helpers!$B$5),"Yes","No")</f>
        <v>No</v>
      </c>
      <c r="S628" s="0" t="n">
        <v>0</v>
      </c>
      <c r="T628" s="0" t="str">
        <f aca="false">IF(S628&gt;0,"Yes","No")</f>
        <v>No</v>
      </c>
      <c r="U628" s="0" t="n">
        <v>0</v>
      </c>
      <c r="W628" s="0" t="str">
        <f aca="false">IF(OR(AND(M628=1,ISBLANK(V628)),AND(M628=0,NOT(ISBLANK(V628)))),"Yes","No")</f>
        <v>No</v>
      </c>
      <c r="X628" s="0" t="n">
        <v>51.8</v>
      </c>
      <c r="Y628" s="3" t="s">
        <v>30</v>
      </c>
      <c r="Z628" s="0" t="str">
        <f aca="false">IF(M628=1,P628,"")</f>
        <v/>
      </c>
    </row>
    <row r="629" customFormat="false" ht="15" hidden="false" customHeight="false" outlineLevel="0" collapsed="false">
      <c r="A629" s="0" t="s">
        <v>672</v>
      </c>
      <c r="B629" s="2" t="n">
        <v>45757</v>
      </c>
      <c r="C629" s="3" t="s">
        <v>27</v>
      </c>
      <c r="D629" s="3" t="s">
        <v>43</v>
      </c>
      <c r="E629" s="3" t="s">
        <v>35</v>
      </c>
      <c r="F629" s="3" t="s">
        <v>30</v>
      </c>
      <c r="G629" s="3" t="s">
        <v>40</v>
      </c>
      <c r="H629" s="3" t="s">
        <v>30</v>
      </c>
      <c r="I629" s="3" t="s">
        <v>37</v>
      </c>
      <c r="J629" s="0" t="n">
        <v>0</v>
      </c>
      <c r="K629" s="0" t="n">
        <v>0</v>
      </c>
      <c r="L629" s="0" t="n">
        <v>0</v>
      </c>
      <c r="M629" s="0" t="n">
        <v>0</v>
      </c>
      <c r="N629" s="0" t="str">
        <f aca="false">IF(OR(NOT(OR(J629=0,J629=1)),NOT(OR(K629=0,K629=1)),NOT(OR(L629=0,L629=1)),NOT(OR(M629=0,M629=1)),NOT(OR(U629=0,U629=1))),"Yes","No")</f>
        <v>No</v>
      </c>
      <c r="O629" s="0" t="str">
        <f aca="false">IF(OR(AND(M629=1,L629=0),AND(L629=1,K629=0),AND(K629=1,J629=0)),"Yes","No")</f>
        <v>No</v>
      </c>
      <c r="P629" s="0" t="n">
        <v>0</v>
      </c>
      <c r="Q629" s="0" t="str">
        <f aca="false">IF(OR(AND(M629=0,P629&gt;0),AND(M629=1,P629&lt;=0)),"Yes","No")</f>
        <v>No</v>
      </c>
      <c r="R629" s="0" t="str">
        <f aca="false">IF(AND(M629=1,P629&gt;calc_helpers!$B$5),"Yes","No")</f>
        <v>No</v>
      </c>
      <c r="S629" s="0" t="n">
        <v>0</v>
      </c>
      <c r="T629" s="0" t="str">
        <f aca="false">IF(S629&gt;0,"Yes","No")</f>
        <v>No</v>
      </c>
      <c r="U629" s="0" t="n">
        <v>0</v>
      </c>
      <c r="W629" s="0" t="str">
        <f aca="false">IF(OR(AND(M629=1,ISBLANK(V629)),AND(M629=0,NOT(ISBLANK(V629)))),"Yes","No")</f>
        <v>No</v>
      </c>
      <c r="X629" s="0" t="n">
        <v>40.3</v>
      </c>
      <c r="Y629" s="3" t="s">
        <v>30</v>
      </c>
      <c r="Z629" s="0" t="str">
        <f aca="false">IF(M629=1,P629,"")</f>
        <v/>
      </c>
    </row>
    <row r="630" customFormat="false" ht="15" hidden="false" customHeight="false" outlineLevel="0" collapsed="false">
      <c r="A630" s="0" t="s">
        <v>673</v>
      </c>
      <c r="B630" s="2" t="n">
        <v>45707</v>
      </c>
      <c r="C630" s="3" t="s">
        <v>27</v>
      </c>
      <c r="D630" s="3" t="s">
        <v>43</v>
      </c>
      <c r="E630" s="3" t="s">
        <v>35</v>
      </c>
      <c r="F630" s="3" t="s">
        <v>30</v>
      </c>
      <c r="G630" s="3" t="s">
        <v>50</v>
      </c>
      <c r="H630" s="3" t="s">
        <v>30</v>
      </c>
      <c r="I630" s="3" t="s">
        <v>37</v>
      </c>
      <c r="J630" s="0" t="n">
        <v>1</v>
      </c>
      <c r="K630" s="0" t="n">
        <v>1</v>
      </c>
      <c r="L630" s="0" t="n">
        <v>1</v>
      </c>
      <c r="M630" s="0" t="n">
        <v>0</v>
      </c>
      <c r="N630" s="0" t="str">
        <f aca="false">IF(OR(NOT(OR(J630=0,J630=1)),NOT(OR(K630=0,K630=1)),NOT(OR(L630=0,L630=1)),NOT(OR(M630=0,M630=1)),NOT(OR(U630=0,U630=1))),"Yes","No")</f>
        <v>No</v>
      </c>
      <c r="O630" s="0" t="str">
        <f aca="false">IF(OR(AND(M630=1,L630=0),AND(L630=1,K630=0),AND(K630=1,J630=0)),"Yes","No")</f>
        <v>No</v>
      </c>
      <c r="P630" s="0" t="n">
        <v>0</v>
      </c>
      <c r="Q630" s="0" t="str">
        <f aca="false">IF(OR(AND(M630=0,P630&gt;0),AND(M630=1,P630&lt;=0)),"Yes","No")</f>
        <v>No</v>
      </c>
      <c r="R630" s="0" t="str">
        <f aca="false">IF(AND(M630=1,P630&gt;calc_helpers!$B$5),"Yes","No")</f>
        <v>No</v>
      </c>
      <c r="S630" s="0" t="n">
        <v>0</v>
      </c>
      <c r="T630" s="0" t="str">
        <f aca="false">IF(S630&gt;0,"Yes","No")</f>
        <v>No</v>
      </c>
      <c r="U630" s="0" t="n">
        <v>0</v>
      </c>
      <c r="W630" s="0" t="str">
        <f aca="false">IF(OR(AND(M630=1,ISBLANK(V630)),AND(M630=0,NOT(ISBLANK(V630)))),"Yes","No")</f>
        <v>No</v>
      </c>
      <c r="X630" s="0" t="n">
        <v>61.7</v>
      </c>
      <c r="Y630" s="3" t="s">
        <v>30</v>
      </c>
      <c r="Z630" s="0" t="str">
        <f aca="false">IF(M630=1,P630,"")</f>
        <v/>
      </c>
    </row>
    <row r="631" customFormat="false" ht="15" hidden="false" customHeight="false" outlineLevel="0" collapsed="false">
      <c r="A631" s="0" t="s">
        <v>674</v>
      </c>
      <c r="B631" s="2" t="n">
        <v>45738</v>
      </c>
      <c r="C631" s="3" t="s">
        <v>27</v>
      </c>
      <c r="D631" s="3" t="s">
        <v>28</v>
      </c>
      <c r="E631" s="3" t="s">
        <v>35</v>
      </c>
      <c r="F631" s="3" t="s">
        <v>30</v>
      </c>
      <c r="G631" s="3" t="s">
        <v>52</v>
      </c>
      <c r="H631" s="3" t="s">
        <v>30</v>
      </c>
      <c r="I631" s="3" t="s">
        <v>37</v>
      </c>
      <c r="J631" s="0" t="n">
        <v>0</v>
      </c>
      <c r="K631" s="0" t="n">
        <v>0</v>
      </c>
      <c r="L631" s="0" t="n">
        <v>0</v>
      </c>
      <c r="M631" s="0" t="n">
        <v>0</v>
      </c>
      <c r="N631" s="0" t="str">
        <f aca="false">IF(OR(NOT(OR(J631=0,J631=1)),NOT(OR(K631=0,K631=1)),NOT(OR(L631=0,L631=1)),NOT(OR(M631=0,M631=1)),NOT(OR(U631=0,U631=1))),"Yes","No")</f>
        <v>No</v>
      </c>
      <c r="O631" s="0" t="str">
        <f aca="false">IF(OR(AND(M631=1,L631=0),AND(L631=1,K631=0),AND(K631=1,J631=0)),"Yes","No")</f>
        <v>No</v>
      </c>
      <c r="P631" s="0" t="n">
        <v>0</v>
      </c>
      <c r="Q631" s="0" t="str">
        <f aca="false">IF(OR(AND(M631=0,P631&gt;0),AND(M631=1,P631&lt;=0)),"Yes","No")</f>
        <v>No</v>
      </c>
      <c r="R631" s="0" t="str">
        <f aca="false">IF(AND(M631=1,P631&gt;calc_helpers!$B$5),"Yes","No")</f>
        <v>No</v>
      </c>
      <c r="S631" s="0" t="n">
        <v>0</v>
      </c>
      <c r="T631" s="0" t="str">
        <f aca="false">IF(S631&gt;0,"Yes","No")</f>
        <v>No</v>
      </c>
      <c r="U631" s="0" t="n">
        <v>0</v>
      </c>
      <c r="W631" s="0" t="str">
        <f aca="false">IF(OR(AND(M631=1,ISBLANK(V631)),AND(M631=0,NOT(ISBLANK(V631)))),"Yes","No")</f>
        <v>No</v>
      </c>
      <c r="X631" s="0" t="n">
        <v>45</v>
      </c>
      <c r="Y631" s="3" t="s">
        <v>30</v>
      </c>
      <c r="Z631" s="0" t="str">
        <f aca="false">IF(M631=1,P631,"")</f>
        <v/>
      </c>
    </row>
    <row r="632" customFormat="false" ht="15" hidden="false" customHeight="false" outlineLevel="0" collapsed="false">
      <c r="A632" s="0" t="s">
        <v>675</v>
      </c>
      <c r="B632" s="2" t="n">
        <v>45755</v>
      </c>
      <c r="C632" s="3" t="s">
        <v>27</v>
      </c>
      <c r="D632" s="3" t="s">
        <v>39</v>
      </c>
      <c r="E632" s="3" t="s">
        <v>29</v>
      </c>
      <c r="F632" s="3" t="s">
        <v>30</v>
      </c>
      <c r="G632" s="3" t="s">
        <v>36</v>
      </c>
      <c r="H632" s="3" t="s">
        <v>30</v>
      </c>
      <c r="I632" s="3" t="s">
        <v>41</v>
      </c>
      <c r="J632" s="0" t="n">
        <v>1</v>
      </c>
      <c r="K632" s="0" t="n">
        <v>1</v>
      </c>
      <c r="L632" s="0" t="n">
        <v>1</v>
      </c>
      <c r="M632" s="0" t="n">
        <v>0</v>
      </c>
      <c r="N632" s="0" t="str">
        <f aca="false">IF(OR(NOT(OR(J632=0,J632=1)),NOT(OR(K632=0,K632=1)),NOT(OR(L632=0,L632=1)),NOT(OR(M632=0,M632=1)),NOT(OR(U632=0,U632=1))),"Yes","No")</f>
        <v>No</v>
      </c>
      <c r="O632" s="0" t="str">
        <f aca="false">IF(OR(AND(M632=1,L632=0),AND(L632=1,K632=0),AND(K632=1,J632=0)),"Yes","No")</f>
        <v>No</v>
      </c>
      <c r="P632" s="0" t="n">
        <v>0</v>
      </c>
      <c r="Q632" s="0" t="str">
        <f aca="false">IF(OR(AND(M632=0,P632&gt;0),AND(M632=1,P632&lt;=0)),"Yes","No")</f>
        <v>No</v>
      </c>
      <c r="R632" s="0" t="str">
        <f aca="false">IF(AND(M632=1,P632&gt;calc_helpers!$B$5),"Yes","No")</f>
        <v>No</v>
      </c>
      <c r="S632" s="0" t="n">
        <v>0</v>
      </c>
      <c r="T632" s="0" t="str">
        <f aca="false">IF(S632&gt;0,"Yes","No")</f>
        <v>No</v>
      </c>
      <c r="U632" s="0" t="n">
        <v>0</v>
      </c>
      <c r="W632" s="0" t="str">
        <f aca="false">IF(OR(AND(M632=1,ISBLANK(V632)),AND(M632=0,NOT(ISBLANK(V632)))),"Yes","No")</f>
        <v>No</v>
      </c>
      <c r="X632" s="0" t="n">
        <v>60</v>
      </c>
      <c r="Y632" s="3" t="s">
        <v>30</v>
      </c>
      <c r="Z632" s="0" t="str">
        <f aca="false">IF(M632=1,P632,"")</f>
        <v/>
      </c>
    </row>
    <row r="633" customFormat="false" ht="15" hidden="false" customHeight="false" outlineLevel="0" collapsed="false">
      <c r="A633" s="0" t="s">
        <v>676</v>
      </c>
      <c r="B633" s="2" t="n">
        <v>45732</v>
      </c>
      <c r="C633" s="3" t="s">
        <v>27</v>
      </c>
      <c r="D633" s="3" t="s">
        <v>28</v>
      </c>
      <c r="E633" s="3" t="s">
        <v>35</v>
      </c>
      <c r="F633" s="3" t="s">
        <v>30</v>
      </c>
      <c r="G633" s="3" t="s">
        <v>52</v>
      </c>
      <c r="H633" s="3" t="s">
        <v>30</v>
      </c>
      <c r="I633" s="3" t="s">
        <v>37</v>
      </c>
      <c r="J633" s="0" t="n">
        <v>1</v>
      </c>
      <c r="K633" s="0" t="n">
        <v>0</v>
      </c>
      <c r="L633" s="0" t="n">
        <v>0</v>
      </c>
      <c r="M633" s="0" t="n">
        <v>0</v>
      </c>
      <c r="N633" s="0" t="str">
        <f aca="false">IF(OR(NOT(OR(J633=0,J633=1)),NOT(OR(K633=0,K633=1)),NOT(OR(L633=0,L633=1)),NOT(OR(M633=0,M633=1)),NOT(OR(U633=0,U633=1))),"Yes","No")</f>
        <v>No</v>
      </c>
      <c r="O633" s="0" t="str">
        <f aca="false">IF(OR(AND(M633=1,L633=0),AND(L633=1,K633=0),AND(K633=1,J633=0)),"Yes","No")</f>
        <v>No</v>
      </c>
      <c r="P633" s="0" t="n">
        <v>0</v>
      </c>
      <c r="Q633" s="0" t="str">
        <f aca="false">IF(OR(AND(M633=0,P633&gt;0),AND(M633=1,P633&lt;=0)),"Yes","No")</f>
        <v>No</v>
      </c>
      <c r="R633" s="0" t="str">
        <f aca="false">IF(AND(M633=1,P633&gt;calc_helpers!$B$5),"Yes","No")</f>
        <v>No</v>
      </c>
      <c r="S633" s="0" t="n">
        <v>0</v>
      </c>
      <c r="T633" s="0" t="str">
        <f aca="false">IF(S633&gt;0,"Yes","No")</f>
        <v>No</v>
      </c>
      <c r="U633" s="0" t="n">
        <v>0</v>
      </c>
      <c r="W633" s="0" t="str">
        <f aca="false">IF(OR(AND(M633=1,ISBLANK(V633)),AND(M633=0,NOT(ISBLANK(V633)))),"Yes","No")</f>
        <v>No</v>
      </c>
      <c r="Y633" s="3" t="s">
        <v>168</v>
      </c>
      <c r="Z633" s="0" t="str">
        <f aca="false">IF(M633=1,P633,"")</f>
        <v/>
      </c>
    </row>
    <row r="634" customFormat="false" ht="15" hidden="false" customHeight="false" outlineLevel="0" collapsed="false">
      <c r="A634" s="0" t="s">
        <v>677</v>
      </c>
      <c r="B634" s="2" t="n">
        <v>45723</v>
      </c>
      <c r="C634" s="3" t="s">
        <v>27</v>
      </c>
      <c r="D634" s="3" t="s">
        <v>39</v>
      </c>
      <c r="E634" s="3" t="s">
        <v>35</v>
      </c>
      <c r="F634" s="3" t="s">
        <v>30</v>
      </c>
      <c r="G634" s="3" t="s">
        <v>40</v>
      </c>
      <c r="H634" s="3" t="s">
        <v>30</v>
      </c>
      <c r="I634" s="3" t="s">
        <v>37</v>
      </c>
      <c r="J634" s="0" t="n">
        <v>1</v>
      </c>
      <c r="K634" s="0" t="n">
        <v>0</v>
      </c>
      <c r="L634" s="0" t="n">
        <v>0</v>
      </c>
      <c r="M634" s="0" t="n">
        <v>0</v>
      </c>
      <c r="N634" s="0" t="str">
        <f aca="false">IF(OR(NOT(OR(J634=0,J634=1)),NOT(OR(K634=0,K634=1)),NOT(OR(L634=0,L634=1)),NOT(OR(M634=0,M634=1)),NOT(OR(U634=0,U634=1))),"Yes","No")</f>
        <v>No</v>
      </c>
      <c r="O634" s="0" t="str">
        <f aca="false">IF(OR(AND(M634=1,L634=0),AND(L634=1,K634=0),AND(K634=1,J634=0)),"Yes","No")</f>
        <v>No</v>
      </c>
      <c r="P634" s="0" t="n">
        <v>0</v>
      </c>
      <c r="Q634" s="0" t="str">
        <f aca="false">IF(OR(AND(M634=0,P634&gt;0),AND(M634=1,P634&lt;=0)),"Yes","No")</f>
        <v>No</v>
      </c>
      <c r="R634" s="0" t="str">
        <f aca="false">IF(AND(M634=1,P634&gt;calc_helpers!$B$5),"Yes","No")</f>
        <v>No</v>
      </c>
      <c r="S634" s="0" t="n">
        <v>0</v>
      </c>
      <c r="T634" s="0" t="str">
        <f aca="false">IF(S634&gt;0,"Yes","No")</f>
        <v>No</v>
      </c>
      <c r="U634" s="0" t="n">
        <v>0</v>
      </c>
      <c r="W634" s="0" t="str">
        <f aca="false">IF(OR(AND(M634=1,ISBLANK(V634)),AND(M634=0,NOT(ISBLANK(V634)))),"Yes","No")</f>
        <v>No</v>
      </c>
      <c r="X634" s="0" t="n">
        <v>55.5</v>
      </c>
      <c r="Y634" s="3" t="s">
        <v>30</v>
      </c>
      <c r="Z634" s="0" t="str">
        <f aca="false">IF(M634=1,P634,"")</f>
        <v/>
      </c>
    </row>
    <row r="635" customFormat="false" ht="15" hidden="false" customHeight="false" outlineLevel="0" collapsed="false">
      <c r="A635" s="0" t="s">
        <v>678</v>
      </c>
      <c r="B635" s="2" t="n">
        <v>45732</v>
      </c>
      <c r="C635" s="3" t="s">
        <v>27</v>
      </c>
      <c r="D635" s="3" t="s">
        <v>43</v>
      </c>
      <c r="E635" s="3" t="s">
        <v>35</v>
      </c>
      <c r="F635" s="3" t="s">
        <v>30</v>
      </c>
      <c r="G635" s="3" t="s">
        <v>50</v>
      </c>
      <c r="H635" s="3" t="s">
        <v>30</v>
      </c>
      <c r="I635" s="3" t="s">
        <v>32</v>
      </c>
      <c r="J635" s="0" t="n">
        <v>0</v>
      </c>
      <c r="K635" s="0" t="n">
        <v>0</v>
      </c>
      <c r="L635" s="0" t="n">
        <v>0</v>
      </c>
      <c r="M635" s="0" t="n">
        <v>0</v>
      </c>
      <c r="N635" s="0" t="str">
        <f aca="false">IF(OR(NOT(OR(J635=0,J635=1)),NOT(OR(K635=0,K635=1)),NOT(OR(L635=0,L635=1)),NOT(OR(M635=0,M635=1)),NOT(OR(U635=0,U635=1))),"Yes","No")</f>
        <v>No</v>
      </c>
      <c r="O635" s="0" t="str">
        <f aca="false">IF(OR(AND(M635=1,L635=0),AND(L635=1,K635=0),AND(K635=1,J635=0)),"Yes","No")</f>
        <v>No</v>
      </c>
      <c r="P635" s="0" t="n">
        <v>0</v>
      </c>
      <c r="Q635" s="0" t="str">
        <f aca="false">IF(OR(AND(M635=0,P635&gt;0),AND(M635=1,P635&lt;=0)),"Yes","No")</f>
        <v>No</v>
      </c>
      <c r="R635" s="0" t="str">
        <f aca="false">IF(AND(M635=1,P635&gt;calc_helpers!$B$5),"Yes","No")</f>
        <v>No</v>
      </c>
      <c r="S635" s="0" t="n">
        <v>0</v>
      </c>
      <c r="T635" s="0" t="str">
        <f aca="false">IF(S635&gt;0,"Yes","No")</f>
        <v>No</v>
      </c>
      <c r="U635" s="0" t="n">
        <v>0</v>
      </c>
      <c r="W635" s="0" t="str">
        <f aca="false">IF(OR(AND(M635=1,ISBLANK(V635)),AND(M635=0,NOT(ISBLANK(V635)))),"Yes","No")</f>
        <v>No</v>
      </c>
      <c r="X635" s="0" t="n">
        <v>51.8</v>
      </c>
      <c r="Y635" s="3" t="s">
        <v>30</v>
      </c>
      <c r="Z635" s="0" t="str">
        <f aca="false">IF(M635=1,P635,"")</f>
        <v/>
      </c>
    </row>
    <row r="636" customFormat="false" ht="15" hidden="false" customHeight="false" outlineLevel="0" collapsed="false">
      <c r="A636" s="0" t="s">
        <v>679</v>
      </c>
      <c r="B636" s="2" t="n">
        <v>45803</v>
      </c>
      <c r="C636" s="3" t="s">
        <v>27</v>
      </c>
      <c r="D636" s="3" t="s">
        <v>39</v>
      </c>
      <c r="E636" s="3" t="s">
        <v>35</v>
      </c>
      <c r="F636" s="3" t="s">
        <v>30</v>
      </c>
      <c r="G636" s="3" t="s">
        <v>167</v>
      </c>
      <c r="H636" s="3" t="s">
        <v>168</v>
      </c>
      <c r="I636" s="3" t="s">
        <v>41</v>
      </c>
      <c r="J636" s="0" t="n">
        <v>1</v>
      </c>
      <c r="K636" s="0" t="n">
        <v>0</v>
      </c>
      <c r="L636" s="0" t="n">
        <v>0</v>
      </c>
      <c r="M636" s="0" t="n">
        <v>0</v>
      </c>
      <c r="N636" s="0" t="str">
        <f aca="false">IF(OR(NOT(OR(J636=0,J636=1)),NOT(OR(K636=0,K636=1)),NOT(OR(L636=0,L636=1)),NOT(OR(M636=0,M636=1)),NOT(OR(U636=0,U636=1))),"Yes","No")</f>
        <v>No</v>
      </c>
      <c r="O636" s="0" t="str">
        <f aca="false">IF(OR(AND(M636=1,L636=0),AND(L636=1,K636=0),AND(K636=1,J636=0)),"Yes","No")</f>
        <v>No</v>
      </c>
      <c r="P636" s="0" t="n">
        <v>0</v>
      </c>
      <c r="Q636" s="0" t="str">
        <f aca="false">IF(OR(AND(M636=0,P636&gt;0),AND(M636=1,P636&lt;=0)),"Yes","No")</f>
        <v>No</v>
      </c>
      <c r="R636" s="0" t="str">
        <f aca="false">IF(AND(M636=1,P636&gt;calc_helpers!$B$5),"Yes","No")</f>
        <v>No</v>
      </c>
      <c r="S636" s="0" t="n">
        <v>3</v>
      </c>
      <c r="T636" s="0" t="str">
        <f aca="false">IF(S636&gt;0,"Yes","No")</f>
        <v>Yes</v>
      </c>
      <c r="U636" s="0" t="n">
        <v>0</v>
      </c>
      <c r="W636" s="0" t="str">
        <f aca="false">IF(OR(AND(M636=1,ISBLANK(V636)),AND(M636=0,NOT(ISBLANK(V636)))),"Yes","No")</f>
        <v>No</v>
      </c>
      <c r="X636" s="0" t="n">
        <v>56</v>
      </c>
      <c r="Y636" s="3" t="s">
        <v>30</v>
      </c>
      <c r="Z636" s="0" t="str">
        <f aca="false">IF(M636=1,P636,"")</f>
        <v/>
      </c>
    </row>
    <row r="637" customFormat="false" ht="15" hidden="false" customHeight="false" outlineLevel="0" collapsed="false">
      <c r="A637" s="0" t="s">
        <v>680</v>
      </c>
      <c r="B637" s="2" t="n">
        <v>45671</v>
      </c>
      <c r="C637" s="3" t="s">
        <v>27</v>
      </c>
      <c r="D637" s="3" t="s">
        <v>34</v>
      </c>
      <c r="E637" s="3" t="s">
        <v>35</v>
      </c>
      <c r="F637" s="3" t="s">
        <v>30</v>
      </c>
      <c r="G637" s="3" t="s">
        <v>36</v>
      </c>
      <c r="H637" s="3" t="s">
        <v>30</v>
      </c>
      <c r="I637" s="3" t="s">
        <v>37</v>
      </c>
      <c r="J637" s="0" t="n">
        <v>0</v>
      </c>
      <c r="K637" s="0" t="n">
        <v>0</v>
      </c>
      <c r="L637" s="0" t="n">
        <v>0</v>
      </c>
      <c r="M637" s="0" t="n">
        <v>0</v>
      </c>
      <c r="N637" s="0" t="str">
        <f aca="false">IF(OR(NOT(OR(J637=0,J637=1)),NOT(OR(K637=0,K637=1)),NOT(OR(L637=0,L637=1)),NOT(OR(M637=0,M637=1)),NOT(OR(U637=0,U637=1))),"Yes","No")</f>
        <v>No</v>
      </c>
      <c r="O637" s="0" t="str">
        <f aca="false">IF(OR(AND(M637=1,L637=0),AND(L637=1,K637=0),AND(K637=1,J637=0)),"Yes","No")</f>
        <v>No</v>
      </c>
      <c r="P637" s="0" t="n">
        <v>0</v>
      </c>
      <c r="Q637" s="0" t="str">
        <f aca="false">IF(OR(AND(M637=0,P637&gt;0),AND(M637=1,P637&lt;=0)),"Yes","No")</f>
        <v>No</v>
      </c>
      <c r="R637" s="0" t="str">
        <f aca="false">IF(AND(M637=1,P637&gt;calc_helpers!$B$5),"Yes","No")</f>
        <v>No</v>
      </c>
      <c r="S637" s="0" t="n">
        <v>0</v>
      </c>
      <c r="T637" s="0" t="str">
        <f aca="false">IF(S637&gt;0,"Yes","No")</f>
        <v>No</v>
      </c>
      <c r="U637" s="0" t="n">
        <v>0</v>
      </c>
      <c r="W637" s="0" t="str">
        <f aca="false">IF(OR(AND(M637=1,ISBLANK(V637)),AND(M637=0,NOT(ISBLANK(V637)))),"Yes","No")</f>
        <v>No</v>
      </c>
      <c r="X637" s="0" t="n">
        <v>52.5</v>
      </c>
      <c r="Y637" s="3" t="s">
        <v>30</v>
      </c>
      <c r="Z637" s="0" t="str">
        <f aca="false">IF(M637=1,P637,"")</f>
        <v/>
      </c>
    </row>
    <row r="638" customFormat="false" ht="15" hidden="false" customHeight="false" outlineLevel="0" collapsed="false">
      <c r="A638" s="0" t="s">
        <v>681</v>
      </c>
      <c r="B638" s="2" t="n">
        <v>45746</v>
      </c>
      <c r="C638" s="3" t="s">
        <v>27</v>
      </c>
      <c r="D638" s="3" t="s">
        <v>34</v>
      </c>
      <c r="E638" s="3" t="s">
        <v>35</v>
      </c>
      <c r="F638" s="3" t="s">
        <v>30</v>
      </c>
      <c r="G638" s="3" t="s">
        <v>40</v>
      </c>
      <c r="H638" s="3" t="s">
        <v>30</v>
      </c>
      <c r="I638" s="3" t="s">
        <v>41</v>
      </c>
      <c r="J638" s="0" t="n">
        <v>1</v>
      </c>
      <c r="K638" s="0" t="n">
        <v>0</v>
      </c>
      <c r="L638" s="0" t="n">
        <v>0</v>
      </c>
      <c r="M638" s="0" t="n">
        <v>0</v>
      </c>
      <c r="N638" s="0" t="str">
        <f aca="false">IF(OR(NOT(OR(J638=0,J638=1)),NOT(OR(K638=0,K638=1)),NOT(OR(L638=0,L638=1)),NOT(OR(M638=0,M638=1)),NOT(OR(U638=0,U638=1))),"Yes","No")</f>
        <v>No</v>
      </c>
      <c r="O638" s="0" t="str">
        <f aca="false">IF(OR(AND(M638=1,L638=0),AND(L638=1,K638=0),AND(K638=1,J638=0)),"Yes","No")</f>
        <v>No</v>
      </c>
      <c r="P638" s="0" t="n">
        <v>0</v>
      </c>
      <c r="Q638" s="0" t="str">
        <f aca="false">IF(OR(AND(M638=0,P638&gt;0),AND(M638=1,P638&lt;=0)),"Yes","No")</f>
        <v>No</v>
      </c>
      <c r="R638" s="0" t="str">
        <f aca="false">IF(AND(M638=1,P638&gt;calc_helpers!$B$5),"Yes","No")</f>
        <v>No</v>
      </c>
      <c r="S638" s="0" t="n">
        <v>0</v>
      </c>
      <c r="T638" s="0" t="str">
        <f aca="false">IF(S638&gt;0,"Yes","No")</f>
        <v>No</v>
      </c>
      <c r="U638" s="0" t="n">
        <v>0</v>
      </c>
      <c r="W638" s="0" t="str">
        <f aca="false">IF(OR(AND(M638=1,ISBLANK(V638)),AND(M638=0,NOT(ISBLANK(V638)))),"Yes","No")</f>
        <v>No</v>
      </c>
      <c r="X638" s="0" t="n">
        <v>42.5</v>
      </c>
      <c r="Y638" s="3" t="s">
        <v>30</v>
      </c>
      <c r="Z638" s="0" t="str">
        <f aca="false">IF(M638=1,P638,"")</f>
        <v/>
      </c>
    </row>
    <row r="639" customFormat="false" ht="15" hidden="false" customHeight="false" outlineLevel="0" collapsed="false">
      <c r="A639" s="0" t="s">
        <v>682</v>
      </c>
      <c r="B639" s="2" t="n">
        <v>45789</v>
      </c>
      <c r="C639" s="3" t="s">
        <v>27</v>
      </c>
      <c r="D639" s="3" t="s">
        <v>39</v>
      </c>
      <c r="E639" s="3" t="s">
        <v>29</v>
      </c>
      <c r="F639" s="3" t="s">
        <v>30</v>
      </c>
      <c r="G639" s="3" t="s">
        <v>31</v>
      </c>
      <c r="H639" s="3" t="s">
        <v>30</v>
      </c>
      <c r="I639" s="3" t="s">
        <v>37</v>
      </c>
      <c r="J639" s="0" t="n">
        <v>1</v>
      </c>
      <c r="K639" s="0" t="n">
        <v>1</v>
      </c>
      <c r="L639" s="0" t="n">
        <v>1</v>
      </c>
      <c r="M639" s="0" t="n">
        <v>0</v>
      </c>
      <c r="N639" s="0" t="str">
        <f aca="false">IF(OR(NOT(OR(J639=0,J639=1)),NOT(OR(K639=0,K639=1)),NOT(OR(L639=0,L639=1)),NOT(OR(M639=0,M639=1)),NOT(OR(U639=0,U639=1))),"Yes","No")</f>
        <v>No</v>
      </c>
      <c r="O639" s="0" t="str">
        <f aca="false">IF(OR(AND(M639=1,L639=0),AND(L639=1,K639=0),AND(K639=1,J639=0)),"Yes","No")</f>
        <v>No</v>
      </c>
      <c r="P639" s="0" t="n">
        <v>0</v>
      </c>
      <c r="Q639" s="0" t="str">
        <f aca="false">IF(OR(AND(M639=0,P639&gt;0),AND(M639=1,P639&lt;=0)),"Yes","No")</f>
        <v>No</v>
      </c>
      <c r="R639" s="0" t="str">
        <f aca="false">IF(AND(M639=1,P639&gt;calc_helpers!$B$5),"Yes","No")</f>
        <v>No</v>
      </c>
      <c r="S639" s="0" t="n">
        <v>0</v>
      </c>
      <c r="T639" s="0" t="str">
        <f aca="false">IF(S639&gt;0,"Yes","No")</f>
        <v>No</v>
      </c>
      <c r="U639" s="0" t="n">
        <v>0</v>
      </c>
      <c r="W639" s="0" t="str">
        <f aca="false">IF(OR(AND(M639=1,ISBLANK(V639)),AND(M639=0,NOT(ISBLANK(V639)))),"Yes","No")</f>
        <v>No</v>
      </c>
      <c r="X639" s="0" t="n">
        <v>65.3</v>
      </c>
      <c r="Y639" s="3" t="s">
        <v>30</v>
      </c>
      <c r="Z639" s="0" t="str">
        <f aca="false">IF(M639=1,P639,"")</f>
        <v/>
      </c>
    </row>
    <row r="640" customFormat="false" ht="15" hidden="false" customHeight="false" outlineLevel="0" collapsed="false">
      <c r="A640" s="0" t="s">
        <v>683</v>
      </c>
      <c r="B640" s="2" t="n">
        <v>45787</v>
      </c>
      <c r="C640" s="3" t="s">
        <v>27</v>
      </c>
      <c r="D640" s="3" t="s">
        <v>34</v>
      </c>
      <c r="E640" s="3" t="s">
        <v>35</v>
      </c>
      <c r="F640" s="3" t="s">
        <v>30</v>
      </c>
      <c r="G640" s="3" t="s">
        <v>40</v>
      </c>
      <c r="H640" s="3" t="s">
        <v>30</v>
      </c>
      <c r="I640" s="3" t="s">
        <v>37</v>
      </c>
      <c r="J640" s="0" t="n">
        <v>0</v>
      </c>
      <c r="K640" s="0" t="n">
        <v>0</v>
      </c>
      <c r="L640" s="0" t="n">
        <v>0</v>
      </c>
      <c r="M640" s="0" t="n">
        <v>0</v>
      </c>
      <c r="N640" s="0" t="str">
        <f aca="false">IF(OR(NOT(OR(J640=0,J640=1)),NOT(OR(K640=0,K640=1)),NOT(OR(L640=0,L640=1)),NOT(OR(M640=0,M640=1)),NOT(OR(U640=0,U640=1))),"Yes","No")</f>
        <v>No</v>
      </c>
      <c r="O640" s="0" t="str">
        <f aca="false">IF(OR(AND(M640=1,L640=0),AND(L640=1,K640=0),AND(K640=1,J640=0)),"Yes","No")</f>
        <v>No</v>
      </c>
      <c r="P640" s="0" t="n">
        <v>0</v>
      </c>
      <c r="Q640" s="0" t="str">
        <f aca="false">IF(OR(AND(M640=0,P640&gt;0),AND(M640=1,P640&lt;=0)),"Yes","No")</f>
        <v>No</v>
      </c>
      <c r="R640" s="0" t="str">
        <f aca="false">IF(AND(M640=1,P640&gt;calc_helpers!$B$5),"Yes","No")</f>
        <v>No</v>
      </c>
      <c r="S640" s="0" t="n">
        <v>0</v>
      </c>
      <c r="T640" s="0" t="str">
        <f aca="false">IF(S640&gt;0,"Yes","No")</f>
        <v>No</v>
      </c>
      <c r="U640" s="0" t="n">
        <v>0</v>
      </c>
      <c r="W640" s="0" t="str">
        <f aca="false">IF(OR(AND(M640=1,ISBLANK(V640)),AND(M640=0,NOT(ISBLANK(V640)))),"Yes","No")</f>
        <v>No</v>
      </c>
      <c r="X640" s="0" t="n">
        <v>37.6</v>
      </c>
      <c r="Y640" s="3" t="s">
        <v>30</v>
      </c>
      <c r="Z640" s="0" t="str">
        <f aca="false">IF(M640=1,P640,"")</f>
        <v/>
      </c>
    </row>
    <row r="641" customFormat="false" ht="15" hidden="false" customHeight="false" outlineLevel="0" collapsed="false">
      <c r="A641" s="0" t="s">
        <v>684</v>
      </c>
      <c r="B641" s="2" t="n">
        <v>45756</v>
      </c>
      <c r="C641" s="3" t="s">
        <v>27</v>
      </c>
      <c r="D641" s="3" t="s">
        <v>39</v>
      </c>
      <c r="E641" s="3" t="s">
        <v>35</v>
      </c>
      <c r="F641" s="3" t="s">
        <v>30</v>
      </c>
      <c r="G641" s="3" t="s">
        <v>52</v>
      </c>
      <c r="H641" s="3" t="s">
        <v>30</v>
      </c>
      <c r="I641" s="3" t="s">
        <v>32</v>
      </c>
      <c r="J641" s="0" t="n">
        <v>0</v>
      </c>
      <c r="K641" s="0" t="n">
        <v>0</v>
      </c>
      <c r="L641" s="0" t="n">
        <v>0</v>
      </c>
      <c r="M641" s="0" t="n">
        <v>0</v>
      </c>
      <c r="N641" s="0" t="str">
        <f aca="false">IF(OR(NOT(OR(J641=0,J641=1)),NOT(OR(K641=0,K641=1)),NOT(OR(L641=0,L641=1)),NOT(OR(M641=0,M641=1)),NOT(OR(U641=0,U641=1))),"Yes","No")</f>
        <v>No</v>
      </c>
      <c r="O641" s="0" t="str">
        <f aca="false">IF(OR(AND(M641=1,L641=0),AND(L641=1,K641=0),AND(K641=1,J641=0)),"Yes","No")</f>
        <v>No</v>
      </c>
      <c r="P641" s="0" t="n">
        <v>0</v>
      </c>
      <c r="Q641" s="0" t="str">
        <f aca="false">IF(OR(AND(M641=0,P641&gt;0),AND(M641=1,P641&lt;=0)),"Yes","No")</f>
        <v>No</v>
      </c>
      <c r="R641" s="0" t="str">
        <f aca="false">IF(AND(M641=1,P641&gt;calc_helpers!$B$5),"Yes","No")</f>
        <v>No</v>
      </c>
      <c r="S641" s="0" t="n">
        <v>0</v>
      </c>
      <c r="T641" s="0" t="str">
        <f aca="false">IF(S641&gt;0,"Yes","No")</f>
        <v>No</v>
      </c>
      <c r="U641" s="0" t="n">
        <v>0</v>
      </c>
      <c r="W641" s="0" t="str">
        <f aca="false">IF(OR(AND(M641=1,ISBLANK(V641)),AND(M641=0,NOT(ISBLANK(V641)))),"Yes","No")</f>
        <v>No</v>
      </c>
      <c r="X641" s="0" t="n">
        <v>57.8</v>
      </c>
      <c r="Y641" s="3" t="s">
        <v>30</v>
      </c>
      <c r="Z641" s="0" t="str">
        <f aca="false">IF(M641=1,P641,"")</f>
        <v/>
      </c>
    </row>
    <row r="642" customFormat="false" ht="15" hidden="false" customHeight="false" outlineLevel="0" collapsed="false">
      <c r="A642" s="0" t="s">
        <v>685</v>
      </c>
      <c r="B642" s="2" t="n">
        <v>45803</v>
      </c>
      <c r="C642" s="3" t="s">
        <v>27</v>
      </c>
      <c r="D642" s="3" t="s">
        <v>28</v>
      </c>
      <c r="E642" s="3" t="s">
        <v>35</v>
      </c>
      <c r="F642" s="3" t="s">
        <v>30</v>
      </c>
      <c r="G642" s="3" t="s">
        <v>52</v>
      </c>
      <c r="H642" s="3" t="s">
        <v>30</v>
      </c>
      <c r="I642" s="3" t="s">
        <v>37</v>
      </c>
      <c r="J642" s="0" t="n">
        <v>1</v>
      </c>
      <c r="K642" s="0" t="n">
        <v>0</v>
      </c>
      <c r="L642" s="0" t="n">
        <v>0</v>
      </c>
      <c r="M642" s="0" t="n">
        <v>0</v>
      </c>
      <c r="N642" s="0" t="str">
        <f aca="false">IF(OR(NOT(OR(J642=0,J642=1)),NOT(OR(K642=0,K642=1)),NOT(OR(L642=0,L642=1)),NOT(OR(M642=0,M642=1)),NOT(OR(U642=0,U642=1))),"Yes","No")</f>
        <v>No</v>
      </c>
      <c r="O642" s="0" t="str">
        <f aca="false">IF(OR(AND(M642=1,L642=0),AND(L642=1,K642=0),AND(K642=1,J642=0)),"Yes","No")</f>
        <v>No</v>
      </c>
      <c r="P642" s="0" t="n">
        <v>0</v>
      </c>
      <c r="Q642" s="0" t="str">
        <f aca="false">IF(OR(AND(M642=0,P642&gt;0),AND(M642=1,P642&lt;=0)),"Yes","No")</f>
        <v>No</v>
      </c>
      <c r="R642" s="0" t="str">
        <f aca="false">IF(AND(M642=1,P642&gt;calc_helpers!$B$5),"Yes","No")</f>
        <v>No</v>
      </c>
      <c r="S642" s="0" t="n">
        <v>0</v>
      </c>
      <c r="T642" s="0" t="str">
        <f aca="false">IF(S642&gt;0,"Yes","No")</f>
        <v>No</v>
      </c>
      <c r="U642" s="0" t="n">
        <v>0</v>
      </c>
      <c r="W642" s="0" t="str">
        <f aca="false">IF(OR(AND(M642=1,ISBLANK(V642)),AND(M642=0,NOT(ISBLANK(V642)))),"Yes","No")</f>
        <v>No</v>
      </c>
      <c r="X642" s="0" t="n">
        <v>52.7</v>
      </c>
      <c r="Y642" s="3" t="s">
        <v>30</v>
      </c>
      <c r="Z642" s="0" t="str">
        <f aca="false">IF(M642=1,P642,"")</f>
        <v/>
      </c>
    </row>
    <row r="643" customFormat="false" ht="15" hidden="false" customHeight="false" outlineLevel="0" collapsed="false">
      <c r="A643" s="0" t="s">
        <v>686</v>
      </c>
      <c r="B643" s="2" t="n">
        <v>45700</v>
      </c>
      <c r="C643" s="3" t="s">
        <v>27</v>
      </c>
      <c r="D643" s="3" t="s">
        <v>28</v>
      </c>
      <c r="E643" s="3" t="s">
        <v>35</v>
      </c>
      <c r="F643" s="3" t="s">
        <v>30</v>
      </c>
      <c r="G643" s="3" t="s">
        <v>36</v>
      </c>
      <c r="H643" s="3" t="s">
        <v>30</v>
      </c>
      <c r="I643" s="3" t="s">
        <v>37</v>
      </c>
      <c r="J643" s="0" t="n">
        <v>1</v>
      </c>
      <c r="K643" s="0" t="n">
        <v>0</v>
      </c>
      <c r="L643" s="0" t="n">
        <v>0</v>
      </c>
      <c r="M643" s="0" t="n">
        <v>0</v>
      </c>
      <c r="N643" s="0" t="str">
        <f aca="false">IF(OR(NOT(OR(J643=0,J643=1)),NOT(OR(K643=0,K643=1)),NOT(OR(L643=0,L643=1)),NOT(OR(M643=0,M643=1)),NOT(OR(U643=0,U643=1))),"Yes","No")</f>
        <v>No</v>
      </c>
      <c r="O643" s="0" t="str">
        <f aca="false">IF(OR(AND(M643=1,L643=0),AND(L643=1,K643=0),AND(K643=1,J643=0)),"Yes","No")</f>
        <v>No</v>
      </c>
      <c r="P643" s="0" t="n">
        <v>0</v>
      </c>
      <c r="Q643" s="0" t="str">
        <f aca="false">IF(OR(AND(M643=0,P643&gt;0),AND(M643=1,P643&lt;=0)),"Yes","No")</f>
        <v>No</v>
      </c>
      <c r="R643" s="0" t="str">
        <f aca="false">IF(AND(M643=1,P643&gt;calc_helpers!$B$5),"Yes","No")</f>
        <v>No</v>
      </c>
      <c r="S643" s="0" t="n">
        <v>0</v>
      </c>
      <c r="T643" s="0" t="str">
        <f aca="false">IF(S643&gt;0,"Yes","No")</f>
        <v>No</v>
      </c>
      <c r="U643" s="0" t="n">
        <v>0</v>
      </c>
      <c r="W643" s="0" t="str">
        <f aca="false">IF(OR(AND(M643=1,ISBLANK(V643)),AND(M643=0,NOT(ISBLANK(V643)))),"Yes","No")</f>
        <v>No</v>
      </c>
      <c r="X643" s="0" t="n">
        <v>51.7</v>
      </c>
      <c r="Y643" s="3" t="s">
        <v>30</v>
      </c>
      <c r="Z643" s="0" t="str">
        <f aca="false">IF(M643=1,P643,"")</f>
        <v/>
      </c>
    </row>
    <row r="644" customFormat="false" ht="15" hidden="false" customHeight="false" outlineLevel="0" collapsed="false">
      <c r="A644" s="0" t="s">
        <v>687</v>
      </c>
      <c r="B644" s="2" t="n">
        <v>45748</v>
      </c>
      <c r="C644" s="3" t="s">
        <v>27</v>
      </c>
      <c r="D644" s="3" t="s">
        <v>28</v>
      </c>
      <c r="E644" s="3" t="s">
        <v>29</v>
      </c>
      <c r="F644" s="3" t="s">
        <v>30</v>
      </c>
      <c r="G644" s="3" t="s">
        <v>31</v>
      </c>
      <c r="H644" s="3" t="s">
        <v>30</v>
      </c>
      <c r="I644" s="3" t="s">
        <v>32</v>
      </c>
      <c r="J644" s="0" t="n">
        <v>0</v>
      </c>
      <c r="K644" s="0" t="n">
        <v>0</v>
      </c>
      <c r="L644" s="0" t="n">
        <v>0</v>
      </c>
      <c r="M644" s="0" t="n">
        <v>0</v>
      </c>
      <c r="N644" s="0" t="str">
        <f aca="false">IF(OR(NOT(OR(J644=0,J644=1)),NOT(OR(K644=0,K644=1)),NOT(OR(L644=0,L644=1)),NOT(OR(M644=0,M644=1)),NOT(OR(U644=0,U644=1))),"Yes","No")</f>
        <v>No</v>
      </c>
      <c r="O644" s="0" t="str">
        <f aca="false">IF(OR(AND(M644=1,L644=0),AND(L644=1,K644=0),AND(K644=1,J644=0)),"Yes","No")</f>
        <v>No</v>
      </c>
      <c r="P644" s="0" t="n">
        <v>0</v>
      </c>
      <c r="Q644" s="0" t="str">
        <f aca="false">IF(OR(AND(M644=0,P644&gt;0),AND(M644=1,P644&lt;=0)),"Yes","No")</f>
        <v>No</v>
      </c>
      <c r="R644" s="0" t="str">
        <f aca="false">IF(AND(M644=1,P644&gt;calc_helpers!$B$5),"Yes","No")</f>
        <v>No</v>
      </c>
      <c r="S644" s="0" t="n">
        <v>0</v>
      </c>
      <c r="T644" s="0" t="str">
        <f aca="false">IF(S644&gt;0,"Yes","No")</f>
        <v>No</v>
      </c>
      <c r="U644" s="0" t="n">
        <v>0</v>
      </c>
      <c r="W644" s="0" t="str">
        <f aca="false">IF(OR(AND(M644=1,ISBLANK(V644)),AND(M644=0,NOT(ISBLANK(V644)))),"Yes","No")</f>
        <v>No</v>
      </c>
      <c r="X644" s="0" t="n">
        <v>57</v>
      </c>
      <c r="Y644" s="3" t="s">
        <v>30</v>
      </c>
      <c r="Z644" s="0" t="str">
        <f aca="false">IF(M644=1,P644,"")</f>
        <v/>
      </c>
    </row>
    <row r="645" customFormat="false" ht="15" hidden="false" customHeight="false" outlineLevel="0" collapsed="false">
      <c r="A645" s="0" t="s">
        <v>688</v>
      </c>
      <c r="B645" s="2" t="n">
        <v>45675</v>
      </c>
      <c r="C645" s="3" t="s">
        <v>27</v>
      </c>
      <c r="D645" s="3" t="s">
        <v>43</v>
      </c>
      <c r="E645" s="3" t="s">
        <v>29</v>
      </c>
      <c r="F645" s="3" t="s">
        <v>30</v>
      </c>
      <c r="G645" s="3" t="s">
        <v>36</v>
      </c>
      <c r="H645" s="3" t="s">
        <v>30</v>
      </c>
      <c r="I645" s="3" t="s">
        <v>32</v>
      </c>
      <c r="J645" s="0" t="n">
        <v>0</v>
      </c>
      <c r="K645" s="0" t="n">
        <v>0</v>
      </c>
      <c r="L645" s="0" t="n">
        <v>0</v>
      </c>
      <c r="M645" s="0" t="n">
        <v>0</v>
      </c>
      <c r="N645" s="0" t="str">
        <f aca="false">IF(OR(NOT(OR(J645=0,J645=1)),NOT(OR(K645=0,K645=1)),NOT(OR(L645=0,L645=1)),NOT(OR(M645=0,M645=1)),NOT(OR(U645=0,U645=1))),"Yes","No")</f>
        <v>No</v>
      </c>
      <c r="O645" s="0" t="str">
        <f aca="false">IF(OR(AND(M645=1,L645=0),AND(L645=1,K645=0),AND(K645=1,J645=0)),"Yes","No")</f>
        <v>No</v>
      </c>
      <c r="P645" s="0" t="n">
        <v>0</v>
      </c>
      <c r="Q645" s="0" t="str">
        <f aca="false">IF(OR(AND(M645=0,P645&gt;0),AND(M645=1,P645&lt;=0)),"Yes","No")</f>
        <v>No</v>
      </c>
      <c r="R645" s="0" t="str">
        <f aca="false">IF(AND(M645=1,P645&gt;calc_helpers!$B$5),"Yes","No")</f>
        <v>No</v>
      </c>
      <c r="S645" s="0" t="n">
        <v>0</v>
      </c>
      <c r="T645" s="0" t="str">
        <f aca="false">IF(S645&gt;0,"Yes","No")</f>
        <v>No</v>
      </c>
      <c r="U645" s="0" t="n">
        <v>0</v>
      </c>
      <c r="W645" s="0" t="str">
        <f aca="false">IF(OR(AND(M645=1,ISBLANK(V645)),AND(M645=0,NOT(ISBLANK(V645)))),"Yes","No")</f>
        <v>No</v>
      </c>
      <c r="X645" s="0" t="n">
        <v>39.5</v>
      </c>
      <c r="Y645" s="3" t="s">
        <v>30</v>
      </c>
      <c r="Z645" s="0" t="str">
        <f aca="false">IF(M645=1,P645,"")</f>
        <v/>
      </c>
    </row>
    <row r="646" customFormat="false" ht="15" hidden="false" customHeight="false" outlineLevel="0" collapsed="false">
      <c r="A646" s="0" t="s">
        <v>689</v>
      </c>
      <c r="B646" s="2" t="n">
        <v>45753</v>
      </c>
      <c r="C646" s="3" t="s">
        <v>27</v>
      </c>
      <c r="D646" s="3" t="s">
        <v>39</v>
      </c>
      <c r="E646" s="3" t="s">
        <v>45</v>
      </c>
      <c r="F646" s="3" t="s">
        <v>30</v>
      </c>
      <c r="G646" s="3" t="s">
        <v>36</v>
      </c>
      <c r="H646" s="3" t="s">
        <v>30</v>
      </c>
      <c r="I646" s="3" t="s">
        <v>37</v>
      </c>
      <c r="J646" s="0" t="n">
        <v>1</v>
      </c>
      <c r="K646" s="0" t="n">
        <v>0</v>
      </c>
      <c r="L646" s="0" t="n">
        <v>0</v>
      </c>
      <c r="M646" s="0" t="n">
        <v>0</v>
      </c>
      <c r="N646" s="0" t="str">
        <f aca="false">IF(OR(NOT(OR(J646=0,J646=1)),NOT(OR(K646=0,K646=1)),NOT(OR(L646=0,L646=1)),NOT(OR(M646=0,M646=1)),NOT(OR(U646=0,U646=1))),"Yes","No")</f>
        <v>No</v>
      </c>
      <c r="O646" s="0" t="str">
        <f aca="false">IF(OR(AND(M646=1,L646=0),AND(L646=1,K646=0),AND(K646=1,J646=0)),"Yes","No")</f>
        <v>No</v>
      </c>
      <c r="P646" s="0" t="n">
        <v>0</v>
      </c>
      <c r="Q646" s="0" t="str">
        <f aca="false">IF(OR(AND(M646=0,P646&gt;0),AND(M646=1,P646&lt;=0)),"Yes","No")</f>
        <v>No</v>
      </c>
      <c r="R646" s="0" t="str">
        <f aca="false">IF(AND(M646=1,P646&gt;calc_helpers!$B$5),"Yes","No")</f>
        <v>No</v>
      </c>
      <c r="S646" s="0" t="n">
        <v>0</v>
      </c>
      <c r="T646" s="0" t="str">
        <f aca="false">IF(S646&gt;0,"Yes","No")</f>
        <v>No</v>
      </c>
      <c r="U646" s="0" t="n">
        <v>0</v>
      </c>
      <c r="W646" s="0" t="str">
        <f aca="false">IF(OR(AND(M646=1,ISBLANK(V646)),AND(M646=0,NOT(ISBLANK(V646)))),"Yes","No")</f>
        <v>No</v>
      </c>
      <c r="X646" s="0" t="n">
        <v>76.5</v>
      </c>
      <c r="Y646" s="3" t="s">
        <v>30</v>
      </c>
      <c r="Z646" s="0" t="str">
        <f aca="false">IF(M646=1,P646,"")</f>
        <v/>
      </c>
    </row>
    <row r="647" customFormat="false" ht="15" hidden="false" customHeight="false" outlineLevel="0" collapsed="false">
      <c r="A647" s="0" t="s">
        <v>690</v>
      </c>
      <c r="B647" s="2" t="n">
        <v>45764</v>
      </c>
      <c r="C647" s="3" t="s">
        <v>27</v>
      </c>
      <c r="D647" s="3" t="s">
        <v>39</v>
      </c>
      <c r="E647" s="3" t="s">
        <v>35</v>
      </c>
      <c r="F647" s="3" t="s">
        <v>30</v>
      </c>
      <c r="G647" s="3" t="s">
        <v>36</v>
      </c>
      <c r="H647" s="3" t="s">
        <v>30</v>
      </c>
      <c r="I647" s="3" t="s">
        <v>37</v>
      </c>
      <c r="J647" s="0" t="n">
        <v>1</v>
      </c>
      <c r="K647" s="0" t="n">
        <v>0</v>
      </c>
      <c r="L647" s="0" t="n">
        <v>0</v>
      </c>
      <c r="M647" s="0" t="n">
        <v>0</v>
      </c>
      <c r="N647" s="0" t="str">
        <f aca="false">IF(OR(NOT(OR(J647=0,J647=1)),NOT(OR(K647=0,K647=1)),NOT(OR(L647=0,L647=1)),NOT(OR(M647=0,M647=1)),NOT(OR(U647=0,U647=1))),"Yes","No")</f>
        <v>No</v>
      </c>
      <c r="O647" s="0" t="str">
        <f aca="false">IF(OR(AND(M647=1,L647=0),AND(L647=1,K647=0),AND(K647=1,J647=0)),"Yes","No")</f>
        <v>No</v>
      </c>
      <c r="P647" s="0" t="n">
        <v>0</v>
      </c>
      <c r="Q647" s="0" t="str">
        <f aca="false">IF(OR(AND(M647=0,P647&gt;0),AND(M647=1,P647&lt;=0)),"Yes","No")</f>
        <v>No</v>
      </c>
      <c r="R647" s="0" t="str">
        <f aca="false">IF(AND(M647=1,P647&gt;calc_helpers!$B$5),"Yes","No")</f>
        <v>No</v>
      </c>
      <c r="S647" s="0" t="n">
        <v>0</v>
      </c>
      <c r="T647" s="0" t="str">
        <f aca="false">IF(S647&gt;0,"Yes","No")</f>
        <v>No</v>
      </c>
      <c r="U647" s="0" t="n">
        <v>0</v>
      </c>
      <c r="W647" s="0" t="str">
        <f aca="false">IF(OR(AND(M647=1,ISBLANK(V647)),AND(M647=0,NOT(ISBLANK(V647)))),"Yes","No")</f>
        <v>No</v>
      </c>
      <c r="X647" s="0" t="n">
        <v>32.4</v>
      </c>
      <c r="Y647" s="3" t="s">
        <v>30</v>
      </c>
      <c r="Z647" s="0" t="str">
        <f aca="false">IF(M647=1,P647,"")</f>
        <v/>
      </c>
    </row>
    <row r="648" customFormat="false" ht="15" hidden="false" customHeight="false" outlineLevel="0" collapsed="false">
      <c r="A648" s="0" t="s">
        <v>691</v>
      </c>
      <c r="B648" s="2" t="n">
        <v>45695</v>
      </c>
      <c r="C648" s="3" t="s">
        <v>27</v>
      </c>
      <c r="D648" s="3" t="s">
        <v>28</v>
      </c>
      <c r="E648" s="3" t="s">
        <v>29</v>
      </c>
      <c r="F648" s="3" t="s">
        <v>30</v>
      </c>
      <c r="G648" s="3" t="s">
        <v>40</v>
      </c>
      <c r="H648" s="3" t="s">
        <v>30</v>
      </c>
      <c r="I648" s="3" t="s">
        <v>37</v>
      </c>
      <c r="J648" s="0" t="n">
        <v>0</v>
      </c>
      <c r="K648" s="0" t="n">
        <v>0</v>
      </c>
      <c r="L648" s="0" t="n">
        <v>0</v>
      </c>
      <c r="M648" s="0" t="n">
        <v>0</v>
      </c>
      <c r="N648" s="0" t="str">
        <f aca="false">IF(OR(NOT(OR(J648=0,J648=1)),NOT(OR(K648=0,K648=1)),NOT(OR(L648=0,L648=1)),NOT(OR(M648=0,M648=1)),NOT(OR(U648=0,U648=1))),"Yes","No")</f>
        <v>No</v>
      </c>
      <c r="O648" s="0" t="str">
        <f aca="false">IF(OR(AND(M648=1,L648=0),AND(L648=1,K648=0),AND(K648=1,J648=0)),"Yes","No")</f>
        <v>No</v>
      </c>
      <c r="P648" s="0" t="n">
        <v>0</v>
      </c>
      <c r="Q648" s="0" t="str">
        <f aca="false">IF(OR(AND(M648=0,P648&gt;0),AND(M648=1,P648&lt;=0)),"Yes","No")</f>
        <v>No</v>
      </c>
      <c r="R648" s="0" t="str">
        <f aca="false">IF(AND(M648=1,P648&gt;calc_helpers!$B$5),"Yes","No")</f>
        <v>No</v>
      </c>
      <c r="S648" s="0" t="n">
        <v>0</v>
      </c>
      <c r="T648" s="0" t="str">
        <f aca="false">IF(S648&gt;0,"Yes","No")</f>
        <v>No</v>
      </c>
      <c r="U648" s="0" t="n">
        <v>0</v>
      </c>
      <c r="W648" s="0" t="str">
        <f aca="false">IF(OR(AND(M648=1,ISBLANK(V648)),AND(M648=0,NOT(ISBLANK(V648)))),"Yes","No")</f>
        <v>No</v>
      </c>
      <c r="X648" s="0" t="n">
        <v>58.6</v>
      </c>
      <c r="Y648" s="3" t="s">
        <v>30</v>
      </c>
      <c r="Z648" s="0" t="str">
        <f aca="false">IF(M648=1,P648,"")</f>
        <v/>
      </c>
    </row>
    <row r="649" customFormat="false" ht="15" hidden="false" customHeight="false" outlineLevel="0" collapsed="false">
      <c r="A649" s="0" t="s">
        <v>692</v>
      </c>
      <c r="B649" s="2" t="n">
        <v>45720</v>
      </c>
      <c r="C649" s="3" t="s">
        <v>27</v>
      </c>
      <c r="D649" s="3" t="s">
        <v>39</v>
      </c>
      <c r="E649" s="3" t="s">
        <v>35</v>
      </c>
      <c r="F649" s="3" t="s">
        <v>30</v>
      </c>
      <c r="G649" s="3" t="s">
        <v>36</v>
      </c>
      <c r="H649" s="3" t="s">
        <v>30</v>
      </c>
      <c r="I649" s="3" t="s">
        <v>32</v>
      </c>
      <c r="J649" s="0" t="n">
        <v>1</v>
      </c>
      <c r="K649" s="0" t="n">
        <v>0</v>
      </c>
      <c r="L649" s="0" t="n">
        <v>0</v>
      </c>
      <c r="M649" s="0" t="n">
        <v>0</v>
      </c>
      <c r="N649" s="0" t="str">
        <f aca="false">IF(OR(NOT(OR(J649=0,J649=1)),NOT(OR(K649=0,K649=1)),NOT(OR(L649=0,L649=1)),NOT(OR(M649=0,M649=1)),NOT(OR(U649=0,U649=1))),"Yes","No")</f>
        <v>No</v>
      </c>
      <c r="O649" s="0" t="str">
        <f aca="false">IF(OR(AND(M649=1,L649=0),AND(L649=1,K649=0),AND(K649=1,J649=0)),"Yes","No")</f>
        <v>No</v>
      </c>
      <c r="P649" s="0" t="n">
        <v>0</v>
      </c>
      <c r="Q649" s="0" t="str">
        <f aca="false">IF(OR(AND(M649=0,P649&gt;0),AND(M649=1,P649&lt;=0)),"Yes","No")</f>
        <v>No</v>
      </c>
      <c r="R649" s="0" t="str">
        <f aca="false">IF(AND(M649=1,P649&gt;calc_helpers!$B$5),"Yes","No")</f>
        <v>No</v>
      </c>
      <c r="S649" s="0" t="n">
        <v>0</v>
      </c>
      <c r="T649" s="0" t="str">
        <f aca="false">IF(S649&gt;0,"Yes","No")</f>
        <v>No</v>
      </c>
      <c r="U649" s="0" t="n">
        <v>0</v>
      </c>
      <c r="W649" s="0" t="str">
        <f aca="false">IF(OR(AND(M649=1,ISBLANK(V649)),AND(M649=0,NOT(ISBLANK(V649)))),"Yes","No")</f>
        <v>No</v>
      </c>
      <c r="X649" s="0" t="n">
        <v>78.6</v>
      </c>
      <c r="Y649" s="3" t="s">
        <v>30</v>
      </c>
      <c r="Z649" s="0" t="str">
        <f aca="false">IF(M649=1,P649,"")</f>
        <v/>
      </c>
    </row>
    <row r="650" customFormat="false" ht="15" hidden="false" customHeight="false" outlineLevel="0" collapsed="false">
      <c r="A650" s="0" t="s">
        <v>693</v>
      </c>
      <c r="B650" s="2" t="n">
        <v>45705</v>
      </c>
      <c r="C650" s="3" t="s">
        <v>27</v>
      </c>
      <c r="D650" s="3" t="s">
        <v>28</v>
      </c>
      <c r="E650" s="3" t="s">
        <v>29</v>
      </c>
      <c r="F650" s="3" t="s">
        <v>30</v>
      </c>
      <c r="G650" s="3" t="s">
        <v>36</v>
      </c>
      <c r="H650" s="3" t="s">
        <v>30</v>
      </c>
      <c r="I650" s="3" t="s">
        <v>41</v>
      </c>
      <c r="J650" s="0" t="n">
        <v>0</v>
      </c>
      <c r="K650" s="0" t="n">
        <v>0</v>
      </c>
      <c r="L650" s="0" t="n">
        <v>0</v>
      </c>
      <c r="M650" s="0" t="n">
        <v>0</v>
      </c>
      <c r="N650" s="0" t="str">
        <f aca="false">IF(OR(NOT(OR(J650=0,J650=1)),NOT(OR(K650=0,K650=1)),NOT(OR(L650=0,L650=1)),NOT(OR(M650=0,M650=1)),NOT(OR(U650=0,U650=1))),"Yes","No")</f>
        <v>No</v>
      </c>
      <c r="O650" s="0" t="str">
        <f aca="false">IF(OR(AND(M650=1,L650=0),AND(L650=1,K650=0),AND(K650=1,J650=0)),"Yes","No")</f>
        <v>No</v>
      </c>
      <c r="P650" s="0" t="n">
        <v>0</v>
      </c>
      <c r="Q650" s="0" t="str">
        <f aca="false">IF(OR(AND(M650=0,P650&gt;0),AND(M650=1,P650&lt;=0)),"Yes","No")</f>
        <v>No</v>
      </c>
      <c r="R650" s="0" t="str">
        <f aca="false">IF(AND(M650=1,P650&gt;calc_helpers!$B$5),"Yes","No")</f>
        <v>No</v>
      </c>
      <c r="S650" s="0" t="n">
        <v>0</v>
      </c>
      <c r="T650" s="0" t="str">
        <f aca="false">IF(S650&gt;0,"Yes","No")</f>
        <v>No</v>
      </c>
      <c r="U650" s="0" t="n">
        <v>0</v>
      </c>
      <c r="W650" s="0" t="str">
        <f aca="false">IF(OR(AND(M650=1,ISBLANK(V650)),AND(M650=0,NOT(ISBLANK(V650)))),"Yes","No")</f>
        <v>No</v>
      </c>
      <c r="X650" s="0" t="n">
        <v>54.5</v>
      </c>
      <c r="Y650" s="3" t="s">
        <v>30</v>
      </c>
      <c r="Z650" s="0" t="str">
        <f aca="false">IF(M650=1,P650,"")</f>
        <v/>
      </c>
    </row>
    <row r="651" customFormat="false" ht="15" hidden="false" customHeight="false" outlineLevel="0" collapsed="false">
      <c r="A651" s="0" t="s">
        <v>694</v>
      </c>
      <c r="B651" s="2" t="n">
        <v>45783</v>
      </c>
      <c r="C651" s="3" t="s">
        <v>27</v>
      </c>
      <c r="D651" s="3" t="s">
        <v>43</v>
      </c>
      <c r="E651" s="3" t="s">
        <v>35</v>
      </c>
      <c r="F651" s="3" t="s">
        <v>30</v>
      </c>
      <c r="G651" s="3" t="s">
        <v>50</v>
      </c>
      <c r="H651" s="3" t="s">
        <v>30</v>
      </c>
      <c r="I651" s="3" t="s">
        <v>37</v>
      </c>
      <c r="J651" s="0" t="n">
        <v>1</v>
      </c>
      <c r="K651" s="0" t="n">
        <v>0</v>
      </c>
      <c r="L651" s="0" t="n">
        <v>0</v>
      </c>
      <c r="M651" s="0" t="n">
        <v>0</v>
      </c>
      <c r="N651" s="0" t="str">
        <f aca="false">IF(OR(NOT(OR(J651=0,J651=1)),NOT(OR(K651=0,K651=1)),NOT(OR(L651=0,L651=1)),NOT(OR(M651=0,M651=1)),NOT(OR(U651=0,U651=1))),"Yes","No")</f>
        <v>No</v>
      </c>
      <c r="O651" s="0" t="str">
        <f aca="false">IF(OR(AND(M651=1,L651=0),AND(L651=1,K651=0),AND(K651=1,J651=0)),"Yes","No")</f>
        <v>No</v>
      </c>
      <c r="P651" s="0" t="n">
        <v>0</v>
      </c>
      <c r="Q651" s="0" t="str">
        <f aca="false">IF(OR(AND(M651=0,P651&gt;0),AND(M651=1,P651&lt;=0)),"Yes","No")</f>
        <v>No</v>
      </c>
      <c r="R651" s="0" t="str">
        <f aca="false">IF(AND(M651=1,P651&gt;calc_helpers!$B$5),"Yes","No")</f>
        <v>No</v>
      </c>
      <c r="S651" s="0" t="n">
        <v>0</v>
      </c>
      <c r="T651" s="0" t="str">
        <f aca="false">IF(S651&gt;0,"Yes","No")</f>
        <v>No</v>
      </c>
      <c r="U651" s="0" t="n">
        <v>0</v>
      </c>
      <c r="W651" s="0" t="str">
        <f aca="false">IF(OR(AND(M651=1,ISBLANK(V651)),AND(M651=0,NOT(ISBLANK(V651)))),"Yes","No")</f>
        <v>No</v>
      </c>
      <c r="X651" s="0" t="n">
        <v>57.6</v>
      </c>
      <c r="Y651" s="3" t="s">
        <v>30</v>
      </c>
      <c r="Z651" s="0" t="str">
        <f aca="false">IF(M651=1,P651,"")</f>
        <v/>
      </c>
    </row>
    <row r="652" customFormat="false" ht="15" hidden="false" customHeight="false" outlineLevel="0" collapsed="false">
      <c r="A652" s="0" t="s">
        <v>695</v>
      </c>
      <c r="B652" s="2" t="n">
        <v>45741</v>
      </c>
      <c r="C652" s="3" t="s">
        <v>27</v>
      </c>
      <c r="D652" s="3" t="s">
        <v>43</v>
      </c>
      <c r="E652" s="3" t="s">
        <v>35</v>
      </c>
      <c r="F652" s="3" t="s">
        <v>30</v>
      </c>
      <c r="G652" s="3" t="s">
        <v>50</v>
      </c>
      <c r="H652" s="3" t="s">
        <v>30</v>
      </c>
      <c r="I652" s="3" t="s">
        <v>41</v>
      </c>
      <c r="J652" s="0" t="n">
        <v>0</v>
      </c>
      <c r="K652" s="0" t="n">
        <v>0</v>
      </c>
      <c r="L652" s="0" t="n">
        <v>0</v>
      </c>
      <c r="M652" s="0" t="n">
        <v>0</v>
      </c>
      <c r="N652" s="0" t="str">
        <f aca="false">IF(OR(NOT(OR(J652=0,J652=1)),NOT(OR(K652=0,K652=1)),NOT(OR(L652=0,L652=1)),NOT(OR(M652=0,M652=1)),NOT(OR(U652=0,U652=1))),"Yes","No")</f>
        <v>No</v>
      </c>
      <c r="O652" s="0" t="str">
        <f aca="false">IF(OR(AND(M652=1,L652=0),AND(L652=1,K652=0),AND(K652=1,J652=0)),"Yes","No")</f>
        <v>No</v>
      </c>
      <c r="P652" s="0" t="n">
        <v>0</v>
      </c>
      <c r="Q652" s="0" t="str">
        <f aca="false">IF(OR(AND(M652=0,P652&gt;0),AND(M652=1,P652&lt;=0)),"Yes","No")</f>
        <v>No</v>
      </c>
      <c r="R652" s="0" t="str">
        <f aca="false">IF(AND(M652=1,P652&gt;calc_helpers!$B$5),"Yes","No")</f>
        <v>No</v>
      </c>
      <c r="S652" s="0" t="n">
        <v>0</v>
      </c>
      <c r="T652" s="0" t="str">
        <f aca="false">IF(S652&gt;0,"Yes","No")</f>
        <v>No</v>
      </c>
      <c r="U652" s="0" t="n">
        <v>0</v>
      </c>
      <c r="W652" s="0" t="str">
        <f aca="false">IF(OR(AND(M652=1,ISBLANK(V652)),AND(M652=0,NOT(ISBLANK(V652)))),"Yes","No")</f>
        <v>No</v>
      </c>
      <c r="X652" s="0" t="n">
        <v>52.8</v>
      </c>
      <c r="Y652" s="3" t="s">
        <v>30</v>
      </c>
      <c r="Z652" s="0" t="str">
        <f aca="false">IF(M652=1,P652,"")</f>
        <v/>
      </c>
    </row>
    <row r="653" customFormat="false" ht="15" hidden="false" customHeight="false" outlineLevel="0" collapsed="false">
      <c r="A653" s="0" t="s">
        <v>696</v>
      </c>
      <c r="B653" s="2" t="n">
        <v>45720</v>
      </c>
      <c r="C653" s="3" t="s">
        <v>27</v>
      </c>
      <c r="D653" s="3" t="s">
        <v>34</v>
      </c>
      <c r="E653" s="3" t="s">
        <v>35</v>
      </c>
      <c r="F653" s="3" t="s">
        <v>30</v>
      </c>
      <c r="G653" s="3" t="s">
        <v>31</v>
      </c>
      <c r="H653" s="3" t="s">
        <v>30</v>
      </c>
      <c r="I653" s="3" t="s">
        <v>41</v>
      </c>
      <c r="J653" s="0" t="n">
        <v>1</v>
      </c>
      <c r="K653" s="0" t="n">
        <v>0</v>
      </c>
      <c r="L653" s="0" t="n">
        <v>0</v>
      </c>
      <c r="M653" s="0" t="n">
        <v>0</v>
      </c>
      <c r="N653" s="0" t="str">
        <f aca="false">IF(OR(NOT(OR(J653=0,J653=1)),NOT(OR(K653=0,K653=1)),NOT(OR(L653=0,L653=1)),NOT(OR(M653=0,M653=1)),NOT(OR(U653=0,U653=1))),"Yes","No")</f>
        <v>No</v>
      </c>
      <c r="O653" s="0" t="str">
        <f aca="false">IF(OR(AND(M653=1,L653=0),AND(L653=1,K653=0),AND(K653=1,J653=0)),"Yes","No")</f>
        <v>No</v>
      </c>
      <c r="P653" s="0" t="n">
        <v>0</v>
      </c>
      <c r="Q653" s="0" t="str">
        <f aca="false">IF(OR(AND(M653=0,P653&gt;0),AND(M653=1,P653&lt;=0)),"Yes","No")</f>
        <v>No</v>
      </c>
      <c r="R653" s="0" t="str">
        <f aca="false">IF(AND(M653=1,P653&gt;calc_helpers!$B$5),"Yes","No")</f>
        <v>No</v>
      </c>
      <c r="S653" s="0" t="n">
        <v>0</v>
      </c>
      <c r="T653" s="0" t="str">
        <f aca="false">IF(S653&gt;0,"Yes","No")</f>
        <v>No</v>
      </c>
      <c r="U653" s="0" t="n">
        <v>0</v>
      </c>
      <c r="W653" s="0" t="str">
        <f aca="false">IF(OR(AND(M653=1,ISBLANK(V653)),AND(M653=0,NOT(ISBLANK(V653)))),"Yes","No")</f>
        <v>No</v>
      </c>
      <c r="X653" s="0" t="n">
        <v>52.9</v>
      </c>
      <c r="Y653" s="3" t="s">
        <v>30</v>
      </c>
      <c r="Z653" s="0" t="str">
        <f aca="false">IF(M653=1,P653,"")</f>
        <v/>
      </c>
    </row>
    <row r="654" customFormat="false" ht="15" hidden="false" customHeight="false" outlineLevel="0" collapsed="false">
      <c r="A654" s="0" t="s">
        <v>697</v>
      </c>
      <c r="B654" s="2" t="n">
        <v>45786</v>
      </c>
      <c r="C654" s="3" t="s">
        <v>27</v>
      </c>
      <c r="D654" s="3" t="s">
        <v>34</v>
      </c>
      <c r="E654" s="3" t="s">
        <v>35</v>
      </c>
      <c r="F654" s="3" t="s">
        <v>30</v>
      </c>
      <c r="G654" s="3" t="s">
        <v>36</v>
      </c>
      <c r="H654" s="3" t="s">
        <v>30</v>
      </c>
      <c r="I654" s="3" t="s">
        <v>37</v>
      </c>
      <c r="J654" s="0" t="n">
        <v>1</v>
      </c>
      <c r="K654" s="0" t="n">
        <v>0</v>
      </c>
      <c r="L654" s="0" t="n">
        <v>0</v>
      </c>
      <c r="M654" s="0" t="n">
        <v>0</v>
      </c>
      <c r="N654" s="0" t="str">
        <f aca="false">IF(OR(NOT(OR(J654=0,J654=1)),NOT(OR(K654=0,K654=1)),NOT(OR(L654=0,L654=1)),NOT(OR(M654=0,M654=1)),NOT(OR(U654=0,U654=1))),"Yes","No")</f>
        <v>No</v>
      </c>
      <c r="O654" s="0" t="str">
        <f aca="false">IF(OR(AND(M654=1,L654=0),AND(L654=1,K654=0),AND(K654=1,J654=0)),"Yes","No")</f>
        <v>No</v>
      </c>
      <c r="P654" s="0" t="n">
        <v>0</v>
      </c>
      <c r="Q654" s="0" t="str">
        <f aca="false">IF(OR(AND(M654=0,P654&gt;0),AND(M654=1,P654&lt;=0)),"Yes","No")</f>
        <v>No</v>
      </c>
      <c r="R654" s="0" t="str">
        <f aca="false">IF(AND(M654=1,P654&gt;calc_helpers!$B$5),"Yes","No")</f>
        <v>No</v>
      </c>
      <c r="S654" s="0" t="n">
        <v>1</v>
      </c>
      <c r="T654" s="0" t="str">
        <f aca="false">IF(S654&gt;0,"Yes","No")</f>
        <v>Yes</v>
      </c>
      <c r="U654" s="0" t="n">
        <v>0</v>
      </c>
      <c r="W654" s="0" t="str">
        <f aca="false">IF(OR(AND(M654=1,ISBLANK(V654)),AND(M654=0,NOT(ISBLANK(V654)))),"Yes","No")</f>
        <v>No</v>
      </c>
      <c r="X654" s="0" t="n">
        <v>55.9</v>
      </c>
      <c r="Y654" s="3" t="s">
        <v>30</v>
      </c>
      <c r="Z654" s="0" t="str">
        <f aca="false">IF(M654=1,P654,"")</f>
        <v/>
      </c>
    </row>
    <row r="655" customFormat="false" ht="15" hidden="false" customHeight="false" outlineLevel="0" collapsed="false">
      <c r="A655" s="0" t="s">
        <v>698</v>
      </c>
      <c r="B655" s="2" t="n">
        <v>45794</v>
      </c>
      <c r="C655" s="3" t="s">
        <v>27</v>
      </c>
      <c r="D655" s="3" t="s">
        <v>34</v>
      </c>
      <c r="E655" s="3" t="s">
        <v>35</v>
      </c>
      <c r="F655" s="3" t="s">
        <v>30</v>
      </c>
      <c r="G655" s="3" t="s">
        <v>50</v>
      </c>
      <c r="H655" s="3" t="s">
        <v>30</v>
      </c>
      <c r="I655" s="3" t="s">
        <v>41</v>
      </c>
      <c r="J655" s="0" t="n">
        <v>1</v>
      </c>
      <c r="K655" s="0" t="n">
        <v>0</v>
      </c>
      <c r="L655" s="0" t="n">
        <v>0</v>
      </c>
      <c r="M655" s="0" t="n">
        <v>0</v>
      </c>
      <c r="N655" s="0" t="str">
        <f aca="false">IF(OR(NOT(OR(J655=0,J655=1)),NOT(OR(K655=0,K655=1)),NOT(OR(L655=0,L655=1)),NOT(OR(M655=0,M655=1)),NOT(OR(U655=0,U655=1))),"Yes","No")</f>
        <v>No</v>
      </c>
      <c r="O655" s="0" t="str">
        <f aca="false">IF(OR(AND(M655=1,L655=0),AND(L655=1,K655=0),AND(K655=1,J655=0)),"Yes","No")</f>
        <v>No</v>
      </c>
      <c r="P655" s="0" t="n">
        <v>0</v>
      </c>
      <c r="Q655" s="0" t="str">
        <f aca="false">IF(OR(AND(M655=0,P655&gt;0),AND(M655=1,P655&lt;=0)),"Yes","No")</f>
        <v>No</v>
      </c>
      <c r="R655" s="0" t="str">
        <f aca="false">IF(AND(M655=1,P655&gt;calc_helpers!$B$5),"Yes","No")</f>
        <v>No</v>
      </c>
      <c r="S655" s="0" t="n">
        <v>0</v>
      </c>
      <c r="T655" s="0" t="str">
        <f aca="false">IF(S655&gt;0,"Yes","No")</f>
        <v>No</v>
      </c>
      <c r="U655" s="0" t="n">
        <v>0</v>
      </c>
      <c r="W655" s="0" t="str">
        <f aca="false">IF(OR(AND(M655=1,ISBLANK(V655)),AND(M655=0,NOT(ISBLANK(V655)))),"Yes","No")</f>
        <v>No</v>
      </c>
      <c r="X655" s="0" t="n">
        <v>74.2</v>
      </c>
      <c r="Y655" s="3" t="s">
        <v>30</v>
      </c>
      <c r="Z655" s="0" t="str">
        <f aca="false">IF(M655=1,P655,"")</f>
        <v/>
      </c>
    </row>
    <row r="656" customFormat="false" ht="15" hidden="false" customHeight="false" outlineLevel="0" collapsed="false">
      <c r="A656" s="0" t="s">
        <v>699</v>
      </c>
      <c r="B656" s="2" t="n">
        <v>45669</v>
      </c>
      <c r="C656" s="3" t="s">
        <v>27</v>
      </c>
      <c r="D656" s="3" t="s">
        <v>34</v>
      </c>
      <c r="E656" s="3" t="s">
        <v>35</v>
      </c>
      <c r="F656" s="3" t="s">
        <v>30</v>
      </c>
      <c r="G656" s="3" t="s">
        <v>36</v>
      </c>
      <c r="H656" s="3" t="s">
        <v>30</v>
      </c>
      <c r="I656" s="3" t="s">
        <v>37</v>
      </c>
      <c r="J656" s="0" t="n">
        <v>0</v>
      </c>
      <c r="K656" s="0" t="n">
        <v>0</v>
      </c>
      <c r="L656" s="0" t="n">
        <v>0</v>
      </c>
      <c r="M656" s="0" t="n">
        <v>0</v>
      </c>
      <c r="N656" s="0" t="str">
        <f aca="false">IF(OR(NOT(OR(J656=0,J656=1)),NOT(OR(K656=0,K656=1)),NOT(OR(L656=0,L656=1)),NOT(OR(M656=0,M656=1)),NOT(OR(U656=0,U656=1))),"Yes","No")</f>
        <v>No</v>
      </c>
      <c r="O656" s="0" t="str">
        <f aca="false">IF(OR(AND(M656=1,L656=0),AND(L656=1,K656=0),AND(K656=1,J656=0)),"Yes","No")</f>
        <v>No</v>
      </c>
      <c r="P656" s="0" t="n">
        <v>0</v>
      </c>
      <c r="Q656" s="0" t="str">
        <f aca="false">IF(OR(AND(M656=0,P656&gt;0),AND(M656=1,P656&lt;=0)),"Yes","No")</f>
        <v>No</v>
      </c>
      <c r="R656" s="0" t="str">
        <f aca="false">IF(AND(M656=1,P656&gt;calc_helpers!$B$5),"Yes","No")</f>
        <v>No</v>
      </c>
      <c r="S656" s="0" t="n">
        <v>0</v>
      </c>
      <c r="T656" s="0" t="str">
        <f aca="false">IF(S656&gt;0,"Yes","No")</f>
        <v>No</v>
      </c>
      <c r="U656" s="0" t="n">
        <v>0</v>
      </c>
      <c r="W656" s="0" t="str">
        <f aca="false">IF(OR(AND(M656=1,ISBLANK(V656)),AND(M656=0,NOT(ISBLANK(V656)))),"Yes","No")</f>
        <v>No</v>
      </c>
      <c r="X656" s="0" t="n">
        <v>46.3</v>
      </c>
      <c r="Y656" s="3" t="s">
        <v>30</v>
      </c>
      <c r="Z656" s="0" t="str">
        <f aca="false">IF(M656=1,P656,"")</f>
        <v/>
      </c>
    </row>
    <row r="657" customFormat="false" ht="15" hidden="false" customHeight="false" outlineLevel="0" collapsed="false">
      <c r="A657" s="0" t="s">
        <v>700</v>
      </c>
      <c r="B657" s="2" t="n">
        <v>45728</v>
      </c>
      <c r="C657" s="3" t="s">
        <v>27</v>
      </c>
      <c r="D657" s="3" t="s">
        <v>34</v>
      </c>
      <c r="E657" s="3" t="s">
        <v>35</v>
      </c>
      <c r="F657" s="3" t="s">
        <v>30</v>
      </c>
      <c r="G657" s="3" t="s">
        <v>36</v>
      </c>
      <c r="H657" s="3" t="s">
        <v>30</v>
      </c>
      <c r="I657" s="3" t="s">
        <v>41</v>
      </c>
      <c r="J657" s="0" t="n">
        <v>1</v>
      </c>
      <c r="K657" s="0" t="n">
        <v>0</v>
      </c>
      <c r="L657" s="0" t="n">
        <v>0</v>
      </c>
      <c r="M657" s="0" t="n">
        <v>0</v>
      </c>
      <c r="N657" s="0" t="str">
        <f aca="false">IF(OR(NOT(OR(J657=0,J657=1)),NOT(OR(K657=0,K657=1)),NOT(OR(L657=0,L657=1)),NOT(OR(M657=0,M657=1)),NOT(OR(U657=0,U657=1))),"Yes","No")</f>
        <v>No</v>
      </c>
      <c r="O657" s="0" t="str">
        <f aca="false">IF(OR(AND(M657=1,L657=0),AND(L657=1,K657=0),AND(K657=1,J657=0)),"Yes","No")</f>
        <v>No</v>
      </c>
      <c r="P657" s="0" t="n">
        <v>0</v>
      </c>
      <c r="Q657" s="0" t="str">
        <f aca="false">IF(OR(AND(M657=0,P657&gt;0),AND(M657=1,P657&lt;=0)),"Yes","No")</f>
        <v>No</v>
      </c>
      <c r="R657" s="0" t="str">
        <f aca="false">IF(AND(M657=1,P657&gt;calc_helpers!$B$5),"Yes","No")</f>
        <v>No</v>
      </c>
      <c r="S657" s="0" t="n">
        <v>0</v>
      </c>
      <c r="T657" s="0" t="str">
        <f aca="false">IF(S657&gt;0,"Yes","No")</f>
        <v>No</v>
      </c>
      <c r="U657" s="0" t="n">
        <v>0</v>
      </c>
      <c r="W657" s="0" t="str">
        <f aca="false">IF(OR(AND(M657=1,ISBLANK(V657)),AND(M657=0,NOT(ISBLANK(V657)))),"Yes","No")</f>
        <v>No</v>
      </c>
      <c r="X657" s="0" t="n">
        <v>62</v>
      </c>
      <c r="Y657" s="3" t="s">
        <v>30</v>
      </c>
      <c r="Z657" s="0" t="str">
        <f aca="false">IF(M657=1,P657,"")</f>
        <v/>
      </c>
    </row>
    <row r="658" customFormat="false" ht="15" hidden="false" customHeight="false" outlineLevel="0" collapsed="false">
      <c r="A658" s="0" t="s">
        <v>701</v>
      </c>
      <c r="B658" s="2" t="n">
        <v>45749</v>
      </c>
      <c r="C658" s="3" t="s">
        <v>27</v>
      </c>
      <c r="D658" s="3" t="s">
        <v>43</v>
      </c>
      <c r="E658" s="3" t="s">
        <v>35</v>
      </c>
      <c r="F658" s="3" t="s">
        <v>30</v>
      </c>
      <c r="G658" s="3" t="s">
        <v>36</v>
      </c>
      <c r="H658" s="3" t="s">
        <v>30</v>
      </c>
      <c r="I658" s="3" t="s">
        <v>32</v>
      </c>
      <c r="J658" s="0" t="n">
        <v>0</v>
      </c>
      <c r="K658" s="0" t="n">
        <v>0</v>
      </c>
      <c r="L658" s="0" t="n">
        <v>0</v>
      </c>
      <c r="M658" s="0" t="n">
        <v>0</v>
      </c>
      <c r="N658" s="0" t="str">
        <f aca="false">IF(OR(NOT(OR(J658=0,J658=1)),NOT(OR(K658=0,K658=1)),NOT(OR(L658=0,L658=1)),NOT(OR(M658=0,M658=1)),NOT(OR(U658=0,U658=1))),"Yes","No")</f>
        <v>No</v>
      </c>
      <c r="O658" s="0" t="str">
        <f aca="false">IF(OR(AND(M658=1,L658=0),AND(L658=1,K658=0),AND(K658=1,J658=0)),"Yes","No")</f>
        <v>No</v>
      </c>
      <c r="P658" s="0" t="n">
        <v>0</v>
      </c>
      <c r="Q658" s="0" t="str">
        <f aca="false">IF(OR(AND(M658=0,P658&gt;0),AND(M658=1,P658&lt;=0)),"Yes","No")</f>
        <v>No</v>
      </c>
      <c r="R658" s="0" t="str">
        <f aca="false">IF(AND(M658=1,P658&gt;calc_helpers!$B$5),"Yes","No")</f>
        <v>No</v>
      </c>
      <c r="S658" s="0" t="n">
        <v>0</v>
      </c>
      <c r="T658" s="0" t="str">
        <f aca="false">IF(S658&gt;0,"Yes","No")</f>
        <v>No</v>
      </c>
      <c r="U658" s="0" t="n">
        <v>0</v>
      </c>
      <c r="W658" s="0" t="str">
        <f aca="false">IF(OR(AND(M658=1,ISBLANK(V658)),AND(M658=0,NOT(ISBLANK(V658)))),"Yes","No")</f>
        <v>No</v>
      </c>
      <c r="X658" s="0" t="n">
        <v>55.6</v>
      </c>
      <c r="Y658" s="3" t="s">
        <v>30</v>
      </c>
      <c r="Z658" s="0" t="str">
        <f aca="false">IF(M658=1,P658,"")</f>
        <v/>
      </c>
    </row>
    <row r="659" customFormat="false" ht="15" hidden="false" customHeight="false" outlineLevel="0" collapsed="false">
      <c r="A659" s="0" t="s">
        <v>702</v>
      </c>
      <c r="B659" s="2" t="n">
        <v>45670</v>
      </c>
      <c r="C659" s="3" t="s">
        <v>27</v>
      </c>
      <c r="D659" s="3" t="s">
        <v>43</v>
      </c>
      <c r="E659" s="3" t="s">
        <v>35</v>
      </c>
      <c r="F659" s="3" t="s">
        <v>30</v>
      </c>
      <c r="G659" s="3" t="s">
        <v>36</v>
      </c>
      <c r="H659" s="3" t="s">
        <v>30</v>
      </c>
      <c r="I659" s="3" t="s">
        <v>32</v>
      </c>
      <c r="J659" s="0" t="n">
        <v>1</v>
      </c>
      <c r="K659" s="0" t="n">
        <v>0</v>
      </c>
      <c r="L659" s="0" t="n">
        <v>0</v>
      </c>
      <c r="M659" s="0" t="n">
        <v>0</v>
      </c>
      <c r="N659" s="0" t="str">
        <f aca="false">IF(OR(NOT(OR(J659=0,J659=1)),NOT(OR(K659=0,K659=1)),NOT(OR(L659=0,L659=1)),NOT(OR(M659=0,M659=1)),NOT(OR(U659=0,U659=1))),"Yes","No")</f>
        <v>No</v>
      </c>
      <c r="O659" s="0" t="str">
        <f aca="false">IF(OR(AND(M659=1,L659=0),AND(L659=1,K659=0),AND(K659=1,J659=0)),"Yes","No")</f>
        <v>No</v>
      </c>
      <c r="P659" s="0" t="n">
        <v>0</v>
      </c>
      <c r="Q659" s="0" t="str">
        <f aca="false">IF(OR(AND(M659=0,P659&gt;0),AND(M659=1,P659&lt;=0)),"Yes","No")</f>
        <v>No</v>
      </c>
      <c r="R659" s="0" t="str">
        <f aca="false">IF(AND(M659=1,P659&gt;calc_helpers!$B$5),"Yes","No")</f>
        <v>No</v>
      </c>
      <c r="S659" s="0" t="n">
        <v>0</v>
      </c>
      <c r="T659" s="0" t="str">
        <f aca="false">IF(S659&gt;0,"Yes","No")</f>
        <v>No</v>
      </c>
      <c r="U659" s="0" t="n">
        <v>0</v>
      </c>
      <c r="W659" s="0" t="str">
        <f aca="false">IF(OR(AND(M659=1,ISBLANK(V659)),AND(M659=0,NOT(ISBLANK(V659)))),"Yes","No")</f>
        <v>No</v>
      </c>
      <c r="X659" s="0" t="n">
        <v>62.8</v>
      </c>
      <c r="Y659" s="3" t="s">
        <v>30</v>
      </c>
      <c r="Z659" s="0" t="str">
        <f aca="false">IF(M659=1,P659,"")</f>
        <v/>
      </c>
    </row>
    <row r="660" customFormat="false" ht="15" hidden="false" customHeight="false" outlineLevel="0" collapsed="false">
      <c r="A660" s="0" t="s">
        <v>703</v>
      </c>
      <c r="B660" s="2" t="n">
        <v>45723</v>
      </c>
      <c r="C660" s="3" t="s">
        <v>27</v>
      </c>
      <c r="D660" s="3" t="s">
        <v>39</v>
      </c>
      <c r="E660" s="3" t="s">
        <v>35</v>
      </c>
      <c r="F660" s="3" t="s">
        <v>30</v>
      </c>
      <c r="G660" s="3" t="s">
        <v>50</v>
      </c>
      <c r="H660" s="3" t="s">
        <v>30</v>
      </c>
      <c r="I660" s="3" t="s">
        <v>37</v>
      </c>
      <c r="J660" s="0" t="n">
        <v>0</v>
      </c>
      <c r="K660" s="0" t="n">
        <v>0</v>
      </c>
      <c r="L660" s="0" t="n">
        <v>0</v>
      </c>
      <c r="M660" s="0" t="n">
        <v>0</v>
      </c>
      <c r="N660" s="0" t="str">
        <f aca="false">IF(OR(NOT(OR(J660=0,J660=1)),NOT(OR(K660=0,K660=1)),NOT(OR(L660=0,L660=1)),NOT(OR(M660=0,M660=1)),NOT(OR(U660=0,U660=1))),"Yes","No")</f>
        <v>No</v>
      </c>
      <c r="O660" s="0" t="str">
        <f aca="false">IF(OR(AND(M660=1,L660=0),AND(L660=1,K660=0),AND(K660=1,J660=0)),"Yes","No")</f>
        <v>No</v>
      </c>
      <c r="P660" s="0" t="n">
        <v>0</v>
      </c>
      <c r="Q660" s="0" t="str">
        <f aca="false">IF(OR(AND(M660=0,P660&gt;0),AND(M660=1,P660&lt;=0)),"Yes","No")</f>
        <v>No</v>
      </c>
      <c r="R660" s="0" t="str">
        <f aca="false">IF(AND(M660=1,P660&gt;calc_helpers!$B$5),"Yes","No")</f>
        <v>No</v>
      </c>
      <c r="S660" s="0" t="n">
        <v>0</v>
      </c>
      <c r="T660" s="0" t="str">
        <f aca="false">IF(S660&gt;0,"Yes","No")</f>
        <v>No</v>
      </c>
      <c r="U660" s="0" t="n">
        <v>0</v>
      </c>
      <c r="W660" s="0" t="str">
        <f aca="false">IF(OR(AND(M660=1,ISBLANK(V660)),AND(M660=0,NOT(ISBLANK(V660)))),"Yes","No")</f>
        <v>No</v>
      </c>
      <c r="X660" s="0" t="n">
        <v>73.1</v>
      </c>
      <c r="Y660" s="3" t="s">
        <v>30</v>
      </c>
      <c r="Z660" s="0" t="str">
        <f aca="false">IF(M660=1,P660,"")</f>
        <v/>
      </c>
    </row>
    <row r="661" customFormat="false" ht="15" hidden="false" customHeight="false" outlineLevel="0" collapsed="false">
      <c r="A661" s="0" t="s">
        <v>704</v>
      </c>
      <c r="B661" s="2" t="n">
        <v>45767</v>
      </c>
      <c r="C661" s="3" t="s">
        <v>27</v>
      </c>
      <c r="D661" s="3" t="s">
        <v>43</v>
      </c>
      <c r="E661" s="3" t="s">
        <v>29</v>
      </c>
      <c r="F661" s="3" t="s">
        <v>30</v>
      </c>
      <c r="G661" s="3" t="s">
        <v>52</v>
      </c>
      <c r="H661" s="3" t="s">
        <v>30</v>
      </c>
      <c r="I661" s="3" t="s">
        <v>37</v>
      </c>
      <c r="J661" s="0" t="n">
        <v>1</v>
      </c>
      <c r="K661" s="0" t="n">
        <v>1</v>
      </c>
      <c r="L661" s="0" t="n">
        <v>1</v>
      </c>
      <c r="M661" s="0" t="n">
        <v>1</v>
      </c>
      <c r="N661" s="0" t="str">
        <f aca="false">IF(OR(NOT(OR(J661=0,J661=1)),NOT(OR(K661=0,K661=1)),NOT(OR(L661=0,L661=1)),NOT(OR(M661=0,M661=1)),NOT(OR(U661=0,U661=1))),"Yes","No")</f>
        <v>No</v>
      </c>
      <c r="O661" s="0" t="str">
        <f aca="false">IF(OR(AND(M661=1,L661=0),AND(L661=1,K661=0),AND(K661=1,J661=0)),"Yes","No")</f>
        <v>No</v>
      </c>
      <c r="P661" s="0" t="n">
        <v>347.52</v>
      </c>
      <c r="Q661" s="0" t="str">
        <f aca="false">IF(OR(AND(M661=0,P661&gt;0),AND(M661=1,P661&lt;=0)),"Yes","No")</f>
        <v>No</v>
      </c>
      <c r="R661" s="0" t="str">
        <f aca="false">IF(AND(M661=1,P661&gt;calc_helpers!$B$5),"Yes","No")</f>
        <v>No</v>
      </c>
      <c r="S661" s="0" t="n">
        <v>0</v>
      </c>
      <c r="T661" s="0" t="str">
        <f aca="false">IF(S661&gt;0,"Yes","No")</f>
        <v>No</v>
      </c>
      <c r="U661" s="0" t="n">
        <v>0</v>
      </c>
      <c r="V661" s="0" t="n">
        <v>2</v>
      </c>
      <c r="W661" s="0" t="str">
        <f aca="false">IF(OR(AND(M661=1,ISBLANK(V661)),AND(M661=0,NOT(ISBLANK(V661)))),"Yes","No")</f>
        <v>No</v>
      </c>
      <c r="X661" s="0" t="n">
        <v>57.2</v>
      </c>
      <c r="Y661" s="3" t="s">
        <v>30</v>
      </c>
      <c r="Z661" s="3" t="n">
        <f aca="false">IF(M661=1,P661,"")</f>
        <v>347.52</v>
      </c>
    </row>
    <row r="662" customFormat="false" ht="15" hidden="false" customHeight="false" outlineLevel="0" collapsed="false">
      <c r="A662" s="0" t="s">
        <v>705</v>
      </c>
      <c r="B662" s="2" t="n">
        <v>45664</v>
      </c>
      <c r="C662" s="3" t="s">
        <v>27</v>
      </c>
      <c r="D662" s="3" t="s">
        <v>43</v>
      </c>
      <c r="E662" s="3" t="s">
        <v>35</v>
      </c>
      <c r="F662" s="3" t="s">
        <v>30</v>
      </c>
      <c r="G662" s="3" t="s">
        <v>40</v>
      </c>
      <c r="H662" s="3" t="s">
        <v>30</v>
      </c>
      <c r="I662" s="3" t="s">
        <v>37</v>
      </c>
      <c r="J662" s="0" t="n">
        <v>1</v>
      </c>
      <c r="K662" s="0" t="n">
        <v>0</v>
      </c>
      <c r="L662" s="0" t="n">
        <v>0</v>
      </c>
      <c r="M662" s="0" t="n">
        <v>0</v>
      </c>
      <c r="N662" s="0" t="str">
        <f aca="false">IF(OR(NOT(OR(J662=0,J662=1)),NOT(OR(K662=0,K662=1)),NOT(OR(L662=0,L662=1)),NOT(OR(M662=0,M662=1)),NOT(OR(U662=0,U662=1))),"Yes","No")</f>
        <v>No</v>
      </c>
      <c r="O662" s="0" t="str">
        <f aca="false">IF(OR(AND(M662=1,L662=0),AND(L662=1,K662=0),AND(K662=1,J662=0)),"Yes","No")</f>
        <v>No</v>
      </c>
      <c r="P662" s="0" t="n">
        <v>0</v>
      </c>
      <c r="Q662" s="0" t="str">
        <f aca="false">IF(OR(AND(M662=0,P662&gt;0),AND(M662=1,P662&lt;=0)),"Yes","No")</f>
        <v>No</v>
      </c>
      <c r="R662" s="0" t="str">
        <f aca="false">IF(AND(M662=1,P662&gt;calc_helpers!$B$5),"Yes","No")</f>
        <v>No</v>
      </c>
      <c r="S662" s="0" t="n">
        <v>0</v>
      </c>
      <c r="T662" s="0" t="str">
        <f aca="false">IF(S662&gt;0,"Yes","No")</f>
        <v>No</v>
      </c>
      <c r="U662" s="0" t="n">
        <v>0</v>
      </c>
      <c r="W662" s="0" t="str">
        <f aca="false">IF(OR(AND(M662=1,ISBLANK(V662)),AND(M662=0,NOT(ISBLANK(V662)))),"Yes","No")</f>
        <v>No</v>
      </c>
      <c r="X662" s="0" t="n">
        <v>67.9</v>
      </c>
      <c r="Y662" s="3" t="s">
        <v>30</v>
      </c>
      <c r="Z662" s="0" t="str">
        <f aca="false">IF(M662=1,P662,"")</f>
        <v/>
      </c>
    </row>
    <row r="663" customFormat="false" ht="15" hidden="false" customHeight="false" outlineLevel="0" collapsed="false">
      <c r="A663" s="0" t="s">
        <v>706</v>
      </c>
      <c r="B663" s="2" t="n">
        <v>45770</v>
      </c>
      <c r="C663" s="3" t="s">
        <v>27</v>
      </c>
      <c r="D663" s="3" t="s">
        <v>43</v>
      </c>
      <c r="E663" s="3" t="s">
        <v>35</v>
      </c>
      <c r="F663" s="3" t="s">
        <v>30</v>
      </c>
      <c r="G663" s="3" t="s">
        <v>50</v>
      </c>
      <c r="H663" s="3" t="s">
        <v>30</v>
      </c>
      <c r="I663" s="3" t="s">
        <v>37</v>
      </c>
      <c r="J663" s="0" t="n">
        <v>0</v>
      </c>
      <c r="K663" s="0" t="n">
        <v>0</v>
      </c>
      <c r="L663" s="0" t="n">
        <v>0</v>
      </c>
      <c r="M663" s="0" t="n">
        <v>0</v>
      </c>
      <c r="N663" s="0" t="str">
        <f aca="false">IF(OR(NOT(OR(J663=0,J663=1)),NOT(OR(K663=0,K663=1)),NOT(OR(L663=0,L663=1)),NOT(OR(M663=0,M663=1)),NOT(OR(U663=0,U663=1))),"Yes","No")</f>
        <v>No</v>
      </c>
      <c r="O663" s="0" t="str">
        <f aca="false">IF(OR(AND(M663=1,L663=0),AND(L663=1,K663=0),AND(K663=1,J663=0)),"Yes","No")</f>
        <v>No</v>
      </c>
      <c r="P663" s="0" t="n">
        <v>0</v>
      </c>
      <c r="Q663" s="0" t="str">
        <f aca="false">IF(OR(AND(M663=0,P663&gt;0),AND(M663=1,P663&lt;=0)),"Yes","No")</f>
        <v>No</v>
      </c>
      <c r="R663" s="0" t="str">
        <f aca="false">IF(AND(M663=1,P663&gt;calc_helpers!$B$5),"Yes","No")</f>
        <v>No</v>
      </c>
      <c r="S663" s="0" t="n">
        <v>0</v>
      </c>
      <c r="T663" s="0" t="str">
        <f aca="false">IF(S663&gt;0,"Yes","No")</f>
        <v>No</v>
      </c>
      <c r="U663" s="0" t="n">
        <v>0</v>
      </c>
      <c r="W663" s="0" t="str">
        <f aca="false">IF(OR(AND(M663=1,ISBLANK(V663)),AND(M663=0,NOT(ISBLANK(V663)))),"Yes","No")</f>
        <v>No</v>
      </c>
      <c r="X663" s="0" t="n">
        <v>50.1</v>
      </c>
      <c r="Y663" s="3" t="s">
        <v>30</v>
      </c>
      <c r="Z663" s="0" t="str">
        <f aca="false">IF(M663=1,P663,"")</f>
        <v/>
      </c>
    </row>
    <row r="664" customFormat="false" ht="15" hidden="false" customHeight="false" outlineLevel="0" collapsed="false">
      <c r="A664" s="0" t="s">
        <v>707</v>
      </c>
      <c r="B664" s="2" t="n">
        <v>45803</v>
      </c>
      <c r="C664" s="3" t="s">
        <v>27</v>
      </c>
      <c r="D664" s="3" t="s">
        <v>28</v>
      </c>
      <c r="E664" s="3" t="s">
        <v>35</v>
      </c>
      <c r="F664" s="3" t="s">
        <v>30</v>
      </c>
      <c r="G664" s="3" t="s">
        <v>40</v>
      </c>
      <c r="H664" s="3" t="s">
        <v>30</v>
      </c>
      <c r="I664" s="3" t="s">
        <v>32</v>
      </c>
      <c r="J664" s="0" t="n">
        <v>0</v>
      </c>
      <c r="K664" s="0" t="n">
        <v>0</v>
      </c>
      <c r="L664" s="0" t="n">
        <v>0</v>
      </c>
      <c r="M664" s="0" t="n">
        <v>0</v>
      </c>
      <c r="N664" s="0" t="str">
        <f aca="false">IF(OR(NOT(OR(J664=0,J664=1)),NOT(OR(K664=0,K664=1)),NOT(OR(L664=0,L664=1)),NOT(OR(M664=0,M664=1)),NOT(OR(U664=0,U664=1))),"Yes","No")</f>
        <v>No</v>
      </c>
      <c r="O664" s="0" t="str">
        <f aca="false">IF(OR(AND(M664=1,L664=0),AND(L664=1,K664=0),AND(K664=1,J664=0)),"Yes","No")</f>
        <v>No</v>
      </c>
      <c r="P664" s="0" t="n">
        <v>0</v>
      </c>
      <c r="Q664" s="0" t="str">
        <f aca="false">IF(OR(AND(M664=0,P664&gt;0),AND(M664=1,P664&lt;=0)),"Yes","No")</f>
        <v>No</v>
      </c>
      <c r="R664" s="0" t="str">
        <f aca="false">IF(AND(M664=1,P664&gt;calc_helpers!$B$5),"Yes","No")</f>
        <v>No</v>
      </c>
      <c r="S664" s="0" t="n">
        <v>0</v>
      </c>
      <c r="T664" s="0" t="str">
        <f aca="false">IF(S664&gt;0,"Yes","No")</f>
        <v>No</v>
      </c>
      <c r="U664" s="0" t="n">
        <v>0</v>
      </c>
      <c r="W664" s="0" t="str">
        <f aca="false">IF(OR(AND(M664=1,ISBLANK(V664)),AND(M664=0,NOT(ISBLANK(V664)))),"Yes","No")</f>
        <v>No</v>
      </c>
      <c r="X664" s="0" t="n">
        <v>67.8</v>
      </c>
      <c r="Y664" s="3" t="s">
        <v>30</v>
      </c>
      <c r="Z664" s="0" t="str">
        <f aca="false">IF(M664=1,P664,"")</f>
        <v/>
      </c>
    </row>
    <row r="665" customFormat="false" ht="15" hidden="false" customHeight="false" outlineLevel="0" collapsed="false">
      <c r="A665" s="0" t="s">
        <v>708</v>
      </c>
      <c r="B665" s="2" t="n">
        <v>45733</v>
      </c>
      <c r="C665" s="3" t="s">
        <v>27</v>
      </c>
      <c r="D665" s="3" t="s">
        <v>28</v>
      </c>
      <c r="E665" s="3" t="s">
        <v>29</v>
      </c>
      <c r="F665" s="3" t="s">
        <v>30</v>
      </c>
      <c r="G665" s="3" t="s">
        <v>52</v>
      </c>
      <c r="H665" s="3" t="s">
        <v>30</v>
      </c>
      <c r="I665" s="3" t="s">
        <v>32</v>
      </c>
      <c r="J665" s="0" t="n">
        <v>1</v>
      </c>
      <c r="K665" s="0" t="n">
        <v>1</v>
      </c>
      <c r="L665" s="0" t="n">
        <v>1</v>
      </c>
      <c r="M665" s="0" t="n">
        <v>0</v>
      </c>
      <c r="N665" s="0" t="str">
        <f aca="false">IF(OR(NOT(OR(J665=0,J665=1)),NOT(OR(K665=0,K665=1)),NOT(OR(L665=0,L665=1)),NOT(OR(M665=0,M665=1)),NOT(OR(U665=0,U665=1))),"Yes","No")</f>
        <v>No</v>
      </c>
      <c r="O665" s="0" t="str">
        <f aca="false">IF(OR(AND(M665=1,L665=0),AND(L665=1,K665=0),AND(K665=1,J665=0)),"Yes","No")</f>
        <v>No</v>
      </c>
      <c r="P665" s="0" t="n">
        <v>0</v>
      </c>
      <c r="Q665" s="0" t="str">
        <f aca="false">IF(OR(AND(M665=0,P665&gt;0),AND(M665=1,P665&lt;=0)),"Yes","No")</f>
        <v>No</v>
      </c>
      <c r="R665" s="0" t="str">
        <f aca="false">IF(AND(M665=1,P665&gt;calc_helpers!$B$5),"Yes","No")</f>
        <v>No</v>
      </c>
      <c r="S665" s="0" t="n">
        <v>0</v>
      </c>
      <c r="T665" s="0" t="str">
        <f aca="false">IF(S665&gt;0,"Yes","No")</f>
        <v>No</v>
      </c>
      <c r="U665" s="0" t="n">
        <v>0</v>
      </c>
      <c r="W665" s="0" t="str">
        <f aca="false">IF(OR(AND(M665=1,ISBLANK(V665)),AND(M665=0,NOT(ISBLANK(V665)))),"Yes","No")</f>
        <v>No</v>
      </c>
      <c r="X665" s="0" t="n">
        <v>60.8</v>
      </c>
      <c r="Y665" s="3" t="s">
        <v>30</v>
      </c>
      <c r="Z665" s="0" t="str">
        <f aca="false">IF(M665=1,P665,"")</f>
        <v/>
      </c>
    </row>
    <row r="666" customFormat="false" ht="15" hidden="false" customHeight="false" outlineLevel="0" collapsed="false">
      <c r="A666" s="0" t="s">
        <v>709</v>
      </c>
      <c r="B666" s="2" t="n">
        <v>45794</v>
      </c>
      <c r="C666" s="3" t="s">
        <v>27</v>
      </c>
      <c r="D666" s="3" t="s">
        <v>28</v>
      </c>
      <c r="E666" s="3" t="s">
        <v>29</v>
      </c>
      <c r="F666" s="3" t="s">
        <v>30</v>
      </c>
      <c r="G666" s="3" t="s">
        <v>40</v>
      </c>
      <c r="H666" s="3" t="s">
        <v>30</v>
      </c>
      <c r="I666" s="3" t="s">
        <v>32</v>
      </c>
      <c r="J666" s="0" t="n">
        <v>1</v>
      </c>
      <c r="K666" s="0" t="n">
        <v>0</v>
      </c>
      <c r="L666" s="0" t="n">
        <v>0</v>
      </c>
      <c r="M666" s="0" t="n">
        <v>0</v>
      </c>
      <c r="N666" s="0" t="str">
        <f aca="false">IF(OR(NOT(OR(J666=0,J666=1)),NOT(OR(K666=0,K666=1)),NOT(OR(L666=0,L666=1)),NOT(OR(M666=0,M666=1)),NOT(OR(U666=0,U666=1))),"Yes","No")</f>
        <v>No</v>
      </c>
      <c r="O666" s="0" t="str">
        <f aca="false">IF(OR(AND(M666=1,L666=0),AND(L666=1,K666=0),AND(K666=1,J666=0)),"Yes","No")</f>
        <v>No</v>
      </c>
      <c r="P666" s="0" t="n">
        <v>0</v>
      </c>
      <c r="Q666" s="0" t="str">
        <f aca="false">IF(OR(AND(M666=0,P666&gt;0),AND(M666=1,P666&lt;=0)),"Yes","No")</f>
        <v>No</v>
      </c>
      <c r="R666" s="0" t="str">
        <f aca="false">IF(AND(M666=1,P666&gt;calc_helpers!$B$5),"Yes","No")</f>
        <v>No</v>
      </c>
      <c r="S666" s="0" t="n">
        <v>3</v>
      </c>
      <c r="T666" s="0" t="str">
        <f aca="false">IF(S666&gt;0,"Yes","No")</f>
        <v>Yes</v>
      </c>
      <c r="U666" s="0" t="n">
        <v>0</v>
      </c>
      <c r="W666" s="0" t="str">
        <f aca="false">IF(OR(AND(M666=1,ISBLANK(V666)),AND(M666=0,NOT(ISBLANK(V666)))),"Yes","No")</f>
        <v>No</v>
      </c>
      <c r="X666" s="0" t="n">
        <v>33.7</v>
      </c>
      <c r="Y666" s="3" t="s">
        <v>30</v>
      </c>
      <c r="Z666" s="0" t="str">
        <f aca="false">IF(M666=1,P666,"")</f>
        <v/>
      </c>
    </row>
    <row r="667" customFormat="false" ht="15" hidden="false" customHeight="false" outlineLevel="0" collapsed="false">
      <c r="A667" s="0" t="s">
        <v>710</v>
      </c>
      <c r="B667" s="2" t="n">
        <v>45709</v>
      </c>
      <c r="C667" s="3" t="s">
        <v>27</v>
      </c>
      <c r="D667" s="3" t="s">
        <v>28</v>
      </c>
      <c r="E667" s="3" t="s">
        <v>35</v>
      </c>
      <c r="F667" s="3" t="s">
        <v>30</v>
      </c>
      <c r="G667" s="3" t="s">
        <v>40</v>
      </c>
      <c r="H667" s="3" t="s">
        <v>30</v>
      </c>
      <c r="I667" s="3" t="s">
        <v>32</v>
      </c>
      <c r="J667" s="0" t="n">
        <v>0</v>
      </c>
      <c r="K667" s="0" t="n">
        <v>0</v>
      </c>
      <c r="L667" s="0" t="n">
        <v>0</v>
      </c>
      <c r="M667" s="0" t="n">
        <v>0</v>
      </c>
      <c r="N667" s="0" t="str">
        <f aca="false">IF(OR(NOT(OR(J667=0,J667=1)),NOT(OR(K667=0,K667=1)),NOT(OR(L667=0,L667=1)),NOT(OR(M667=0,M667=1)),NOT(OR(U667=0,U667=1))),"Yes","No")</f>
        <v>No</v>
      </c>
      <c r="O667" s="0" t="str">
        <f aca="false">IF(OR(AND(M667=1,L667=0),AND(L667=1,K667=0),AND(K667=1,J667=0)),"Yes","No")</f>
        <v>No</v>
      </c>
      <c r="P667" s="0" t="n">
        <v>0</v>
      </c>
      <c r="Q667" s="0" t="str">
        <f aca="false">IF(OR(AND(M667=0,P667&gt;0),AND(M667=1,P667&lt;=0)),"Yes","No")</f>
        <v>No</v>
      </c>
      <c r="R667" s="0" t="str">
        <f aca="false">IF(AND(M667=1,P667&gt;calc_helpers!$B$5),"Yes","No")</f>
        <v>No</v>
      </c>
      <c r="S667" s="0" t="n">
        <v>0</v>
      </c>
      <c r="T667" s="0" t="str">
        <f aca="false">IF(S667&gt;0,"Yes","No")</f>
        <v>No</v>
      </c>
      <c r="U667" s="0" t="n">
        <v>0</v>
      </c>
      <c r="W667" s="0" t="str">
        <f aca="false">IF(OR(AND(M667=1,ISBLANK(V667)),AND(M667=0,NOT(ISBLANK(V667)))),"Yes","No")</f>
        <v>No</v>
      </c>
      <c r="X667" s="0" t="n">
        <v>45.2</v>
      </c>
      <c r="Y667" s="3" t="s">
        <v>30</v>
      </c>
      <c r="Z667" s="0" t="str">
        <f aca="false">IF(M667=1,P667,"")</f>
        <v/>
      </c>
    </row>
    <row r="668" customFormat="false" ht="15" hidden="false" customHeight="false" outlineLevel="0" collapsed="false">
      <c r="A668" s="0" t="s">
        <v>711</v>
      </c>
      <c r="B668" s="2" t="n">
        <v>45713</v>
      </c>
      <c r="C668" s="3" t="s">
        <v>27</v>
      </c>
      <c r="D668" s="3" t="s">
        <v>39</v>
      </c>
      <c r="E668" s="3" t="s">
        <v>29</v>
      </c>
      <c r="F668" s="3" t="s">
        <v>30</v>
      </c>
      <c r="G668" s="3" t="s">
        <v>40</v>
      </c>
      <c r="H668" s="3" t="s">
        <v>30</v>
      </c>
      <c r="I668" s="3" t="s">
        <v>41</v>
      </c>
      <c r="J668" s="0" t="n">
        <v>0</v>
      </c>
      <c r="K668" s="0" t="n">
        <v>0</v>
      </c>
      <c r="L668" s="0" t="n">
        <v>0</v>
      </c>
      <c r="M668" s="0" t="n">
        <v>0</v>
      </c>
      <c r="N668" s="0" t="str">
        <f aca="false">IF(OR(NOT(OR(J668=0,J668=1)),NOT(OR(K668=0,K668=1)),NOT(OR(L668=0,L668=1)),NOT(OR(M668=0,M668=1)),NOT(OR(U668=0,U668=1))),"Yes","No")</f>
        <v>No</v>
      </c>
      <c r="O668" s="0" t="str">
        <f aca="false">IF(OR(AND(M668=1,L668=0),AND(L668=1,K668=0),AND(K668=1,J668=0)),"Yes","No")</f>
        <v>No</v>
      </c>
      <c r="P668" s="0" t="n">
        <v>0</v>
      </c>
      <c r="Q668" s="0" t="str">
        <f aca="false">IF(OR(AND(M668=0,P668&gt;0),AND(M668=1,P668&lt;=0)),"Yes","No")</f>
        <v>No</v>
      </c>
      <c r="R668" s="0" t="str">
        <f aca="false">IF(AND(M668=1,P668&gt;calc_helpers!$B$5),"Yes","No")</f>
        <v>No</v>
      </c>
      <c r="S668" s="0" t="n">
        <v>0</v>
      </c>
      <c r="T668" s="0" t="str">
        <f aca="false">IF(S668&gt;0,"Yes","No")</f>
        <v>No</v>
      </c>
      <c r="U668" s="0" t="n">
        <v>0</v>
      </c>
      <c r="W668" s="0" t="str">
        <f aca="false">IF(OR(AND(M668=1,ISBLANK(V668)),AND(M668=0,NOT(ISBLANK(V668)))),"Yes","No")</f>
        <v>No</v>
      </c>
      <c r="X668" s="0" t="n">
        <v>48.2</v>
      </c>
      <c r="Y668" s="3" t="s">
        <v>30</v>
      </c>
      <c r="Z668" s="0" t="str">
        <f aca="false">IF(M668=1,P668,"")</f>
        <v/>
      </c>
    </row>
    <row r="669" customFormat="false" ht="15" hidden="false" customHeight="false" outlineLevel="0" collapsed="false">
      <c r="A669" s="0" t="s">
        <v>712</v>
      </c>
      <c r="B669" s="2" t="n">
        <v>45687</v>
      </c>
      <c r="C669" s="3" t="s">
        <v>27</v>
      </c>
      <c r="D669" s="3" t="s">
        <v>43</v>
      </c>
      <c r="E669" s="3" t="s">
        <v>35</v>
      </c>
      <c r="F669" s="3" t="s">
        <v>30</v>
      </c>
      <c r="G669" s="3" t="s">
        <v>52</v>
      </c>
      <c r="H669" s="3" t="s">
        <v>30</v>
      </c>
      <c r="I669" s="3" t="s">
        <v>37</v>
      </c>
      <c r="J669" s="0" t="n">
        <v>1</v>
      </c>
      <c r="K669" s="0" t="n">
        <v>1</v>
      </c>
      <c r="L669" s="0" t="n">
        <v>0</v>
      </c>
      <c r="M669" s="0" t="n">
        <v>0</v>
      </c>
      <c r="N669" s="0" t="str">
        <f aca="false">IF(OR(NOT(OR(J669=0,J669=1)),NOT(OR(K669=0,K669=1)),NOT(OR(L669=0,L669=1)),NOT(OR(M669=0,M669=1)),NOT(OR(U669=0,U669=1))),"Yes","No")</f>
        <v>No</v>
      </c>
      <c r="O669" s="0" t="str">
        <f aca="false">IF(OR(AND(M669=1,L669=0),AND(L669=1,K669=0),AND(K669=1,J669=0)),"Yes","No")</f>
        <v>No</v>
      </c>
      <c r="P669" s="0" t="n">
        <v>0</v>
      </c>
      <c r="Q669" s="0" t="str">
        <f aca="false">IF(OR(AND(M669=0,P669&gt;0),AND(M669=1,P669&lt;=0)),"Yes","No")</f>
        <v>No</v>
      </c>
      <c r="R669" s="0" t="str">
        <f aca="false">IF(AND(M669=1,P669&gt;calc_helpers!$B$5),"Yes","No")</f>
        <v>No</v>
      </c>
      <c r="S669" s="0" t="n">
        <v>1</v>
      </c>
      <c r="T669" s="0" t="str">
        <f aca="false">IF(S669&gt;0,"Yes","No")</f>
        <v>Yes</v>
      </c>
      <c r="U669" s="0" t="n">
        <v>0</v>
      </c>
      <c r="W669" s="0" t="str">
        <f aca="false">IF(OR(AND(M669=1,ISBLANK(V669)),AND(M669=0,NOT(ISBLANK(V669)))),"Yes","No")</f>
        <v>No</v>
      </c>
      <c r="X669" s="0" t="n">
        <v>44.8</v>
      </c>
      <c r="Y669" s="3" t="s">
        <v>30</v>
      </c>
      <c r="Z669" s="0" t="str">
        <f aca="false">IF(M669=1,P669,"")</f>
        <v/>
      </c>
    </row>
    <row r="670" customFormat="false" ht="15" hidden="false" customHeight="false" outlineLevel="0" collapsed="false">
      <c r="A670" s="0" t="s">
        <v>713</v>
      </c>
      <c r="B670" s="2" t="n">
        <v>45705</v>
      </c>
      <c r="C670" s="3" t="s">
        <v>27</v>
      </c>
      <c r="D670" s="3" t="s">
        <v>28</v>
      </c>
      <c r="E670" s="3" t="s">
        <v>45</v>
      </c>
      <c r="F670" s="3" t="s">
        <v>30</v>
      </c>
      <c r="G670" s="3" t="s">
        <v>52</v>
      </c>
      <c r="H670" s="3" t="s">
        <v>30</v>
      </c>
      <c r="I670" s="3" t="s">
        <v>32</v>
      </c>
      <c r="J670" s="0" t="n">
        <v>0</v>
      </c>
      <c r="K670" s="0" t="n">
        <v>0</v>
      </c>
      <c r="L670" s="0" t="n">
        <v>0</v>
      </c>
      <c r="M670" s="0" t="n">
        <v>0</v>
      </c>
      <c r="N670" s="0" t="str">
        <f aca="false">IF(OR(NOT(OR(J670=0,J670=1)),NOT(OR(K670=0,K670=1)),NOT(OR(L670=0,L670=1)),NOT(OR(M670=0,M670=1)),NOT(OR(U670=0,U670=1))),"Yes","No")</f>
        <v>No</v>
      </c>
      <c r="O670" s="0" t="str">
        <f aca="false">IF(OR(AND(M670=1,L670=0),AND(L670=1,K670=0),AND(K670=1,J670=0)),"Yes","No")</f>
        <v>No</v>
      </c>
      <c r="P670" s="0" t="n">
        <v>0</v>
      </c>
      <c r="Q670" s="0" t="str">
        <f aca="false">IF(OR(AND(M670=0,P670&gt;0),AND(M670=1,P670&lt;=0)),"Yes","No")</f>
        <v>No</v>
      </c>
      <c r="R670" s="0" t="str">
        <f aca="false">IF(AND(M670=1,P670&gt;calc_helpers!$B$5),"Yes","No")</f>
        <v>No</v>
      </c>
      <c r="S670" s="0" t="n">
        <v>0</v>
      </c>
      <c r="T670" s="0" t="str">
        <f aca="false">IF(S670&gt;0,"Yes","No")</f>
        <v>No</v>
      </c>
      <c r="U670" s="0" t="n">
        <v>0</v>
      </c>
      <c r="W670" s="0" t="str">
        <f aca="false">IF(OR(AND(M670=1,ISBLANK(V670)),AND(M670=0,NOT(ISBLANK(V670)))),"Yes","No")</f>
        <v>No</v>
      </c>
      <c r="X670" s="0" t="n">
        <v>52.1</v>
      </c>
      <c r="Y670" s="3" t="s">
        <v>30</v>
      </c>
      <c r="Z670" s="0" t="str">
        <f aca="false">IF(M670=1,P670,"")</f>
        <v/>
      </c>
    </row>
    <row r="671" customFormat="false" ht="15" hidden="false" customHeight="false" outlineLevel="0" collapsed="false">
      <c r="A671" s="0" t="s">
        <v>714</v>
      </c>
      <c r="B671" s="2" t="n">
        <v>45794</v>
      </c>
      <c r="C671" s="3" t="s">
        <v>27</v>
      </c>
      <c r="D671" s="3" t="s">
        <v>28</v>
      </c>
      <c r="E671" s="3" t="s">
        <v>29</v>
      </c>
      <c r="F671" s="3" t="s">
        <v>30</v>
      </c>
      <c r="G671" s="3" t="s">
        <v>40</v>
      </c>
      <c r="H671" s="3" t="s">
        <v>30</v>
      </c>
      <c r="I671" s="3" t="s">
        <v>32</v>
      </c>
      <c r="J671" s="0" t="n">
        <v>1</v>
      </c>
      <c r="K671" s="0" t="n">
        <v>0</v>
      </c>
      <c r="L671" s="0" t="n">
        <v>0</v>
      </c>
      <c r="M671" s="0" t="n">
        <v>0</v>
      </c>
      <c r="N671" s="0" t="str">
        <f aca="false">IF(OR(NOT(OR(J671=0,J671=1)),NOT(OR(K671=0,K671=1)),NOT(OR(L671=0,L671=1)),NOT(OR(M671=0,M671=1)),NOT(OR(U671=0,U671=1))),"Yes","No")</f>
        <v>No</v>
      </c>
      <c r="O671" s="0" t="str">
        <f aca="false">IF(OR(AND(M671=1,L671=0),AND(L671=1,K671=0),AND(K671=1,J671=0)),"Yes","No")</f>
        <v>No</v>
      </c>
      <c r="P671" s="0" t="n">
        <v>0</v>
      </c>
      <c r="Q671" s="0" t="str">
        <f aca="false">IF(OR(AND(M671=0,P671&gt;0),AND(M671=1,P671&lt;=0)),"Yes","No")</f>
        <v>No</v>
      </c>
      <c r="R671" s="0" t="str">
        <f aca="false">IF(AND(M671=1,P671&gt;calc_helpers!$B$5),"Yes","No")</f>
        <v>No</v>
      </c>
      <c r="S671" s="0" t="n">
        <v>0</v>
      </c>
      <c r="T671" s="0" t="str">
        <f aca="false">IF(S671&gt;0,"Yes","No")</f>
        <v>No</v>
      </c>
      <c r="U671" s="0" t="n">
        <v>0</v>
      </c>
      <c r="W671" s="0" t="str">
        <f aca="false">IF(OR(AND(M671=1,ISBLANK(V671)),AND(M671=0,NOT(ISBLANK(V671)))),"Yes","No")</f>
        <v>No</v>
      </c>
      <c r="X671" s="0" t="n">
        <v>30.7</v>
      </c>
      <c r="Y671" s="3" t="s">
        <v>30</v>
      </c>
      <c r="Z671" s="0" t="str">
        <f aca="false">IF(M671=1,P671,"")</f>
        <v/>
      </c>
    </row>
    <row r="672" customFormat="false" ht="15" hidden="false" customHeight="false" outlineLevel="0" collapsed="false">
      <c r="A672" s="0" t="s">
        <v>715</v>
      </c>
      <c r="B672" s="2" t="n">
        <v>45777</v>
      </c>
      <c r="C672" s="3" t="s">
        <v>27</v>
      </c>
      <c r="D672" s="3" t="s">
        <v>39</v>
      </c>
      <c r="E672" s="3" t="s">
        <v>29</v>
      </c>
      <c r="F672" s="3" t="s">
        <v>30</v>
      </c>
      <c r="G672" s="3" t="s">
        <v>40</v>
      </c>
      <c r="H672" s="3" t="s">
        <v>30</v>
      </c>
      <c r="I672" s="3" t="s">
        <v>37</v>
      </c>
      <c r="J672" s="0" t="n">
        <v>1</v>
      </c>
      <c r="K672" s="0" t="n">
        <v>0</v>
      </c>
      <c r="L672" s="0" t="n">
        <v>0</v>
      </c>
      <c r="M672" s="0" t="n">
        <v>0</v>
      </c>
      <c r="N672" s="0" t="str">
        <f aca="false">IF(OR(NOT(OR(J672=0,J672=1)),NOT(OR(K672=0,K672=1)),NOT(OR(L672=0,L672=1)),NOT(OR(M672=0,M672=1)),NOT(OR(U672=0,U672=1))),"Yes","No")</f>
        <v>No</v>
      </c>
      <c r="O672" s="0" t="str">
        <f aca="false">IF(OR(AND(M672=1,L672=0),AND(L672=1,K672=0),AND(K672=1,J672=0)),"Yes","No")</f>
        <v>No</v>
      </c>
      <c r="P672" s="0" t="n">
        <v>0</v>
      </c>
      <c r="Q672" s="0" t="str">
        <f aca="false">IF(OR(AND(M672=0,P672&gt;0),AND(M672=1,P672&lt;=0)),"Yes","No")</f>
        <v>No</v>
      </c>
      <c r="R672" s="0" t="str">
        <f aca="false">IF(AND(M672=1,P672&gt;calc_helpers!$B$5),"Yes","No")</f>
        <v>No</v>
      </c>
      <c r="S672" s="0" t="n">
        <v>0</v>
      </c>
      <c r="T672" s="0" t="str">
        <f aca="false">IF(S672&gt;0,"Yes","No")</f>
        <v>No</v>
      </c>
      <c r="U672" s="0" t="n">
        <v>0</v>
      </c>
      <c r="W672" s="0" t="str">
        <f aca="false">IF(OR(AND(M672=1,ISBLANK(V672)),AND(M672=0,NOT(ISBLANK(V672)))),"Yes","No")</f>
        <v>No</v>
      </c>
      <c r="X672" s="0" t="n">
        <v>58.4</v>
      </c>
      <c r="Y672" s="3" t="s">
        <v>30</v>
      </c>
      <c r="Z672" s="0" t="str">
        <f aca="false">IF(M672=1,P672,"")</f>
        <v/>
      </c>
    </row>
    <row r="673" customFormat="false" ht="15" hidden="false" customHeight="false" outlineLevel="0" collapsed="false">
      <c r="A673" s="0" t="s">
        <v>716</v>
      </c>
      <c r="B673" s="2" t="n">
        <v>45738</v>
      </c>
      <c r="C673" s="3" t="s">
        <v>27</v>
      </c>
      <c r="D673" s="3" t="s">
        <v>34</v>
      </c>
      <c r="E673" s="3" t="s">
        <v>35</v>
      </c>
      <c r="F673" s="3" t="s">
        <v>30</v>
      </c>
      <c r="G673" s="3" t="s">
        <v>50</v>
      </c>
      <c r="H673" s="3" t="s">
        <v>30</v>
      </c>
      <c r="I673" s="3" t="s">
        <v>37</v>
      </c>
      <c r="J673" s="0" t="n">
        <v>1</v>
      </c>
      <c r="K673" s="0" t="n">
        <v>1</v>
      </c>
      <c r="L673" s="0" t="n">
        <v>0</v>
      </c>
      <c r="M673" s="0" t="n">
        <v>0</v>
      </c>
      <c r="N673" s="0" t="str">
        <f aca="false">IF(OR(NOT(OR(J673=0,J673=1)),NOT(OR(K673=0,K673=1)),NOT(OR(L673=0,L673=1)),NOT(OR(M673=0,M673=1)),NOT(OR(U673=0,U673=1))),"Yes","No")</f>
        <v>No</v>
      </c>
      <c r="O673" s="0" t="str">
        <f aca="false">IF(OR(AND(M673=1,L673=0),AND(L673=1,K673=0),AND(K673=1,J673=0)),"Yes","No")</f>
        <v>No</v>
      </c>
      <c r="P673" s="0" t="n">
        <v>0</v>
      </c>
      <c r="Q673" s="0" t="str">
        <f aca="false">IF(OR(AND(M673=0,P673&gt;0),AND(M673=1,P673&lt;=0)),"Yes","No")</f>
        <v>No</v>
      </c>
      <c r="R673" s="0" t="str">
        <f aca="false">IF(AND(M673=1,P673&gt;calc_helpers!$B$5),"Yes","No")</f>
        <v>No</v>
      </c>
      <c r="S673" s="0" t="n">
        <v>0</v>
      </c>
      <c r="T673" s="0" t="str">
        <f aca="false">IF(S673&gt;0,"Yes","No")</f>
        <v>No</v>
      </c>
      <c r="U673" s="0" t="n">
        <v>0</v>
      </c>
      <c r="W673" s="0" t="str">
        <f aca="false">IF(OR(AND(M673=1,ISBLANK(V673)),AND(M673=0,NOT(ISBLANK(V673)))),"Yes","No")</f>
        <v>No</v>
      </c>
      <c r="X673" s="0" t="n">
        <v>52.6</v>
      </c>
      <c r="Y673" s="3" t="s">
        <v>30</v>
      </c>
      <c r="Z673" s="0" t="str">
        <f aca="false">IF(M673=1,P673,"")</f>
        <v/>
      </c>
    </row>
    <row r="674" customFormat="false" ht="15" hidden="false" customHeight="false" outlineLevel="0" collapsed="false">
      <c r="A674" s="0" t="s">
        <v>717</v>
      </c>
      <c r="B674" s="2" t="n">
        <v>45667</v>
      </c>
      <c r="C674" s="3" t="s">
        <v>27</v>
      </c>
      <c r="D674" s="3" t="s">
        <v>34</v>
      </c>
      <c r="E674" s="3" t="s">
        <v>167</v>
      </c>
      <c r="F674" s="3" t="s">
        <v>168</v>
      </c>
      <c r="G674" s="3" t="s">
        <v>40</v>
      </c>
      <c r="H674" s="3" t="s">
        <v>30</v>
      </c>
      <c r="I674" s="3" t="s">
        <v>37</v>
      </c>
      <c r="J674" s="0" t="n">
        <v>1</v>
      </c>
      <c r="K674" s="0" t="n">
        <v>0</v>
      </c>
      <c r="L674" s="0" t="n">
        <v>0</v>
      </c>
      <c r="M674" s="0" t="n">
        <v>0</v>
      </c>
      <c r="N674" s="0" t="str">
        <f aca="false">IF(OR(NOT(OR(J674=0,J674=1)),NOT(OR(K674=0,K674=1)),NOT(OR(L674=0,L674=1)),NOT(OR(M674=0,M674=1)),NOT(OR(U674=0,U674=1))),"Yes","No")</f>
        <v>No</v>
      </c>
      <c r="O674" s="0" t="str">
        <f aca="false">IF(OR(AND(M674=1,L674=0),AND(L674=1,K674=0),AND(K674=1,J674=0)),"Yes","No")</f>
        <v>No</v>
      </c>
      <c r="P674" s="0" t="n">
        <v>0</v>
      </c>
      <c r="Q674" s="0" t="str">
        <f aca="false">IF(OR(AND(M674=0,P674&gt;0),AND(M674=1,P674&lt;=0)),"Yes","No")</f>
        <v>No</v>
      </c>
      <c r="R674" s="0" t="str">
        <f aca="false">IF(AND(M674=1,P674&gt;calc_helpers!$B$5),"Yes","No")</f>
        <v>No</v>
      </c>
      <c r="S674" s="0" t="n">
        <v>1</v>
      </c>
      <c r="T674" s="0" t="str">
        <f aca="false">IF(S674&gt;0,"Yes","No")</f>
        <v>Yes</v>
      </c>
      <c r="U674" s="0" t="n">
        <v>0</v>
      </c>
      <c r="W674" s="0" t="str">
        <f aca="false">IF(OR(AND(M674=1,ISBLANK(V674)),AND(M674=0,NOT(ISBLANK(V674)))),"Yes","No")</f>
        <v>No</v>
      </c>
      <c r="X674" s="0" t="n">
        <v>19.1</v>
      </c>
      <c r="Y674" s="3" t="s">
        <v>30</v>
      </c>
      <c r="Z674" s="0" t="str">
        <f aca="false">IF(M674=1,P674,"")</f>
        <v/>
      </c>
    </row>
    <row r="675" customFormat="false" ht="15" hidden="false" customHeight="false" outlineLevel="0" collapsed="false">
      <c r="A675" s="0" t="s">
        <v>718</v>
      </c>
      <c r="B675" s="2" t="n">
        <v>45737</v>
      </c>
      <c r="C675" s="3" t="s">
        <v>27</v>
      </c>
      <c r="D675" s="3" t="s">
        <v>43</v>
      </c>
      <c r="E675" s="3" t="s">
        <v>167</v>
      </c>
      <c r="F675" s="3" t="s">
        <v>168</v>
      </c>
      <c r="G675" s="3" t="s">
        <v>40</v>
      </c>
      <c r="H675" s="3" t="s">
        <v>30</v>
      </c>
      <c r="I675" s="3" t="s">
        <v>37</v>
      </c>
      <c r="J675" s="0" t="n">
        <v>1</v>
      </c>
      <c r="K675" s="0" t="n">
        <v>0</v>
      </c>
      <c r="L675" s="0" t="n">
        <v>0</v>
      </c>
      <c r="M675" s="0" t="n">
        <v>0</v>
      </c>
      <c r="N675" s="0" t="str">
        <f aca="false">IF(OR(NOT(OR(J675=0,J675=1)),NOT(OR(K675=0,K675=1)),NOT(OR(L675=0,L675=1)),NOT(OR(M675=0,M675=1)),NOT(OR(U675=0,U675=1))),"Yes","No")</f>
        <v>No</v>
      </c>
      <c r="O675" s="0" t="str">
        <f aca="false">IF(OR(AND(M675=1,L675=0),AND(L675=1,K675=0),AND(K675=1,J675=0)),"Yes","No")</f>
        <v>No</v>
      </c>
      <c r="P675" s="0" t="n">
        <v>0</v>
      </c>
      <c r="Q675" s="0" t="str">
        <f aca="false">IF(OR(AND(M675=0,P675&gt;0),AND(M675=1,P675&lt;=0)),"Yes","No")</f>
        <v>No</v>
      </c>
      <c r="R675" s="0" t="str">
        <f aca="false">IF(AND(M675=1,P675&gt;calc_helpers!$B$5),"Yes","No")</f>
        <v>No</v>
      </c>
      <c r="S675" s="0" t="n">
        <v>0</v>
      </c>
      <c r="T675" s="0" t="str">
        <f aca="false">IF(S675&gt;0,"Yes","No")</f>
        <v>No</v>
      </c>
      <c r="U675" s="0" t="n">
        <v>0</v>
      </c>
      <c r="W675" s="0" t="str">
        <f aca="false">IF(OR(AND(M675=1,ISBLANK(V675)),AND(M675=0,NOT(ISBLANK(V675)))),"Yes","No")</f>
        <v>No</v>
      </c>
      <c r="X675" s="0" t="n">
        <v>36.8</v>
      </c>
      <c r="Y675" s="3" t="s">
        <v>30</v>
      </c>
      <c r="Z675" s="0" t="str">
        <f aca="false">IF(M675=1,P675,"")</f>
        <v/>
      </c>
    </row>
    <row r="676" customFormat="false" ht="15" hidden="false" customHeight="false" outlineLevel="0" collapsed="false">
      <c r="A676" s="0" t="s">
        <v>719</v>
      </c>
      <c r="B676" s="2" t="n">
        <v>45789</v>
      </c>
      <c r="C676" s="3" t="s">
        <v>27</v>
      </c>
      <c r="D676" s="3" t="s">
        <v>28</v>
      </c>
      <c r="E676" s="3" t="s">
        <v>29</v>
      </c>
      <c r="F676" s="3" t="s">
        <v>30</v>
      </c>
      <c r="G676" s="3" t="s">
        <v>40</v>
      </c>
      <c r="H676" s="3" t="s">
        <v>30</v>
      </c>
      <c r="I676" s="3" t="s">
        <v>32</v>
      </c>
      <c r="J676" s="0" t="n">
        <v>0</v>
      </c>
      <c r="K676" s="0" t="n">
        <v>0</v>
      </c>
      <c r="L676" s="0" t="n">
        <v>0</v>
      </c>
      <c r="M676" s="0" t="n">
        <v>0</v>
      </c>
      <c r="N676" s="0" t="str">
        <f aca="false">IF(OR(NOT(OR(J676=0,J676=1)),NOT(OR(K676=0,K676=1)),NOT(OR(L676=0,L676=1)),NOT(OR(M676=0,M676=1)),NOT(OR(U676=0,U676=1))),"Yes","No")</f>
        <v>No</v>
      </c>
      <c r="O676" s="0" t="str">
        <f aca="false">IF(OR(AND(M676=1,L676=0),AND(L676=1,K676=0),AND(K676=1,J676=0)),"Yes","No")</f>
        <v>No</v>
      </c>
      <c r="P676" s="0" t="n">
        <v>0</v>
      </c>
      <c r="Q676" s="0" t="str">
        <f aca="false">IF(OR(AND(M676=0,P676&gt;0),AND(M676=1,P676&lt;=0)),"Yes","No")</f>
        <v>No</v>
      </c>
      <c r="R676" s="0" t="str">
        <f aca="false">IF(AND(M676=1,P676&gt;calc_helpers!$B$5),"Yes","No")</f>
        <v>No</v>
      </c>
      <c r="S676" s="0" t="n">
        <v>0</v>
      </c>
      <c r="T676" s="0" t="str">
        <f aca="false">IF(S676&gt;0,"Yes","No")</f>
        <v>No</v>
      </c>
      <c r="U676" s="0" t="n">
        <v>0</v>
      </c>
      <c r="W676" s="0" t="str">
        <f aca="false">IF(OR(AND(M676=1,ISBLANK(V676)),AND(M676=0,NOT(ISBLANK(V676)))),"Yes","No")</f>
        <v>No</v>
      </c>
      <c r="X676" s="0" t="n">
        <v>68.5</v>
      </c>
      <c r="Y676" s="3" t="s">
        <v>30</v>
      </c>
      <c r="Z676" s="0" t="str">
        <f aca="false">IF(M676=1,P676,"")</f>
        <v/>
      </c>
    </row>
    <row r="677" customFormat="false" ht="15" hidden="false" customHeight="false" outlineLevel="0" collapsed="false">
      <c r="A677" s="0" t="s">
        <v>720</v>
      </c>
      <c r="B677" s="2" t="n">
        <v>45801</v>
      </c>
      <c r="C677" s="3" t="s">
        <v>27</v>
      </c>
      <c r="D677" s="3" t="s">
        <v>34</v>
      </c>
      <c r="E677" s="3" t="s">
        <v>35</v>
      </c>
      <c r="F677" s="3" t="s">
        <v>30</v>
      </c>
      <c r="G677" s="3" t="s">
        <v>40</v>
      </c>
      <c r="H677" s="3" t="s">
        <v>30</v>
      </c>
      <c r="I677" s="3" t="s">
        <v>37</v>
      </c>
      <c r="J677" s="0" t="n">
        <v>1</v>
      </c>
      <c r="K677" s="0" t="n">
        <v>1</v>
      </c>
      <c r="L677" s="0" t="n">
        <v>1</v>
      </c>
      <c r="M677" s="0" t="n">
        <v>0</v>
      </c>
      <c r="N677" s="0" t="str">
        <f aca="false">IF(OR(NOT(OR(J677=0,J677=1)),NOT(OR(K677=0,K677=1)),NOT(OR(L677=0,L677=1)),NOT(OR(M677=0,M677=1)),NOT(OR(U677=0,U677=1))),"Yes","No")</f>
        <v>No</v>
      </c>
      <c r="O677" s="0" t="str">
        <f aca="false">IF(OR(AND(M677=1,L677=0),AND(L677=1,K677=0),AND(K677=1,J677=0)),"Yes","No")</f>
        <v>No</v>
      </c>
      <c r="P677" s="0" t="n">
        <v>0</v>
      </c>
      <c r="Q677" s="0" t="str">
        <f aca="false">IF(OR(AND(M677=0,P677&gt;0),AND(M677=1,P677&lt;=0)),"Yes","No")</f>
        <v>No</v>
      </c>
      <c r="R677" s="0" t="str">
        <f aca="false">IF(AND(M677=1,P677&gt;calc_helpers!$B$5),"Yes","No")</f>
        <v>No</v>
      </c>
      <c r="S677" s="0" t="n">
        <v>0</v>
      </c>
      <c r="T677" s="0" t="str">
        <f aca="false">IF(S677&gt;0,"Yes","No")</f>
        <v>No</v>
      </c>
      <c r="U677" s="0" t="n">
        <v>0</v>
      </c>
      <c r="W677" s="0" t="str">
        <f aca="false">IF(OR(AND(M677=1,ISBLANK(V677)),AND(M677=0,NOT(ISBLANK(V677)))),"Yes","No")</f>
        <v>No</v>
      </c>
      <c r="X677" s="0" t="n">
        <v>40.1</v>
      </c>
      <c r="Y677" s="3" t="s">
        <v>30</v>
      </c>
      <c r="Z677" s="0" t="str">
        <f aca="false">IF(M677=1,P677,"")</f>
        <v/>
      </c>
    </row>
    <row r="678" customFormat="false" ht="15" hidden="false" customHeight="false" outlineLevel="0" collapsed="false">
      <c r="A678" s="0" t="s">
        <v>721</v>
      </c>
      <c r="B678" s="2" t="n">
        <v>45780</v>
      </c>
      <c r="C678" s="3" t="s">
        <v>27</v>
      </c>
      <c r="D678" s="3" t="s">
        <v>34</v>
      </c>
      <c r="E678" s="3" t="s">
        <v>45</v>
      </c>
      <c r="F678" s="3" t="s">
        <v>30</v>
      </c>
      <c r="G678" s="3" t="s">
        <v>36</v>
      </c>
      <c r="H678" s="3" t="s">
        <v>30</v>
      </c>
      <c r="I678" s="3" t="s">
        <v>37</v>
      </c>
      <c r="J678" s="0" t="n">
        <v>1</v>
      </c>
      <c r="K678" s="0" t="n">
        <v>0</v>
      </c>
      <c r="L678" s="0" t="n">
        <v>0</v>
      </c>
      <c r="M678" s="0" t="n">
        <v>0</v>
      </c>
      <c r="N678" s="0" t="str">
        <f aca="false">IF(OR(NOT(OR(J678=0,J678=1)),NOT(OR(K678=0,K678=1)),NOT(OR(L678=0,L678=1)),NOT(OR(M678=0,M678=1)),NOT(OR(U678=0,U678=1))),"Yes","No")</f>
        <v>No</v>
      </c>
      <c r="O678" s="0" t="str">
        <f aca="false">IF(OR(AND(M678=1,L678=0),AND(L678=1,K678=0),AND(K678=1,J678=0)),"Yes","No")</f>
        <v>No</v>
      </c>
      <c r="P678" s="0" t="n">
        <v>0</v>
      </c>
      <c r="Q678" s="0" t="str">
        <f aca="false">IF(OR(AND(M678=0,P678&gt;0),AND(M678=1,P678&lt;=0)),"Yes","No")</f>
        <v>No</v>
      </c>
      <c r="R678" s="0" t="str">
        <f aca="false">IF(AND(M678=1,P678&gt;calc_helpers!$B$5),"Yes","No")</f>
        <v>No</v>
      </c>
      <c r="S678" s="0" t="n">
        <v>0</v>
      </c>
      <c r="T678" s="0" t="str">
        <f aca="false">IF(S678&gt;0,"Yes","No")</f>
        <v>No</v>
      </c>
      <c r="U678" s="0" t="n">
        <v>0</v>
      </c>
      <c r="W678" s="0" t="str">
        <f aca="false">IF(OR(AND(M678=1,ISBLANK(V678)),AND(M678=0,NOT(ISBLANK(V678)))),"Yes","No")</f>
        <v>No</v>
      </c>
      <c r="X678" s="0" t="n">
        <v>47.5</v>
      </c>
      <c r="Y678" s="3" t="s">
        <v>30</v>
      </c>
      <c r="Z678" s="0" t="str">
        <f aca="false">IF(M678=1,P678,"")</f>
        <v/>
      </c>
    </row>
    <row r="679" customFormat="false" ht="15" hidden="false" customHeight="false" outlineLevel="0" collapsed="false">
      <c r="A679" s="0" t="s">
        <v>722</v>
      </c>
      <c r="B679" s="2" t="n">
        <v>45671</v>
      </c>
      <c r="C679" s="3" t="s">
        <v>27</v>
      </c>
      <c r="D679" s="3" t="s">
        <v>43</v>
      </c>
      <c r="E679" s="3" t="s">
        <v>35</v>
      </c>
      <c r="F679" s="3" t="s">
        <v>30</v>
      </c>
      <c r="G679" s="3" t="s">
        <v>36</v>
      </c>
      <c r="H679" s="3" t="s">
        <v>30</v>
      </c>
      <c r="I679" s="3" t="s">
        <v>32</v>
      </c>
      <c r="J679" s="0" t="n">
        <v>1</v>
      </c>
      <c r="K679" s="0" t="n">
        <v>0</v>
      </c>
      <c r="L679" s="0" t="n">
        <v>0</v>
      </c>
      <c r="M679" s="0" t="n">
        <v>0</v>
      </c>
      <c r="N679" s="0" t="str">
        <f aca="false">IF(OR(NOT(OR(J679=0,J679=1)),NOT(OR(K679=0,K679=1)),NOT(OR(L679=0,L679=1)),NOT(OR(M679=0,M679=1)),NOT(OR(U679=0,U679=1))),"Yes","No")</f>
        <v>No</v>
      </c>
      <c r="O679" s="0" t="str">
        <f aca="false">IF(OR(AND(M679=1,L679=0),AND(L679=1,K679=0),AND(K679=1,J679=0)),"Yes","No")</f>
        <v>No</v>
      </c>
      <c r="P679" s="0" t="n">
        <v>0</v>
      </c>
      <c r="Q679" s="0" t="str">
        <f aca="false">IF(OR(AND(M679=0,P679&gt;0),AND(M679=1,P679&lt;=0)),"Yes","No")</f>
        <v>No</v>
      </c>
      <c r="R679" s="0" t="str">
        <f aca="false">IF(AND(M679=1,P679&gt;calc_helpers!$B$5),"Yes","No")</f>
        <v>No</v>
      </c>
      <c r="S679" s="0" t="n">
        <v>0</v>
      </c>
      <c r="T679" s="0" t="str">
        <f aca="false">IF(S679&gt;0,"Yes","No")</f>
        <v>No</v>
      </c>
      <c r="U679" s="0" t="n">
        <v>0</v>
      </c>
      <c r="W679" s="0" t="str">
        <f aca="false">IF(OR(AND(M679=1,ISBLANK(V679)),AND(M679=0,NOT(ISBLANK(V679)))),"Yes","No")</f>
        <v>No</v>
      </c>
      <c r="X679" s="0" t="n">
        <v>77.1</v>
      </c>
      <c r="Y679" s="3" t="s">
        <v>30</v>
      </c>
      <c r="Z679" s="0" t="str">
        <f aca="false">IF(M679=1,P679,"")</f>
        <v/>
      </c>
    </row>
    <row r="680" customFormat="false" ht="15" hidden="false" customHeight="false" outlineLevel="0" collapsed="false">
      <c r="A680" s="0" t="s">
        <v>723</v>
      </c>
      <c r="B680" s="2" t="n">
        <v>45743</v>
      </c>
      <c r="C680" s="3" t="s">
        <v>27</v>
      </c>
      <c r="D680" s="3" t="s">
        <v>34</v>
      </c>
      <c r="E680" s="3" t="s">
        <v>35</v>
      </c>
      <c r="F680" s="3" t="s">
        <v>30</v>
      </c>
      <c r="G680" s="3" t="s">
        <v>52</v>
      </c>
      <c r="H680" s="3" t="s">
        <v>30</v>
      </c>
      <c r="I680" s="3" t="s">
        <v>32</v>
      </c>
      <c r="J680" s="0" t="n">
        <v>1</v>
      </c>
      <c r="K680" s="0" t="n">
        <v>0</v>
      </c>
      <c r="L680" s="0" t="n">
        <v>0</v>
      </c>
      <c r="M680" s="0" t="n">
        <v>0</v>
      </c>
      <c r="N680" s="0" t="str">
        <f aca="false">IF(OR(NOT(OR(J680=0,J680=1)),NOT(OR(K680=0,K680=1)),NOT(OR(L680=0,L680=1)),NOT(OR(M680=0,M680=1)),NOT(OR(U680=0,U680=1))),"Yes","No")</f>
        <v>No</v>
      </c>
      <c r="O680" s="0" t="str">
        <f aca="false">IF(OR(AND(M680=1,L680=0),AND(L680=1,K680=0),AND(K680=1,J680=0)),"Yes","No")</f>
        <v>No</v>
      </c>
      <c r="P680" s="0" t="n">
        <v>0</v>
      </c>
      <c r="Q680" s="0" t="str">
        <f aca="false">IF(OR(AND(M680=0,P680&gt;0),AND(M680=1,P680&lt;=0)),"Yes","No")</f>
        <v>No</v>
      </c>
      <c r="R680" s="0" t="str">
        <f aca="false">IF(AND(M680=1,P680&gt;calc_helpers!$B$5),"Yes","No")</f>
        <v>No</v>
      </c>
      <c r="S680" s="0" t="n">
        <v>0</v>
      </c>
      <c r="T680" s="0" t="str">
        <f aca="false">IF(S680&gt;0,"Yes","No")</f>
        <v>No</v>
      </c>
      <c r="U680" s="0" t="n">
        <v>0</v>
      </c>
      <c r="W680" s="0" t="str">
        <f aca="false">IF(OR(AND(M680=1,ISBLANK(V680)),AND(M680=0,NOT(ISBLANK(V680)))),"Yes","No")</f>
        <v>No</v>
      </c>
      <c r="X680" s="0" t="n">
        <v>75.9</v>
      </c>
      <c r="Y680" s="3" t="s">
        <v>30</v>
      </c>
      <c r="Z680" s="0" t="str">
        <f aca="false">IF(M680=1,P680,"")</f>
        <v/>
      </c>
    </row>
    <row r="681" customFormat="false" ht="15" hidden="false" customHeight="false" outlineLevel="0" collapsed="false">
      <c r="A681" s="0" t="s">
        <v>724</v>
      </c>
      <c r="B681" s="2" t="n">
        <v>45716</v>
      </c>
      <c r="C681" s="3" t="s">
        <v>27</v>
      </c>
      <c r="D681" s="3" t="s">
        <v>28</v>
      </c>
      <c r="E681" s="3" t="s">
        <v>29</v>
      </c>
      <c r="F681" s="3" t="s">
        <v>30</v>
      </c>
      <c r="G681" s="3" t="s">
        <v>50</v>
      </c>
      <c r="H681" s="3" t="s">
        <v>30</v>
      </c>
      <c r="I681" s="3" t="s">
        <v>41</v>
      </c>
      <c r="J681" s="0" t="n">
        <v>0</v>
      </c>
      <c r="K681" s="0" t="n">
        <v>0</v>
      </c>
      <c r="L681" s="0" t="n">
        <v>0</v>
      </c>
      <c r="M681" s="0" t="n">
        <v>0</v>
      </c>
      <c r="N681" s="0" t="str">
        <f aca="false">IF(OR(NOT(OR(J681=0,J681=1)),NOT(OR(K681=0,K681=1)),NOT(OR(L681=0,L681=1)),NOT(OR(M681=0,M681=1)),NOT(OR(U681=0,U681=1))),"Yes","No")</f>
        <v>No</v>
      </c>
      <c r="O681" s="0" t="str">
        <f aca="false">IF(OR(AND(M681=1,L681=0),AND(L681=1,K681=0),AND(K681=1,J681=0)),"Yes","No")</f>
        <v>No</v>
      </c>
      <c r="P681" s="0" t="n">
        <v>0</v>
      </c>
      <c r="Q681" s="0" t="str">
        <f aca="false">IF(OR(AND(M681=0,P681&gt;0),AND(M681=1,P681&lt;=0)),"Yes","No")</f>
        <v>No</v>
      </c>
      <c r="R681" s="0" t="str">
        <f aca="false">IF(AND(M681=1,P681&gt;calc_helpers!$B$5),"Yes","No")</f>
        <v>No</v>
      </c>
      <c r="S681" s="0" t="n">
        <v>1</v>
      </c>
      <c r="T681" s="0" t="str">
        <f aca="false">IF(S681&gt;0,"Yes","No")</f>
        <v>Yes</v>
      </c>
      <c r="U681" s="0" t="n">
        <v>0</v>
      </c>
      <c r="W681" s="0" t="str">
        <f aca="false">IF(OR(AND(M681=1,ISBLANK(V681)),AND(M681=0,NOT(ISBLANK(V681)))),"Yes","No")</f>
        <v>No</v>
      </c>
      <c r="X681" s="0" t="n">
        <v>52</v>
      </c>
      <c r="Y681" s="3" t="s">
        <v>30</v>
      </c>
      <c r="Z681" s="0" t="str">
        <f aca="false">IF(M681=1,P681,"")</f>
        <v/>
      </c>
    </row>
    <row r="682" customFormat="false" ht="15" hidden="false" customHeight="false" outlineLevel="0" collapsed="false">
      <c r="A682" s="0" t="s">
        <v>725</v>
      </c>
      <c r="B682" s="2" t="n">
        <v>45789</v>
      </c>
      <c r="C682" s="3" t="s">
        <v>27</v>
      </c>
      <c r="D682" s="3" t="s">
        <v>34</v>
      </c>
      <c r="E682" s="3" t="s">
        <v>29</v>
      </c>
      <c r="F682" s="3" t="s">
        <v>30</v>
      </c>
      <c r="G682" s="3" t="s">
        <v>50</v>
      </c>
      <c r="H682" s="3" t="s">
        <v>30</v>
      </c>
      <c r="I682" s="3" t="s">
        <v>41</v>
      </c>
      <c r="J682" s="0" t="n">
        <v>1</v>
      </c>
      <c r="K682" s="0" t="n">
        <v>1</v>
      </c>
      <c r="L682" s="0" t="n">
        <v>1</v>
      </c>
      <c r="M682" s="0" t="n">
        <v>0</v>
      </c>
      <c r="N682" s="0" t="str">
        <f aca="false">IF(OR(NOT(OR(J682=0,J682=1)),NOT(OR(K682=0,K682=1)),NOT(OR(L682=0,L682=1)),NOT(OR(M682=0,M682=1)),NOT(OR(U682=0,U682=1))),"Yes","No")</f>
        <v>No</v>
      </c>
      <c r="O682" s="0" t="str">
        <f aca="false">IF(OR(AND(M682=1,L682=0),AND(L682=1,K682=0),AND(K682=1,J682=0)),"Yes","No")</f>
        <v>No</v>
      </c>
      <c r="P682" s="0" t="n">
        <v>0</v>
      </c>
      <c r="Q682" s="0" t="str">
        <f aca="false">IF(OR(AND(M682=0,P682&gt;0),AND(M682=1,P682&lt;=0)),"Yes","No")</f>
        <v>No</v>
      </c>
      <c r="R682" s="0" t="str">
        <f aca="false">IF(AND(M682=1,P682&gt;calc_helpers!$B$5),"Yes","No")</f>
        <v>No</v>
      </c>
      <c r="S682" s="0" t="n">
        <v>0</v>
      </c>
      <c r="T682" s="0" t="str">
        <f aca="false">IF(S682&gt;0,"Yes","No")</f>
        <v>No</v>
      </c>
      <c r="U682" s="0" t="n">
        <v>0</v>
      </c>
      <c r="W682" s="0" t="str">
        <f aca="false">IF(OR(AND(M682=1,ISBLANK(V682)),AND(M682=0,NOT(ISBLANK(V682)))),"Yes","No")</f>
        <v>No</v>
      </c>
      <c r="X682" s="0" t="n">
        <v>64.9</v>
      </c>
      <c r="Y682" s="3" t="s">
        <v>30</v>
      </c>
      <c r="Z682" s="0" t="str">
        <f aca="false">IF(M682=1,P682,"")</f>
        <v/>
      </c>
    </row>
    <row r="683" customFormat="false" ht="15" hidden="false" customHeight="false" outlineLevel="0" collapsed="false">
      <c r="A683" s="0" t="s">
        <v>726</v>
      </c>
      <c r="B683" s="2" t="n">
        <v>45730</v>
      </c>
      <c r="C683" s="3" t="s">
        <v>27</v>
      </c>
      <c r="D683" s="3" t="s">
        <v>28</v>
      </c>
      <c r="E683" s="3" t="s">
        <v>35</v>
      </c>
      <c r="F683" s="3" t="s">
        <v>30</v>
      </c>
      <c r="G683" s="3" t="s">
        <v>36</v>
      </c>
      <c r="H683" s="3" t="s">
        <v>30</v>
      </c>
      <c r="I683" s="3" t="s">
        <v>37</v>
      </c>
      <c r="J683" s="0" t="n">
        <v>1</v>
      </c>
      <c r="K683" s="0" t="n">
        <v>0</v>
      </c>
      <c r="L683" s="0" t="n">
        <v>0</v>
      </c>
      <c r="M683" s="0" t="n">
        <v>0</v>
      </c>
      <c r="N683" s="0" t="str">
        <f aca="false">IF(OR(NOT(OR(J683=0,J683=1)),NOT(OR(K683=0,K683=1)),NOT(OR(L683=0,L683=1)),NOT(OR(M683=0,M683=1)),NOT(OR(U683=0,U683=1))),"Yes","No")</f>
        <v>No</v>
      </c>
      <c r="O683" s="0" t="str">
        <f aca="false">IF(OR(AND(M683=1,L683=0),AND(L683=1,K683=0),AND(K683=1,J683=0)),"Yes","No")</f>
        <v>No</v>
      </c>
      <c r="P683" s="0" t="n">
        <v>0</v>
      </c>
      <c r="Q683" s="0" t="str">
        <f aca="false">IF(OR(AND(M683=0,P683&gt;0),AND(M683=1,P683&lt;=0)),"Yes","No")</f>
        <v>No</v>
      </c>
      <c r="R683" s="0" t="str">
        <f aca="false">IF(AND(M683=1,P683&gt;calc_helpers!$B$5),"Yes","No")</f>
        <v>No</v>
      </c>
      <c r="S683" s="0" t="n">
        <v>0</v>
      </c>
      <c r="T683" s="0" t="str">
        <f aca="false">IF(S683&gt;0,"Yes","No")</f>
        <v>No</v>
      </c>
      <c r="U683" s="0" t="n">
        <v>0</v>
      </c>
      <c r="W683" s="0" t="str">
        <f aca="false">IF(OR(AND(M683=1,ISBLANK(V683)),AND(M683=0,NOT(ISBLANK(V683)))),"Yes","No")</f>
        <v>No</v>
      </c>
      <c r="X683" s="0" t="n">
        <v>48.2</v>
      </c>
      <c r="Y683" s="3" t="s">
        <v>30</v>
      </c>
      <c r="Z683" s="0" t="str">
        <f aca="false">IF(M683=1,P683,"")</f>
        <v/>
      </c>
    </row>
    <row r="684" customFormat="false" ht="15" hidden="false" customHeight="false" outlineLevel="0" collapsed="false">
      <c r="A684" s="0" t="s">
        <v>727</v>
      </c>
      <c r="B684" s="2" t="n">
        <v>45797</v>
      </c>
      <c r="C684" s="3" t="s">
        <v>27</v>
      </c>
      <c r="D684" s="3" t="s">
        <v>39</v>
      </c>
      <c r="E684" s="3" t="s">
        <v>35</v>
      </c>
      <c r="F684" s="3" t="s">
        <v>30</v>
      </c>
      <c r="G684" s="3" t="s">
        <v>36</v>
      </c>
      <c r="H684" s="3" t="s">
        <v>30</v>
      </c>
      <c r="I684" s="3" t="s">
        <v>32</v>
      </c>
      <c r="J684" s="0" t="n">
        <v>0</v>
      </c>
      <c r="K684" s="0" t="n">
        <v>0</v>
      </c>
      <c r="L684" s="0" t="n">
        <v>0</v>
      </c>
      <c r="M684" s="0" t="n">
        <v>0</v>
      </c>
      <c r="N684" s="0" t="str">
        <f aca="false">IF(OR(NOT(OR(J684=0,J684=1)),NOT(OR(K684=0,K684=1)),NOT(OR(L684=0,L684=1)),NOT(OR(M684=0,M684=1)),NOT(OR(U684=0,U684=1))),"Yes","No")</f>
        <v>No</v>
      </c>
      <c r="O684" s="0" t="str">
        <f aca="false">IF(OR(AND(M684=1,L684=0),AND(L684=1,K684=0),AND(K684=1,J684=0)),"Yes","No")</f>
        <v>No</v>
      </c>
      <c r="P684" s="0" t="n">
        <v>0</v>
      </c>
      <c r="Q684" s="0" t="str">
        <f aca="false">IF(OR(AND(M684=0,P684&gt;0),AND(M684=1,P684&lt;=0)),"Yes","No")</f>
        <v>No</v>
      </c>
      <c r="R684" s="0" t="str">
        <f aca="false">IF(AND(M684=1,P684&gt;calc_helpers!$B$5),"Yes","No")</f>
        <v>No</v>
      </c>
      <c r="S684" s="0" t="n">
        <v>0</v>
      </c>
      <c r="T684" s="0" t="str">
        <f aca="false">IF(S684&gt;0,"Yes","No")</f>
        <v>No</v>
      </c>
      <c r="U684" s="0" t="n">
        <v>0</v>
      </c>
      <c r="W684" s="0" t="str">
        <f aca="false">IF(OR(AND(M684=1,ISBLANK(V684)),AND(M684=0,NOT(ISBLANK(V684)))),"Yes","No")</f>
        <v>No</v>
      </c>
      <c r="X684" s="0" t="n">
        <v>42.1</v>
      </c>
      <c r="Y684" s="3" t="s">
        <v>30</v>
      </c>
      <c r="Z684" s="0" t="str">
        <f aca="false">IF(M684=1,P684,"")</f>
        <v/>
      </c>
    </row>
    <row r="685" customFormat="false" ht="15" hidden="false" customHeight="false" outlineLevel="0" collapsed="false">
      <c r="A685" s="0" t="s">
        <v>728</v>
      </c>
      <c r="B685" s="2" t="n">
        <v>45712</v>
      </c>
      <c r="C685" s="3" t="s">
        <v>27</v>
      </c>
      <c r="D685" s="3" t="s">
        <v>43</v>
      </c>
      <c r="E685" s="3" t="s">
        <v>29</v>
      </c>
      <c r="F685" s="3" t="s">
        <v>30</v>
      </c>
      <c r="G685" s="3" t="s">
        <v>50</v>
      </c>
      <c r="H685" s="3" t="s">
        <v>30</v>
      </c>
      <c r="I685" s="3" t="s">
        <v>37</v>
      </c>
      <c r="J685" s="0" t="n">
        <v>0</v>
      </c>
      <c r="K685" s="0" t="n">
        <v>0</v>
      </c>
      <c r="L685" s="0" t="n">
        <v>0</v>
      </c>
      <c r="M685" s="0" t="n">
        <v>0</v>
      </c>
      <c r="N685" s="0" t="str">
        <f aca="false">IF(OR(NOT(OR(J685=0,J685=1)),NOT(OR(K685=0,K685=1)),NOT(OR(L685=0,L685=1)),NOT(OR(M685=0,M685=1)),NOT(OR(U685=0,U685=1))),"Yes","No")</f>
        <v>No</v>
      </c>
      <c r="O685" s="0" t="str">
        <f aca="false">IF(OR(AND(M685=1,L685=0),AND(L685=1,K685=0),AND(K685=1,J685=0)),"Yes","No")</f>
        <v>No</v>
      </c>
      <c r="P685" s="0" t="n">
        <v>0</v>
      </c>
      <c r="Q685" s="0" t="str">
        <f aca="false">IF(OR(AND(M685=0,P685&gt;0),AND(M685=1,P685&lt;=0)),"Yes","No")</f>
        <v>No</v>
      </c>
      <c r="R685" s="0" t="str">
        <f aca="false">IF(AND(M685=1,P685&gt;calc_helpers!$B$5),"Yes","No")</f>
        <v>No</v>
      </c>
      <c r="S685" s="0" t="n">
        <v>0</v>
      </c>
      <c r="T685" s="0" t="str">
        <f aca="false">IF(S685&gt;0,"Yes","No")</f>
        <v>No</v>
      </c>
      <c r="U685" s="0" t="n">
        <v>0</v>
      </c>
      <c r="W685" s="0" t="str">
        <f aca="false">IF(OR(AND(M685=1,ISBLANK(V685)),AND(M685=0,NOT(ISBLANK(V685)))),"Yes","No")</f>
        <v>No</v>
      </c>
      <c r="X685" s="0" t="n">
        <v>27.6</v>
      </c>
      <c r="Y685" s="3" t="s">
        <v>30</v>
      </c>
      <c r="Z685" s="0" t="str">
        <f aca="false">IF(M685=1,P685,"")</f>
        <v/>
      </c>
    </row>
    <row r="686" customFormat="false" ht="15" hidden="false" customHeight="false" outlineLevel="0" collapsed="false">
      <c r="A686" s="0" t="s">
        <v>729</v>
      </c>
      <c r="B686" s="2" t="n">
        <v>45701</v>
      </c>
      <c r="C686" s="3" t="s">
        <v>27</v>
      </c>
      <c r="D686" s="3" t="s">
        <v>34</v>
      </c>
      <c r="E686" s="3" t="s">
        <v>35</v>
      </c>
      <c r="F686" s="3" t="s">
        <v>30</v>
      </c>
      <c r="G686" s="3" t="s">
        <v>36</v>
      </c>
      <c r="H686" s="3" t="s">
        <v>30</v>
      </c>
      <c r="I686" s="3" t="s">
        <v>41</v>
      </c>
      <c r="J686" s="0" t="n">
        <v>1</v>
      </c>
      <c r="K686" s="0" t="n">
        <v>0</v>
      </c>
      <c r="L686" s="0" t="n">
        <v>0</v>
      </c>
      <c r="M686" s="0" t="n">
        <v>0</v>
      </c>
      <c r="N686" s="0" t="str">
        <f aca="false">IF(OR(NOT(OR(J686=0,J686=1)),NOT(OR(K686=0,K686=1)),NOT(OR(L686=0,L686=1)),NOT(OR(M686=0,M686=1)),NOT(OR(U686=0,U686=1))),"Yes","No")</f>
        <v>No</v>
      </c>
      <c r="O686" s="0" t="str">
        <f aca="false">IF(OR(AND(M686=1,L686=0),AND(L686=1,K686=0),AND(K686=1,J686=0)),"Yes","No")</f>
        <v>No</v>
      </c>
      <c r="P686" s="0" t="n">
        <v>0</v>
      </c>
      <c r="Q686" s="0" t="str">
        <f aca="false">IF(OR(AND(M686=0,P686&gt;0),AND(M686=1,P686&lt;=0)),"Yes","No")</f>
        <v>No</v>
      </c>
      <c r="R686" s="0" t="str">
        <f aca="false">IF(AND(M686=1,P686&gt;calc_helpers!$B$5),"Yes","No")</f>
        <v>No</v>
      </c>
      <c r="S686" s="0" t="n">
        <v>1</v>
      </c>
      <c r="T686" s="0" t="str">
        <f aca="false">IF(S686&gt;0,"Yes","No")</f>
        <v>Yes</v>
      </c>
      <c r="U686" s="0" t="n">
        <v>0</v>
      </c>
      <c r="W686" s="0" t="str">
        <f aca="false">IF(OR(AND(M686=1,ISBLANK(V686)),AND(M686=0,NOT(ISBLANK(V686)))),"Yes","No")</f>
        <v>No</v>
      </c>
      <c r="X686" s="0" t="n">
        <v>68.5</v>
      </c>
      <c r="Y686" s="3" t="s">
        <v>30</v>
      </c>
      <c r="Z686" s="0" t="str">
        <f aca="false">IF(M686=1,P686,"")</f>
        <v/>
      </c>
    </row>
    <row r="687" customFormat="false" ht="15" hidden="false" customHeight="false" outlineLevel="0" collapsed="false">
      <c r="A687" s="0" t="s">
        <v>730</v>
      </c>
      <c r="B687" s="2" t="n">
        <v>45694</v>
      </c>
      <c r="C687" s="3" t="s">
        <v>27</v>
      </c>
      <c r="D687" s="3" t="s">
        <v>43</v>
      </c>
      <c r="E687" s="3" t="s">
        <v>29</v>
      </c>
      <c r="F687" s="3" t="s">
        <v>30</v>
      </c>
      <c r="G687" s="3" t="s">
        <v>36</v>
      </c>
      <c r="H687" s="3" t="s">
        <v>30</v>
      </c>
      <c r="I687" s="3" t="s">
        <v>37</v>
      </c>
      <c r="J687" s="0" t="n">
        <v>1</v>
      </c>
      <c r="K687" s="0" t="n">
        <v>1</v>
      </c>
      <c r="L687" s="0" t="n">
        <v>1</v>
      </c>
      <c r="M687" s="0" t="n">
        <v>0</v>
      </c>
      <c r="N687" s="0" t="str">
        <f aca="false">IF(OR(NOT(OR(J687=0,J687=1)),NOT(OR(K687=0,K687=1)),NOT(OR(L687=0,L687=1)),NOT(OR(M687=0,M687=1)),NOT(OR(U687=0,U687=1))),"Yes","No")</f>
        <v>No</v>
      </c>
      <c r="O687" s="0" t="str">
        <f aca="false">IF(OR(AND(M687=1,L687=0),AND(L687=1,K687=0),AND(K687=1,J687=0)),"Yes","No")</f>
        <v>No</v>
      </c>
      <c r="P687" s="0" t="n">
        <v>0</v>
      </c>
      <c r="Q687" s="0" t="str">
        <f aca="false">IF(OR(AND(M687=0,P687&gt;0),AND(M687=1,P687&lt;=0)),"Yes","No")</f>
        <v>No</v>
      </c>
      <c r="R687" s="0" t="str">
        <f aca="false">IF(AND(M687=1,P687&gt;calc_helpers!$B$5),"Yes","No")</f>
        <v>No</v>
      </c>
      <c r="S687" s="0" t="n">
        <v>0</v>
      </c>
      <c r="T687" s="0" t="str">
        <f aca="false">IF(S687&gt;0,"Yes","No")</f>
        <v>No</v>
      </c>
      <c r="U687" s="0" t="n">
        <v>0</v>
      </c>
      <c r="W687" s="0" t="str">
        <f aca="false">IF(OR(AND(M687=1,ISBLANK(V687)),AND(M687=0,NOT(ISBLANK(V687)))),"Yes","No")</f>
        <v>No</v>
      </c>
      <c r="X687" s="0" t="n">
        <v>59.2</v>
      </c>
      <c r="Y687" s="3" t="s">
        <v>30</v>
      </c>
      <c r="Z687" s="0" t="str">
        <f aca="false">IF(M687=1,P687,"")</f>
        <v/>
      </c>
    </row>
    <row r="688" customFormat="false" ht="15" hidden="false" customHeight="false" outlineLevel="0" collapsed="false">
      <c r="A688" s="0" t="s">
        <v>731</v>
      </c>
      <c r="B688" s="2" t="n">
        <v>45718</v>
      </c>
      <c r="C688" s="3" t="s">
        <v>27</v>
      </c>
      <c r="D688" s="3" t="s">
        <v>28</v>
      </c>
      <c r="E688" s="3" t="s">
        <v>35</v>
      </c>
      <c r="F688" s="3" t="s">
        <v>30</v>
      </c>
      <c r="G688" s="3" t="s">
        <v>52</v>
      </c>
      <c r="H688" s="3" t="s">
        <v>30</v>
      </c>
      <c r="I688" s="3" t="s">
        <v>32</v>
      </c>
      <c r="J688" s="0" t="n">
        <v>1</v>
      </c>
      <c r="K688" s="0" t="n">
        <v>0</v>
      </c>
      <c r="L688" s="0" t="n">
        <v>0</v>
      </c>
      <c r="M688" s="0" t="n">
        <v>0</v>
      </c>
      <c r="N688" s="0" t="str">
        <f aca="false">IF(OR(NOT(OR(J688=0,J688=1)),NOT(OR(K688=0,K688=1)),NOT(OR(L688=0,L688=1)),NOT(OR(M688=0,M688=1)),NOT(OR(U688=0,U688=1))),"Yes","No")</f>
        <v>No</v>
      </c>
      <c r="O688" s="0" t="str">
        <f aca="false">IF(OR(AND(M688=1,L688=0),AND(L688=1,K688=0),AND(K688=1,J688=0)),"Yes","No")</f>
        <v>No</v>
      </c>
      <c r="P688" s="0" t="n">
        <v>0</v>
      </c>
      <c r="Q688" s="0" t="str">
        <f aca="false">IF(OR(AND(M688=0,P688&gt;0),AND(M688=1,P688&lt;=0)),"Yes","No")</f>
        <v>No</v>
      </c>
      <c r="R688" s="0" t="str">
        <f aca="false">IF(AND(M688=1,P688&gt;calc_helpers!$B$5),"Yes","No")</f>
        <v>No</v>
      </c>
      <c r="S688" s="0" t="n">
        <v>0</v>
      </c>
      <c r="T688" s="0" t="str">
        <f aca="false">IF(S688&gt;0,"Yes","No")</f>
        <v>No</v>
      </c>
      <c r="U688" s="0" t="n">
        <v>0</v>
      </c>
      <c r="W688" s="0" t="str">
        <f aca="false">IF(OR(AND(M688=1,ISBLANK(V688)),AND(M688=0,NOT(ISBLANK(V688)))),"Yes","No")</f>
        <v>No</v>
      </c>
      <c r="X688" s="0" t="n">
        <v>63.3</v>
      </c>
      <c r="Y688" s="3" t="s">
        <v>30</v>
      </c>
      <c r="Z688" s="0" t="str">
        <f aca="false">IF(M688=1,P688,"")</f>
        <v/>
      </c>
    </row>
    <row r="689" customFormat="false" ht="15" hidden="false" customHeight="false" outlineLevel="0" collapsed="false">
      <c r="A689" s="0" t="s">
        <v>732</v>
      </c>
      <c r="B689" s="2" t="n">
        <v>45775</v>
      </c>
      <c r="C689" s="3" t="s">
        <v>27</v>
      </c>
      <c r="D689" s="3" t="s">
        <v>39</v>
      </c>
      <c r="E689" s="3" t="s">
        <v>29</v>
      </c>
      <c r="F689" s="3" t="s">
        <v>30</v>
      </c>
      <c r="G689" s="3" t="s">
        <v>40</v>
      </c>
      <c r="H689" s="3" t="s">
        <v>30</v>
      </c>
      <c r="I689" s="3" t="s">
        <v>37</v>
      </c>
      <c r="J689" s="0" t="n">
        <v>0</v>
      </c>
      <c r="K689" s="0" t="n">
        <v>0</v>
      </c>
      <c r="L689" s="0" t="n">
        <v>0</v>
      </c>
      <c r="M689" s="0" t="n">
        <v>0</v>
      </c>
      <c r="N689" s="0" t="str">
        <f aca="false">IF(OR(NOT(OR(J689=0,J689=1)),NOT(OR(K689=0,K689=1)),NOT(OR(L689=0,L689=1)),NOT(OR(M689=0,M689=1)),NOT(OR(U689=0,U689=1))),"Yes","No")</f>
        <v>No</v>
      </c>
      <c r="O689" s="0" t="str">
        <f aca="false">IF(OR(AND(M689=1,L689=0),AND(L689=1,K689=0),AND(K689=1,J689=0)),"Yes","No")</f>
        <v>No</v>
      </c>
      <c r="P689" s="0" t="n">
        <v>0</v>
      </c>
      <c r="Q689" s="0" t="str">
        <f aca="false">IF(OR(AND(M689=0,P689&gt;0),AND(M689=1,P689&lt;=0)),"Yes","No")</f>
        <v>No</v>
      </c>
      <c r="R689" s="0" t="str">
        <f aca="false">IF(AND(M689=1,P689&gt;calc_helpers!$B$5),"Yes","No")</f>
        <v>No</v>
      </c>
      <c r="S689" s="0" t="n">
        <v>0</v>
      </c>
      <c r="T689" s="0" t="str">
        <f aca="false">IF(S689&gt;0,"Yes","No")</f>
        <v>No</v>
      </c>
      <c r="U689" s="0" t="n">
        <v>0</v>
      </c>
      <c r="W689" s="0" t="str">
        <f aca="false">IF(OR(AND(M689=1,ISBLANK(V689)),AND(M689=0,NOT(ISBLANK(V689)))),"Yes","No")</f>
        <v>No</v>
      </c>
      <c r="X689" s="0" t="n">
        <v>55</v>
      </c>
      <c r="Y689" s="3" t="s">
        <v>30</v>
      </c>
      <c r="Z689" s="0" t="str">
        <f aca="false">IF(M689=1,P689,"")</f>
        <v/>
      </c>
    </row>
    <row r="690" customFormat="false" ht="15" hidden="false" customHeight="false" outlineLevel="0" collapsed="false">
      <c r="A690" s="0" t="s">
        <v>733</v>
      </c>
      <c r="B690" s="2" t="n">
        <v>45804</v>
      </c>
      <c r="C690" s="3" t="s">
        <v>27</v>
      </c>
      <c r="D690" s="3" t="s">
        <v>28</v>
      </c>
      <c r="E690" s="3" t="s">
        <v>29</v>
      </c>
      <c r="F690" s="3" t="s">
        <v>30</v>
      </c>
      <c r="G690" s="3" t="s">
        <v>167</v>
      </c>
      <c r="H690" s="3" t="s">
        <v>168</v>
      </c>
      <c r="I690" s="3" t="s">
        <v>41</v>
      </c>
      <c r="J690" s="0" t="n">
        <v>1</v>
      </c>
      <c r="K690" s="0" t="n">
        <v>0</v>
      </c>
      <c r="L690" s="0" t="n">
        <v>0</v>
      </c>
      <c r="M690" s="0" t="n">
        <v>0</v>
      </c>
      <c r="N690" s="0" t="str">
        <f aca="false">IF(OR(NOT(OR(J690=0,J690=1)),NOT(OR(K690=0,K690=1)),NOT(OR(L690=0,L690=1)),NOT(OR(M690=0,M690=1)),NOT(OR(U690=0,U690=1))),"Yes","No")</f>
        <v>No</v>
      </c>
      <c r="O690" s="0" t="str">
        <f aca="false">IF(OR(AND(M690=1,L690=0),AND(L690=1,K690=0),AND(K690=1,J690=0)),"Yes","No")</f>
        <v>No</v>
      </c>
      <c r="P690" s="0" t="n">
        <v>0</v>
      </c>
      <c r="Q690" s="0" t="str">
        <f aca="false">IF(OR(AND(M690=0,P690&gt;0),AND(M690=1,P690&lt;=0)),"Yes","No")</f>
        <v>No</v>
      </c>
      <c r="R690" s="0" t="str">
        <f aca="false">IF(AND(M690=1,P690&gt;calc_helpers!$B$5),"Yes","No")</f>
        <v>No</v>
      </c>
      <c r="S690" s="0" t="n">
        <v>0</v>
      </c>
      <c r="T690" s="0" t="str">
        <f aca="false">IF(S690&gt;0,"Yes","No")</f>
        <v>No</v>
      </c>
      <c r="U690" s="0" t="n">
        <v>0</v>
      </c>
      <c r="W690" s="0" t="str">
        <f aca="false">IF(OR(AND(M690=1,ISBLANK(V690)),AND(M690=0,NOT(ISBLANK(V690)))),"Yes","No")</f>
        <v>No</v>
      </c>
      <c r="X690" s="0" t="n">
        <v>64.8</v>
      </c>
      <c r="Y690" s="3" t="s">
        <v>30</v>
      </c>
      <c r="Z690" s="0" t="str">
        <f aca="false">IF(M690=1,P690,"")</f>
        <v/>
      </c>
    </row>
    <row r="691" customFormat="false" ht="15" hidden="false" customHeight="false" outlineLevel="0" collapsed="false">
      <c r="A691" s="0" t="s">
        <v>734</v>
      </c>
      <c r="B691" s="2" t="n">
        <v>45754</v>
      </c>
      <c r="C691" s="3" t="s">
        <v>27</v>
      </c>
      <c r="D691" s="3" t="s">
        <v>43</v>
      </c>
      <c r="E691" s="3" t="s">
        <v>29</v>
      </c>
      <c r="F691" s="3" t="s">
        <v>30</v>
      </c>
      <c r="G691" s="3" t="s">
        <v>36</v>
      </c>
      <c r="H691" s="3" t="s">
        <v>30</v>
      </c>
      <c r="I691" s="3" t="s">
        <v>32</v>
      </c>
      <c r="J691" s="0" t="n">
        <v>0</v>
      </c>
      <c r="K691" s="0" t="n">
        <v>0</v>
      </c>
      <c r="L691" s="0" t="n">
        <v>0</v>
      </c>
      <c r="M691" s="0" t="n">
        <v>0</v>
      </c>
      <c r="N691" s="0" t="str">
        <f aca="false">IF(OR(NOT(OR(J691=0,J691=1)),NOT(OR(K691=0,K691=1)),NOT(OR(L691=0,L691=1)),NOT(OR(M691=0,M691=1)),NOT(OR(U691=0,U691=1))),"Yes","No")</f>
        <v>No</v>
      </c>
      <c r="O691" s="0" t="str">
        <f aca="false">IF(OR(AND(M691=1,L691=0),AND(L691=1,K691=0),AND(K691=1,J691=0)),"Yes","No")</f>
        <v>No</v>
      </c>
      <c r="P691" s="0" t="n">
        <v>0</v>
      </c>
      <c r="Q691" s="0" t="str">
        <f aca="false">IF(OR(AND(M691=0,P691&gt;0),AND(M691=1,P691&lt;=0)),"Yes","No")</f>
        <v>No</v>
      </c>
      <c r="R691" s="0" t="str">
        <f aca="false">IF(AND(M691=1,P691&gt;calc_helpers!$B$5),"Yes","No")</f>
        <v>No</v>
      </c>
      <c r="S691" s="0" t="n">
        <v>2</v>
      </c>
      <c r="T691" s="0" t="str">
        <f aca="false">IF(S691&gt;0,"Yes","No")</f>
        <v>Yes</v>
      </c>
      <c r="U691" s="0" t="n">
        <v>0</v>
      </c>
      <c r="W691" s="0" t="str">
        <f aca="false">IF(OR(AND(M691=1,ISBLANK(V691)),AND(M691=0,NOT(ISBLANK(V691)))),"Yes","No")</f>
        <v>No</v>
      </c>
      <c r="X691" s="0" t="n">
        <v>41.8</v>
      </c>
      <c r="Y691" s="3" t="s">
        <v>30</v>
      </c>
      <c r="Z691" s="0" t="str">
        <f aca="false">IF(M691=1,P691,"")</f>
        <v/>
      </c>
    </row>
    <row r="692" customFormat="false" ht="15" hidden="false" customHeight="false" outlineLevel="0" collapsed="false">
      <c r="A692" s="0" t="s">
        <v>735</v>
      </c>
      <c r="B692" s="2" t="n">
        <v>45761</v>
      </c>
      <c r="C692" s="3" t="s">
        <v>736</v>
      </c>
      <c r="D692" s="3" t="s">
        <v>39</v>
      </c>
      <c r="E692" s="3" t="s">
        <v>29</v>
      </c>
      <c r="F692" s="3" t="s">
        <v>30</v>
      </c>
      <c r="G692" s="3" t="s">
        <v>52</v>
      </c>
      <c r="H692" s="3" t="s">
        <v>30</v>
      </c>
      <c r="I692" s="3" t="s">
        <v>32</v>
      </c>
      <c r="J692" s="0" t="n">
        <v>1</v>
      </c>
      <c r="K692" s="0" t="n">
        <v>0</v>
      </c>
      <c r="L692" s="0" t="n">
        <v>0</v>
      </c>
      <c r="M692" s="0" t="n">
        <v>0</v>
      </c>
      <c r="N692" s="0" t="str">
        <f aca="false">IF(OR(NOT(OR(J692=0,J692=1)),NOT(OR(K692=0,K692=1)),NOT(OR(L692=0,L692=1)),NOT(OR(M692=0,M692=1)),NOT(OR(U692=0,U692=1))),"Yes","No")</f>
        <v>No</v>
      </c>
      <c r="O692" s="0" t="str">
        <f aca="false">IF(OR(AND(M692=1,L692=0),AND(L692=1,K692=0),AND(K692=1,J692=0)),"Yes","No")</f>
        <v>No</v>
      </c>
      <c r="P692" s="0" t="n">
        <v>0</v>
      </c>
      <c r="Q692" s="0" t="str">
        <f aca="false">IF(OR(AND(M692=0,P692&gt;0),AND(M692=1,P692&lt;=0)),"Yes","No")</f>
        <v>No</v>
      </c>
      <c r="R692" s="0" t="str">
        <f aca="false">IF(AND(M692=1,P692&gt;calc_helpers!$B$5),"Yes","No")</f>
        <v>No</v>
      </c>
      <c r="S692" s="0" t="n">
        <v>0</v>
      </c>
      <c r="T692" s="0" t="str">
        <f aca="false">IF(S692&gt;0,"Yes","No")</f>
        <v>No</v>
      </c>
      <c r="U692" s="0" t="n">
        <v>0</v>
      </c>
      <c r="W692" s="0" t="str">
        <f aca="false">IF(OR(AND(M692=1,ISBLANK(V692)),AND(M692=0,NOT(ISBLANK(V692)))),"Yes","No")</f>
        <v>No</v>
      </c>
      <c r="X692" s="0" t="n">
        <v>73.2</v>
      </c>
      <c r="Y692" s="3" t="s">
        <v>30</v>
      </c>
      <c r="Z692" s="0" t="str">
        <f aca="false">IF(M692=1,P692,"")</f>
        <v/>
      </c>
    </row>
    <row r="693" customFormat="false" ht="15" hidden="false" customHeight="false" outlineLevel="0" collapsed="false">
      <c r="A693" s="0" t="s">
        <v>737</v>
      </c>
      <c r="B693" s="2" t="n">
        <v>45786</v>
      </c>
      <c r="C693" s="3" t="s">
        <v>736</v>
      </c>
      <c r="D693" s="3" t="s">
        <v>39</v>
      </c>
      <c r="E693" s="3" t="s">
        <v>29</v>
      </c>
      <c r="F693" s="3" t="s">
        <v>30</v>
      </c>
      <c r="G693" s="3" t="s">
        <v>36</v>
      </c>
      <c r="H693" s="3" t="s">
        <v>30</v>
      </c>
      <c r="I693" s="3" t="s">
        <v>32</v>
      </c>
      <c r="J693" s="0" t="n">
        <v>1</v>
      </c>
      <c r="K693" s="0" t="n">
        <v>1</v>
      </c>
      <c r="L693" s="0" t="n">
        <v>1</v>
      </c>
      <c r="M693" s="0" t="n">
        <v>0</v>
      </c>
      <c r="N693" s="0" t="str">
        <f aca="false">IF(OR(NOT(OR(J693=0,J693=1)),NOT(OR(K693=0,K693=1)),NOT(OR(L693=0,L693=1)),NOT(OR(M693=0,M693=1)),NOT(OR(U693=0,U693=1))),"Yes","No")</f>
        <v>No</v>
      </c>
      <c r="O693" s="0" t="str">
        <f aca="false">IF(OR(AND(M693=1,L693=0),AND(L693=1,K693=0),AND(K693=1,J693=0)),"Yes","No")</f>
        <v>No</v>
      </c>
      <c r="P693" s="0" t="n">
        <v>0</v>
      </c>
      <c r="Q693" s="0" t="str">
        <f aca="false">IF(OR(AND(M693=0,P693&gt;0),AND(M693=1,P693&lt;=0)),"Yes","No")</f>
        <v>No</v>
      </c>
      <c r="R693" s="0" t="str">
        <f aca="false">IF(AND(M693=1,P693&gt;calc_helpers!$B$5),"Yes","No")</f>
        <v>No</v>
      </c>
      <c r="S693" s="0" t="n">
        <v>3</v>
      </c>
      <c r="T693" s="0" t="str">
        <f aca="false">IF(S693&gt;0,"Yes","No")</f>
        <v>Yes</v>
      </c>
      <c r="U693" s="0" t="n">
        <v>0</v>
      </c>
      <c r="W693" s="0" t="str">
        <f aca="false">IF(OR(AND(M693=1,ISBLANK(V693)),AND(M693=0,NOT(ISBLANK(V693)))),"Yes","No")</f>
        <v>No</v>
      </c>
      <c r="X693" s="0" t="n">
        <v>55.7</v>
      </c>
      <c r="Y693" s="3" t="s">
        <v>30</v>
      </c>
      <c r="Z693" s="0" t="str">
        <f aca="false">IF(M693=1,P693,"")</f>
        <v/>
      </c>
    </row>
    <row r="694" customFormat="false" ht="15" hidden="false" customHeight="false" outlineLevel="0" collapsed="false">
      <c r="A694" s="0" t="s">
        <v>738</v>
      </c>
      <c r="B694" s="2" t="n">
        <v>45737</v>
      </c>
      <c r="C694" s="3" t="s">
        <v>736</v>
      </c>
      <c r="D694" s="3" t="s">
        <v>28</v>
      </c>
      <c r="E694" s="3" t="s">
        <v>35</v>
      </c>
      <c r="F694" s="3" t="s">
        <v>30</v>
      </c>
      <c r="G694" s="3" t="s">
        <v>36</v>
      </c>
      <c r="H694" s="3" t="s">
        <v>30</v>
      </c>
      <c r="I694" s="3" t="s">
        <v>37</v>
      </c>
      <c r="J694" s="0" t="n">
        <v>1</v>
      </c>
      <c r="K694" s="0" t="n">
        <v>1</v>
      </c>
      <c r="L694" s="0" t="n">
        <v>1</v>
      </c>
      <c r="M694" s="0" t="n">
        <v>0</v>
      </c>
      <c r="N694" s="0" t="str">
        <f aca="false">IF(OR(NOT(OR(J694=0,J694=1)),NOT(OR(K694=0,K694=1)),NOT(OR(L694=0,L694=1)),NOT(OR(M694=0,M694=1)),NOT(OR(U694=0,U694=1))),"Yes","No")</f>
        <v>No</v>
      </c>
      <c r="O694" s="0" t="str">
        <f aca="false">IF(OR(AND(M694=1,L694=0),AND(L694=1,K694=0),AND(K694=1,J694=0)),"Yes","No")</f>
        <v>No</v>
      </c>
      <c r="P694" s="0" t="n">
        <v>0</v>
      </c>
      <c r="Q694" s="0" t="str">
        <f aca="false">IF(OR(AND(M694=0,P694&gt;0),AND(M694=1,P694&lt;=0)),"Yes","No")</f>
        <v>No</v>
      </c>
      <c r="R694" s="0" t="str">
        <f aca="false">IF(AND(M694=1,P694&gt;calc_helpers!$B$5),"Yes","No")</f>
        <v>No</v>
      </c>
      <c r="S694" s="0" t="n">
        <v>0</v>
      </c>
      <c r="T694" s="0" t="str">
        <f aca="false">IF(S694&gt;0,"Yes","No")</f>
        <v>No</v>
      </c>
      <c r="U694" s="0" t="n">
        <v>0</v>
      </c>
      <c r="W694" s="0" t="str">
        <f aca="false">IF(OR(AND(M694=1,ISBLANK(V694)),AND(M694=0,NOT(ISBLANK(V694)))),"Yes","No")</f>
        <v>No</v>
      </c>
      <c r="X694" s="0" t="n">
        <v>82.8</v>
      </c>
      <c r="Y694" s="3" t="s">
        <v>30</v>
      </c>
      <c r="Z694" s="0" t="str">
        <f aca="false">IF(M694=1,P694,"")</f>
        <v/>
      </c>
    </row>
    <row r="695" customFormat="false" ht="15" hidden="false" customHeight="false" outlineLevel="0" collapsed="false">
      <c r="A695" s="0" t="s">
        <v>739</v>
      </c>
      <c r="B695" s="2" t="n">
        <v>45743</v>
      </c>
      <c r="C695" s="3" t="s">
        <v>736</v>
      </c>
      <c r="D695" s="3" t="s">
        <v>28</v>
      </c>
      <c r="E695" s="3" t="s">
        <v>29</v>
      </c>
      <c r="F695" s="3" t="s">
        <v>30</v>
      </c>
      <c r="G695" s="3" t="s">
        <v>52</v>
      </c>
      <c r="H695" s="3" t="s">
        <v>30</v>
      </c>
      <c r="I695" s="3" t="s">
        <v>37</v>
      </c>
      <c r="J695" s="0" t="n">
        <v>1</v>
      </c>
      <c r="K695" s="0" t="n">
        <v>0</v>
      </c>
      <c r="L695" s="0" t="n">
        <v>0</v>
      </c>
      <c r="M695" s="0" t="n">
        <v>0</v>
      </c>
      <c r="N695" s="0" t="str">
        <f aca="false">IF(OR(NOT(OR(J695=0,J695=1)),NOT(OR(K695=0,K695=1)),NOT(OR(L695=0,L695=1)),NOT(OR(M695=0,M695=1)),NOT(OR(U695=0,U695=1))),"Yes","No")</f>
        <v>No</v>
      </c>
      <c r="O695" s="0" t="str">
        <f aca="false">IF(OR(AND(M695=1,L695=0),AND(L695=1,K695=0),AND(K695=1,J695=0)),"Yes","No")</f>
        <v>No</v>
      </c>
      <c r="P695" s="0" t="n">
        <v>0</v>
      </c>
      <c r="Q695" s="0" t="str">
        <f aca="false">IF(OR(AND(M695=0,P695&gt;0),AND(M695=1,P695&lt;=0)),"Yes","No")</f>
        <v>No</v>
      </c>
      <c r="R695" s="0" t="str">
        <f aca="false">IF(AND(M695=1,P695&gt;calc_helpers!$B$5),"Yes","No")</f>
        <v>No</v>
      </c>
      <c r="S695" s="0" t="n">
        <v>0</v>
      </c>
      <c r="T695" s="0" t="str">
        <f aca="false">IF(S695&gt;0,"Yes","No")</f>
        <v>No</v>
      </c>
      <c r="U695" s="0" t="n">
        <v>0</v>
      </c>
      <c r="W695" s="0" t="str">
        <f aca="false">IF(OR(AND(M695=1,ISBLANK(V695)),AND(M695=0,NOT(ISBLANK(V695)))),"Yes","No")</f>
        <v>No</v>
      </c>
      <c r="Y695" s="3" t="s">
        <v>168</v>
      </c>
      <c r="Z695" s="0" t="str">
        <f aca="false">IF(M695=1,P695,"")</f>
        <v/>
      </c>
    </row>
    <row r="696" customFormat="false" ht="15" hidden="false" customHeight="false" outlineLevel="0" collapsed="false">
      <c r="A696" s="0" t="s">
        <v>740</v>
      </c>
      <c r="B696" s="2" t="n">
        <v>45678</v>
      </c>
      <c r="C696" s="3" t="s">
        <v>736</v>
      </c>
      <c r="D696" s="3" t="s">
        <v>43</v>
      </c>
      <c r="E696" s="3" t="s">
        <v>35</v>
      </c>
      <c r="F696" s="3" t="s">
        <v>30</v>
      </c>
      <c r="G696" s="3" t="s">
        <v>40</v>
      </c>
      <c r="H696" s="3" t="s">
        <v>30</v>
      </c>
      <c r="I696" s="3" t="s">
        <v>37</v>
      </c>
      <c r="J696" s="0" t="n">
        <v>0</v>
      </c>
      <c r="K696" s="0" t="n">
        <v>0</v>
      </c>
      <c r="L696" s="0" t="n">
        <v>0</v>
      </c>
      <c r="M696" s="0" t="n">
        <v>0</v>
      </c>
      <c r="N696" s="0" t="str">
        <f aca="false">IF(OR(NOT(OR(J696=0,J696=1)),NOT(OR(K696=0,K696=1)),NOT(OR(L696=0,L696=1)),NOT(OR(M696=0,M696=1)),NOT(OR(U696=0,U696=1))),"Yes","No")</f>
        <v>No</v>
      </c>
      <c r="O696" s="0" t="str">
        <f aca="false">IF(OR(AND(M696=1,L696=0),AND(L696=1,K696=0),AND(K696=1,J696=0)),"Yes","No")</f>
        <v>No</v>
      </c>
      <c r="P696" s="0" t="n">
        <v>0</v>
      </c>
      <c r="Q696" s="0" t="str">
        <f aca="false">IF(OR(AND(M696=0,P696&gt;0),AND(M696=1,P696&lt;=0)),"Yes","No")</f>
        <v>No</v>
      </c>
      <c r="R696" s="0" t="str">
        <f aca="false">IF(AND(M696=1,P696&gt;calc_helpers!$B$5),"Yes","No")</f>
        <v>No</v>
      </c>
      <c r="S696" s="0" t="n">
        <v>0</v>
      </c>
      <c r="T696" s="0" t="str">
        <f aca="false">IF(S696&gt;0,"Yes","No")</f>
        <v>No</v>
      </c>
      <c r="U696" s="0" t="n">
        <v>0</v>
      </c>
      <c r="W696" s="0" t="str">
        <f aca="false">IF(OR(AND(M696=1,ISBLANK(V696)),AND(M696=0,NOT(ISBLANK(V696)))),"Yes","No")</f>
        <v>No</v>
      </c>
      <c r="X696" s="0" t="n">
        <v>34.4</v>
      </c>
      <c r="Y696" s="3" t="s">
        <v>30</v>
      </c>
      <c r="Z696" s="0" t="str">
        <f aca="false">IF(M696=1,P696,"")</f>
        <v/>
      </c>
    </row>
    <row r="697" customFormat="false" ht="15" hidden="false" customHeight="false" outlineLevel="0" collapsed="false">
      <c r="A697" s="0" t="s">
        <v>741</v>
      </c>
      <c r="B697" s="2" t="n">
        <v>45735</v>
      </c>
      <c r="C697" s="3" t="s">
        <v>736</v>
      </c>
      <c r="D697" s="3" t="s">
        <v>39</v>
      </c>
      <c r="E697" s="3" t="s">
        <v>29</v>
      </c>
      <c r="F697" s="3" t="s">
        <v>30</v>
      </c>
      <c r="G697" s="3" t="s">
        <v>31</v>
      </c>
      <c r="H697" s="3" t="s">
        <v>30</v>
      </c>
      <c r="I697" s="3" t="s">
        <v>37</v>
      </c>
      <c r="J697" s="0" t="n">
        <v>1</v>
      </c>
      <c r="K697" s="0" t="n">
        <v>0</v>
      </c>
      <c r="L697" s="0" t="n">
        <v>0</v>
      </c>
      <c r="M697" s="0" t="n">
        <v>0</v>
      </c>
      <c r="N697" s="0" t="str">
        <f aca="false">IF(OR(NOT(OR(J697=0,J697=1)),NOT(OR(K697=0,K697=1)),NOT(OR(L697=0,L697=1)),NOT(OR(M697=0,M697=1)),NOT(OR(U697=0,U697=1))),"Yes","No")</f>
        <v>No</v>
      </c>
      <c r="O697" s="0" t="str">
        <f aca="false">IF(OR(AND(M697=1,L697=0),AND(L697=1,K697=0),AND(K697=1,J697=0)),"Yes","No")</f>
        <v>No</v>
      </c>
      <c r="P697" s="0" t="n">
        <v>0</v>
      </c>
      <c r="Q697" s="0" t="str">
        <f aca="false">IF(OR(AND(M697=0,P697&gt;0),AND(M697=1,P697&lt;=0)),"Yes","No")</f>
        <v>No</v>
      </c>
      <c r="R697" s="0" t="str">
        <f aca="false">IF(AND(M697=1,P697&gt;calc_helpers!$B$5),"Yes","No")</f>
        <v>No</v>
      </c>
      <c r="S697" s="0" t="n">
        <v>0</v>
      </c>
      <c r="T697" s="0" t="str">
        <f aca="false">IF(S697&gt;0,"Yes","No")</f>
        <v>No</v>
      </c>
      <c r="U697" s="0" t="n">
        <v>0</v>
      </c>
      <c r="W697" s="0" t="str">
        <f aca="false">IF(OR(AND(M697=1,ISBLANK(V697)),AND(M697=0,NOT(ISBLANK(V697)))),"Yes","No")</f>
        <v>No</v>
      </c>
      <c r="X697" s="0" t="n">
        <v>45.2</v>
      </c>
      <c r="Y697" s="3" t="s">
        <v>30</v>
      </c>
      <c r="Z697" s="0" t="str">
        <f aca="false">IF(M697=1,P697,"")</f>
        <v/>
      </c>
    </row>
    <row r="698" customFormat="false" ht="15" hidden="false" customHeight="false" outlineLevel="0" collapsed="false">
      <c r="A698" s="0" t="s">
        <v>742</v>
      </c>
      <c r="B698" s="2" t="n">
        <v>45804</v>
      </c>
      <c r="C698" s="3" t="s">
        <v>736</v>
      </c>
      <c r="D698" s="3" t="s">
        <v>28</v>
      </c>
      <c r="E698" s="3" t="s">
        <v>35</v>
      </c>
      <c r="F698" s="3" t="s">
        <v>30</v>
      </c>
      <c r="G698" s="3" t="s">
        <v>36</v>
      </c>
      <c r="H698" s="3" t="s">
        <v>30</v>
      </c>
      <c r="I698" s="3" t="s">
        <v>32</v>
      </c>
      <c r="J698" s="0" t="n">
        <v>1</v>
      </c>
      <c r="K698" s="0" t="n">
        <v>0</v>
      </c>
      <c r="L698" s="0" t="n">
        <v>0</v>
      </c>
      <c r="M698" s="0" t="n">
        <v>0</v>
      </c>
      <c r="N698" s="0" t="str">
        <f aca="false">IF(OR(NOT(OR(J698=0,J698=1)),NOT(OR(K698=0,K698=1)),NOT(OR(L698=0,L698=1)),NOT(OR(M698=0,M698=1)),NOT(OR(U698=0,U698=1))),"Yes","No")</f>
        <v>No</v>
      </c>
      <c r="O698" s="0" t="str">
        <f aca="false">IF(OR(AND(M698=1,L698=0),AND(L698=1,K698=0),AND(K698=1,J698=0)),"Yes","No")</f>
        <v>No</v>
      </c>
      <c r="P698" s="0" t="n">
        <v>0</v>
      </c>
      <c r="Q698" s="0" t="str">
        <f aca="false">IF(OR(AND(M698=0,P698&gt;0),AND(M698=1,P698&lt;=0)),"Yes","No")</f>
        <v>No</v>
      </c>
      <c r="R698" s="0" t="str">
        <f aca="false">IF(AND(M698=1,P698&gt;calc_helpers!$B$5),"Yes","No")</f>
        <v>No</v>
      </c>
      <c r="S698" s="0" t="n">
        <v>0</v>
      </c>
      <c r="T698" s="0" t="str">
        <f aca="false">IF(S698&gt;0,"Yes","No")</f>
        <v>No</v>
      </c>
      <c r="U698" s="0" t="n">
        <v>0</v>
      </c>
      <c r="W698" s="0" t="str">
        <f aca="false">IF(OR(AND(M698=1,ISBLANK(V698)),AND(M698=0,NOT(ISBLANK(V698)))),"Yes","No")</f>
        <v>No</v>
      </c>
      <c r="X698" s="0" t="n">
        <v>71.6</v>
      </c>
      <c r="Y698" s="3" t="s">
        <v>30</v>
      </c>
      <c r="Z698" s="0" t="str">
        <f aca="false">IF(M698=1,P698,"")</f>
        <v/>
      </c>
    </row>
    <row r="699" customFormat="false" ht="15" hidden="false" customHeight="false" outlineLevel="0" collapsed="false">
      <c r="A699" s="0" t="s">
        <v>743</v>
      </c>
      <c r="B699" s="2" t="n">
        <v>45658</v>
      </c>
      <c r="C699" s="3" t="s">
        <v>736</v>
      </c>
      <c r="D699" s="3" t="s">
        <v>28</v>
      </c>
      <c r="E699" s="3" t="s">
        <v>35</v>
      </c>
      <c r="F699" s="3" t="s">
        <v>30</v>
      </c>
      <c r="G699" s="3" t="s">
        <v>52</v>
      </c>
      <c r="H699" s="3" t="s">
        <v>30</v>
      </c>
      <c r="I699" s="3" t="s">
        <v>37</v>
      </c>
      <c r="J699" s="0" t="n">
        <v>1</v>
      </c>
      <c r="K699" s="0" t="n">
        <v>1</v>
      </c>
      <c r="L699" s="0" t="n">
        <v>1</v>
      </c>
      <c r="M699" s="0" t="n">
        <v>0</v>
      </c>
      <c r="N699" s="0" t="str">
        <f aca="false">IF(OR(NOT(OR(J699=0,J699=1)),NOT(OR(K699=0,K699=1)),NOT(OR(L699=0,L699=1)),NOT(OR(M699=0,M699=1)),NOT(OR(U699=0,U699=1))),"Yes","No")</f>
        <v>No</v>
      </c>
      <c r="O699" s="0" t="str">
        <f aca="false">IF(OR(AND(M699=1,L699=0),AND(L699=1,K699=0),AND(K699=1,J699=0)),"Yes","No")</f>
        <v>No</v>
      </c>
      <c r="P699" s="0" t="n">
        <v>0</v>
      </c>
      <c r="Q699" s="0" t="str">
        <f aca="false">IF(OR(AND(M699=0,P699&gt;0),AND(M699=1,P699&lt;=0)),"Yes","No")</f>
        <v>No</v>
      </c>
      <c r="R699" s="0" t="str">
        <f aca="false">IF(AND(M699=1,P699&gt;calc_helpers!$B$5),"Yes","No")</f>
        <v>No</v>
      </c>
      <c r="S699" s="0" t="n">
        <v>0</v>
      </c>
      <c r="T699" s="0" t="str">
        <f aca="false">IF(S699&gt;0,"Yes","No")</f>
        <v>No</v>
      </c>
      <c r="U699" s="0" t="n">
        <v>0</v>
      </c>
      <c r="W699" s="0" t="str">
        <f aca="false">IF(OR(AND(M699=1,ISBLANK(V699)),AND(M699=0,NOT(ISBLANK(V699)))),"Yes","No")</f>
        <v>No</v>
      </c>
      <c r="X699" s="0" t="n">
        <v>69.1</v>
      </c>
      <c r="Y699" s="3" t="s">
        <v>30</v>
      </c>
      <c r="Z699" s="0" t="str">
        <f aca="false">IF(M699=1,P699,"")</f>
        <v/>
      </c>
    </row>
    <row r="700" customFormat="false" ht="15" hidden="false" customHeight="false" outlineLevel="0" collapsed="false">
      <c r="A700" s="0" t="s">
        <v>744</v>
      </c>
      <c r="B700" s="2" t="n">
        <v>45745</v>
      </c>
      <c r="C700" s="3" t="s">
        <v>736</v>
      </c>
      <c r="D700" s="3" t="s">
        <v>34</v>
      </c>
      <c r="E700" s="3" t="s">
        <v>29</v>
      </c>
      <c r="F700" s="3" t="s">
        <v>30</v>
      </c>
      <c r="G700" s="3" t="s">
        <v>40</v>
      </c>
      <c r="H700" s="3" t="s">
        <v>30</v>
      </c>
      <c r="I700" s="3" t="s">
        <v>41</v>
      </c>
      <c r="J700" s="0" t="n">
        <v>1</v>
      </c>
      <c r="K700" s="0" t="n">
        <v>0</v>
      </c>
      <c r="L700" s="0" t="n">
        <v>0</v>
      </c>
      <c r="M700" s="0" t="n">
        <v>0</v>
      </c>
      <c r="N700" s="0" t="str">
        <f aca="false">IF(OR(NOT(OR(J700=0,J700=1)),NOT(OR(K700=0,K700=1)),NOT(OR(L700=0,L700=1)),NOT(OR(M700=0,M700=1)),NOT(OR(U700=0,U700=1))),"Yes","No")</f>
        <v>No</v>
      </c>
      <c r="O700" s="0" t="str">
        <f aca="false">IF(OR(AND(M700=1,L700=0),AND(L700=1,K700=0),AND(K700=1,J700=0)),"Yes","No")</f>
        <v>No</v>
      </c>
      <c r="P700" s="0" t="n">
        <v>0</v>
      </c>
      <c r="Q700" s="0" t="str">
        <f aca="false">IF(OR(AND(M700=0,P700&gt;0),AND(M700=1,P700&lt;=0)),"Yes","No")</f>
        <v>No</v>
      </c>
      <c r="R700" s="0" t="str">
        <f aca="false">IF(AND(M700=1,P700&gt;calc_helpers!$B$5),"Yes","No")</f>
        <v>No</v>
      </c>
      <c r="S700" s="0" t="n">
        <v>1</v>
      </c>
      <c r="T700" s="0" t="str">
        <f aca="false">IF(S700&gt;0,"Yes","No")</f>
        <v>Yes</v>
      </c>
      <c r="U700" s="0" t="n">
        <v>0</v>
      </c>
      <c r="W700" s="0" t="str">
        <f aca="false">IF(OR(AND(M700=1,ISBLANK(V700)),AND(M700=0,NOT(ISBLANK(V700)))),"Yes","No")</f>
        <v>No</v>
      </c>
      <c r="X700" s="0" t="n">
        <v>37.7</v>
      </c>
      <c r="Y700" s="3" t="s">
        <v>30</v>
      </c>
      <c r="Z700" s="0" t="str">
        <f aca="false">IF(M700=1,P700,"")</f>
        <v/>
      </c>
    </row>
    <row r="701" customFormat="false" ht="15" hidden="false" customHeight="false" outlineLevel="0" collapsed="false">
      <c r="A701" s="0" t="s">
        <v>745</v>
      </c>
      <c r="B701" s="2" t="n">
        <v>45733</v>
      </c>
      <c r="C701" s="3" t="s">
        <v>736</v>
      </c>
      <c r="D701" s="3" t="s">
        <v>34</v>
      </c>
      <c r="E701" s="3" t="s">
        <v>29</v>
      </c>
      <c r="F701" s="3" t="s">
        <v>30</v>
      </c>
      <c r="G701" s="3" t="s">
        <v>36</v>
      </c>
      <c r="H701" s="3" t="s">
        <v>30</v>
      </c>
      <c r="I701" s="3" t="s">
        <v>32</v>
      </c>
      <c r="J701" s="0" t="n">
        <v>1</v>
      </c>
      <c r="K701" s="0" t="n">
        <v>0</v>
      </c>
      <c r="L701" s="0" t="n">
        <v>0</v>
      </c>
      <c r="M701" s="0" t="n">
        <v>0</v>
      </c>
      <c r="N701" s="0" t="str">
        <f aca="false">IF(OR(NOT(OR(J701=0,J701=1)),NOT(OR(K701=0,K701=1)),NOT(OR(L701=0,L701=1)),NOT(OR(M701=0,M701=1)),NOT(OR(U701=0,U701=1))),"Yes","No")</f>
        <v>No</v>
      </c>
      <c r="O701" s="0" t="str">
        <f aca="false">IF(OR(AND(M701=1,L701=0),AND(L701=1,K701=0),AND(K701=1,J701=0)),"Yes","No")</f>
        <v>No</v>
      </c>
      <c r="P701" s="0" t="n">
        <v>0</v>
      </c>
      <c r="Q701" s="0" t="str">
        <f aca="false">IF(OR(AND(M701=0,P701&gt;0),AND(M701=1,P701&lt;=0)),"Yes","No")</f>
        <v>No</v>
      </c>
      <c r="R701" s="0" t="str">
        <f aca="false">IF(AND(M701=1,P701&gt;calc_helpers!$B$5),"Yes","No")</f>
        <v>No</v>
      </c>
      <c r="S701" s="0" t="n">
        <v>1</v>
      </c>
      <c r="T701" s="0" t="str">
        <f aca="false">IF(S701&gt;0,"Yes","No")</f>
        <v>Yes</v>
      </c>
      <c r="U701" s="0" t="n">
        <v>0</v>
      </c>
      <c r="W701" s="0" t="str">
        <f aca="false">IF(OR(AND(M701=1,ISBLANK(V701)),AND(M701=0,NOT(ISBLANK(V701)))),"Yes","No")</f>
        <v>No</v>
      </c>
      <c r="X701" s="0" t="n">
        <v>60.8</v>
      </c>
      <c r="Y701" s="3" t="s">
        <v>30</v>
      </c>
      <c r="Z701" s="0" t="str">
        <f aca="false">IF(M701=1,P701,"")</f>
        <v/>
      </c>
    </row>
    <row r="702" customFormat="false" ht="15" hidden="false" customHeight="false" outlineLevel="0" collapsed="false">
      <c r="A702" s="0" t="s">
        <v>746</v>
      </c>
      <c r="B702" s="2" t="n">
        <v>45782</v>
      </c>
      <c r="C702" s="3" t="s">
        <v>736</v>
      </c>
      <c r="D702" s="3" t="s">
        <v>28</v>
      </c>
      <c r="E702" s="3" t="s">
        <v>35</v>
      </c>
      <c r="F702" s="3" t="s">
        <v>30</v>
      </c>
      <c r="G702" s="3" t="s">
        <v>36</v>
      </c>
      <c r="H702" s="3" t="s">
        <v>30</v>
      </c>
      <c r="I702" s="3" t="s">
        <v>37</v>
      </c>
      <c r="J702" s="0" t="n">
        <v>1</v>
      </c>
      <c r="K702" s="0" t="n">
        <v>1</v>
      </c>
      <c r="L702" s="0" t="n">
        <v>1</v>
      </c>
      <c r="M702" s="0" t="n">
        <v>1</v>
      </c>
      <c r="N702" s="0" t="str">
        <f aca="false">IF(OR(NOT(OR(J702=0,J702=1)),NOT(OR(K702=0,K702=1)),NOT(OR(L702=0,L702=1)),NOT(OR(M702=0,M702=1)),NOT(OR(U702=0,U702=1))),"Yes","No")</f>
        <v>No</v>
      </c>
      <c r="O702" s="0" t="str">
        <f aca="false">IF(OR(AND(M702=1,L702=0),AND(L702=1,K702=0),AND(K702=1,J702=0)),"Yes","No")</f>
        <v>No</v>
      </c>
      <c r="P702" s="0" t="n">
        <v>444.13</v>
      </c>
      <c r="Q702" s="0" t="str">
        <f aca="false">IF(OR(AND(M702=0,P702&gt;0),AND(M702=1,P702&lt;=0)),"Yes","No")</f>
        <v>No</v>
      </c>
      <c r="R702" s="0" t="str">
        <f aca="false">IF(AND(M702=1,P702&gt;calc_helpers!$B$5),"Yes","No")</f>
        <v>No</v>
      </c>
      <c r="S702" s="0" t="n">
        <v>0</v>
      </c>
      <c r="T702" s="0" t="str">
        <f aca="false">IF(S702&gt;0,"Yes","No")</f>
        <v>No</v>
      </c>
      <c r="U702" s="0" t="n">
        <v>0</v>
      </c>
      <c r="V702" s="0" t="n">
        <v>10</v>
      </c>
      <c r="W702" s="0" t="str">
        <f aca="false">IF(OR(AND(M702=1,ISBLANK(V702)),AND(M702=0,NOT(ISBLANK(V702)))),"Yes","No")</f>
        <v>No</v>
      </c>
      <c r="X702" s="0" t="n">
        <v>80.7</v>
      </c>
      <c r="Y702" s="3" t="s">
        <v>30</v>
      </c>
      <c r="Z702" s="3" t="n">
        <f aca="false">IF(M702=1,P702,"")</f>
        <v>444.13</v>
      </c>
    </row>
    <row r="703" customFormat="false" ht="15" hidden="false" customHeight="false" outlineLevel="0" collapsed="false">
      <c r="A703" s="0" t="s">
        <v>747</v>
      </c>
      <c r="B703" s="2" t="n">
        <v>45781</v>
      </c>
      <c r="C703" s="3" t="s">
        <v>736</v>
      </c>
      <c r="D703" s="3" t="s">
        <v>43</v>
      </c>
      <c r="E703" s="3" t="s">
        <v>35</v>
      </c>
      <c r="F703" s="3" t="s">
        <v>30</v>
      </c>
      <c r="G703" s="3" t="s">
        <v>52</v>
      </c>
      <c r="H703" s="3" t="s">
        <v>30</v>
      </c>
      <c r="I703" s="3" t="s">
        <v>37</v>
      </c>
      <c r="J703" s="0" t="n">
        <v>1</v>
      </c>
      <c r="K703" s="0" t="n">
        <v>0</v>
      </c>
      <c r="L703" s="0" t="n">
        <v>0</v>
      </c>
      <c r="M703" s="0" t="n">
        <v>0</v>
      </c>
      <c r="N703" s="0" t="str">
        <f aca="false">IF(OR(NOT(OR(J703=0,J703=1)),NOT(OR(K703=0,K703=1)),NOT(OR(L703=0,L703=1)),NOT(OR(M703=0,M703=1)),NOT(OR(U703=0,U703=1))),"Yes","No")</f>
        <v>No</v>
      </c>
      <c r="O703" s="0" t="str">
        <f aca="false">IF(OR(AND(M703=1,L703=0),AND(L703=1,K703=0),AND(K703=1,J703=0)),"Yes","No")</f>
        <v>No</v>
      </c>
      <c r="P703" s="0" t="n">
        <v>0</v>
      </c>
      <c r="Q703" s="0" t="str">
        <f aca="false">IF(OR(AND(M703=0,P703&gt;0),AND(M703=1,P703&lt;=0)),"Yes","No")</f>
        <v>No</v>
      </c>
      <c r="R703" s="0" t="str">
        <f aca="false">IF(AND(M703=1,P703&gt;calc_helpers!$B$5),"Yes","No")</f>
        <v>No</v>
      </c>
      <c r="S703" s="0" t="n">
        <v>0</v>
      </c>
      <c r="T703" s="0" t="str">
        <f aca="false">IF(S703&gt;0,"Yes","No")</f>
        <v>No</v>
      </c>
      <c r="U703" s="0" t="n">
        <v>0</v>
      </c>
      <c r="W703" s="0" t="str">
        <f aca="false">IF(OR(AND(M703=1,ISBLANK(V703)),AND(M703=0,NOT(ISBLANK(V703)))),"Yes","No")</f>
        <v>No</v>
      </c>
      <c r="X703" s="0" t="n">
        <v>69.2</v>
      </c>
      <c r="Y703" s="3" t="s">
        <v>30</v>
      </c>
      <c r="Z703" s="0" t="str">
        <f aca="false">IF(M703=1,P703,"")</f>
        <v/>
      </c>
    </row>
    <row r="704" customFormat="false" ht="15" hidden="false" customHeight="false" outlineLevel="0" collapsed="false">
      <c r="A704" s="0" t="s">
        <v>748</v>
      </c>
      <c r="B704" s="2" t="n">
        <v>45741</v>
      </c>
      <c r="C704" s="3" t="s">
        <v>736</v>
      </c>
      <c r="D704" s="3" t="s">
        <v>28</v>
      </c>
      <c r="E704" s="3" t="s">
        <v>35</v>
      </c>
      <c r="F704" s="3" t="s">
        <v>30</v>
      </c>
      <c r="G704" s="3" t="s">
        <v>52</v>
      </c>
      <c r="H704" s="3" t="s">
        <v>30</v>
      </c>
      <c r="I704" s="3" t="s">
        <v>41</v>
      </c>
      <c r="J704" s="0" t="n">
        <v>0</v>
      </c>
      <c r="K704" s="0" t="n">
        <v>0</v>
      </c>
      <c r="L704" s="0" t="n">
        <v>0</v>
      </c>
      <c r="M704" s="0" t="n">
        <v>0</v>
      </c>
      <c r="N704" s="0" t="str">
        <f aca="false">IF(OR(NOT(OR(J704=0,J704=1)),NOT(OR(K704=0,K704=1)),NOT(OR(L704=0,L704=1)),NOT(OR(M704=0,M704=1)),NOT(OR(U704=0,U704=1))),"Yes","No")</f>
        <v>No</v>
      </c>
      <c r="O704" s="0" t="str">
        <f aca="false">IF(OR(AND(M704=1,L704=0),AND(L704=1,K704=0),AND(K704=1,J704=0)),"Yes","No")</f>
        <v>No</v>
      </c>
      <c r="P704" s="0" t="n">
        <v>0</v>
      </c>
      <c r="Q704" s="0" t="str">
        <f aca="false">IF(OR(AND(M704=0,P704&gt;0),AND(M704=1,P704&lt;=0)),"Yes","No")</f>
        <v>No</v>
      </c>
      <c r="R704" s="0" t="str">
        <f aca="false">IF(AND(M704=1,P704&gt;calc_helpers!$B$5),"Yes","No")</f>
        <v>No</v>
      </c>
      <c r="S704" s="0" t="n">
        <v>3</v>
      </c>
      <c r="T704" s="0" t="str">
        <f aca="false">IF(S704&gt;0,"Yes","No")</f>
        <v>Yes</v>
      </c>
      <c r="U704" s="0" t="n">
        <v>0</v>
      </c>
      <c r="W704" s="0" t="str">
        <f aca="false">IF(OR(AND(M704=1,ISBLANK(V704)),AND(M704=0,NOT(ISBLANK(V704)))),"Yes","No")</f>
        <v>No</v>
      </c>
      <c r="X704" s="0" t="n">
        <v>55</v>
      </c>
      <c r="Y704" s="3" t="s">
        <v>30</v>
      </c>
      <c r="Z704" s="0" t="str">
        <f aca="false">IF(M704=1,P704,"")</f>
        <v/>
      </c>
    </row>
    <row r="705" customFormat="false" ht="15" hidden="false" customHeight="false" outlineLevel="0" collapsed="false">
      <c r="A705" s="0" t="s">
        <v>749</v>
      </c>
      <c r="B705" s="2" t="n">
        <v>45764</v>
      </c>
      <c r="C705" s="3" t="s">
        <v>736</v>
      </c>
      <c r="D705" s="3" t="s">
        <v>34</v>
      </c>
      <c r="E705" s="3" t="s">
        <v>35</v>
      </c>
      <c r="F705" s="3" t="s">
        <v>30</v>
      </c>
      <c r="G705" s="3" t="s">
        <v>31</v>
      </c>
      <c r="H705" s="3" t="s">
        <v>30</v>
      </c>
      <c r="I705" s="3" t="s">
        <v>37</v>
      </c>
      <c r="J705" s="0" t="n">
        <v>0</v>
      </c>
      <c r="K705" s="0" t="n">
        <v>0</v>
      </c>
      <c r="L705" s="0" t="n">
        <v>0</v>
      </c>
      <c r="M705" s="0" t="n">
        <v>0</v>
      </c>
      <c r="N705" s="0" t="str">
        <f aca="false">IF(OR(NOT(OR(J705=0,J705=1)),NOT(OR(K705=0,K705=1)),NOT(OR(L705=0,L705=1)),NOT(OR(M705=0,M705=1)),NOT(OR(U705=0,U705=1))),"Yes","No")</f>
        <v>No</v>
      </c>
      <c r="O705" s="0" t="str">
        <f aca="false">IF(OR(AND(M705=1,L705=0),AND(L705=1,K705=0),AND(K705=1,J705=0)),"Yes","No")</f>
        <v>No</v>
      </c>
      <c r="P705" s="0" t="n">
        <v>0</v>
      </c>
      <c r="Q705" s="0" t="str">
        <f aca="false">IF(OR(AND(M705=0,P705&gt;0),AND(M705=1,P705&lt;=0)),"Yes","No")</f>
        <v>No</v>
      </c>
      <c r="R705" s="0" t="str">
        <f aca="false">IF(AND(M705=1,P705&gt;calc_helpers!$B$5),"Yes","No")</f>
        <v>No</v>
      </c>
      <c r="S705" s="0" t="n">
        <v>1</v>
      </c>
      <c r="T705" s="0" t="str">
        <f aca="false">IF(S705&gt;0,"Yes","No")</f>
        <v>Yes</v>
      </c>
      <c r="U705" s="0" t="n">
        <v>0</v>
      </c>
      <c r="W705" s="0" t="str">
        <f aca="false">IF(OR(AND(M705=1,ISBLANK(V705)),AND(M705=0,NOT(ISBLANK(V705)))),"Yes","No")</f>
        <v>No</v>
      </c>
      <c r="X705" s="0" t="n">
        <v>73.6</v>
      </c>
      <c r="Y705" s="3" t="s">
        <v>30</v>
      </c>
      <c r="Z705" s="0" t="str">
        <f aca="false">IF(M705=1,P705,"")</f>
        <v/>
      </c>
    </row>
    <row r="706" customFormat="false" ht="15" hidden="false" customHeight="false" outlineLevel="0" collapsed="false">
      <c r="A706" s="0" t="s">
        <v>750</v>
      </c>
      <c r="B706" s="2" t="n">
        <v>45800</v>
      </c>
      <c r="C706" s="3" t="s">
        <v>736</v>
      </c>
      <c r="D706" s="3" t="s">
        <v>43</v>
      </c>
      <c r="E706" s="3" t="s">
        <v>35</v>
      </c>
      <c r="F706" s="3" t="s">
        <v>30</v>
      </c>
      <c r="G706" s="3" t="s">
        <v>50</v>
      </c>
      <c r="H706" s="3" t="s">
        <v>30</v>
      </c>
      <c r="I706" s="3" t="s">
        <v>32</v>
      </c>
      <c r="J706" s="0" t="n">
        <v>1</v>
      </c>
      <c r="K706" s="0" t="n">
        <v>1</v>
      </c>
      <c r="L706" s="0" t="n">
        <v>1</v>
      </c>
      <c r="M706" s="0" t="n">
        <v>0</v>
      </c>
      <c r="N706" s="0" t="str">
        <f aca="false">IF(OR(NOT(OR(J706=0,J706=1)),NOT(OR(K706=0,K706=1)),NOT(OR(L706=0,L706=1)),NOT(OR(M706=0,M706=1)),NOT(OR(U706=0,U706=1))),"Yes","No")</f>
        <v>No</v>
      </c>
      <c r="O706" s="0" t="str">
        <f aca="false">IF(OR(AND(M706=1,L706=0),AND(L706=1,K706=0),AND(K706=1,J706=0)),"Yes","No")</f>
        <v>No</v>
      </c>
      <c r="P706" s="0" t="n">
        <v>0</v>
      </c>
      <c r="Q706" s="0" t="str">
        <f aca="false">IF(OR(AND(M706=0,P706&gt;0),AND(M706=1,P706&lt;=0)),"Yes","No")</f>
        <v>No</v>
      </c>
      <c r="R706" s="0" t="str">
        <f aca="false">IF(AND(M706=1,P706&gt;calc_helpers!$B$5),"Yes","No")</f>
        <v>No</v>
      </c>
      <c r="S706" s="0" t="n">
        <v>1</v>
      </c>
      <c r="T706" s="0" t="str">
        <f aca="false">IF(S706&gt;0,"Yes","No")</f>
        <v>Yes</v>
      </c>
      <c r="U706" s="0" t="n">
        <v>0</v>
      </c>
      <c r="W706" s="0" t="str">
        <f aca="false">IF(OR(AND(M706=1,ISBLANK(V706)),AND(M706=0,NOT(ISBLANK(V706)))),"Yes","No")</f>
        <v>No</v>
      </c>
      <c r="X706" s="0" t="n">
        <v>47.3</v>
      </c>
      <c r="Y706" s="3" t="s">
        <v>30</v>
      </c>
      <c r="Z706" s="0" t="str">
        <f aca="false">IF(M706=1,P706,"")</f>
        <v/>
      </c>
    </row>
    <row r="707" customFormat="false" ht="15" hidden="false" customHeight="false" outlineLevel="0" collapsed="false">
      <c r="A707" s="0" t="s">
        <v>751</v>
      </c>
      <c r="B707" s="2" t="n">
        <v>45670</v>
      </c>
      <c r="C707" s="3" t="s">
        <v>736</v>
      </c>
      <c r="D707" s="3" t="s">
        <v>28</v>
      </c>
      <c r="E707" s="3" t="s">
        <v>35</v>
      </c>
      <c r="F707" s="3" t="s">
        <v>30</v>
      </c>
      <c r="G707" s="3" t="s">
        <v>36</v>
      </c>
      <c r="H707" s="3" t="s">
        <v>30</v>
      </c>
      <c r="I707" s="3" t="s">
        <v>32</v>
      </c>
      <c r="J707" s="0" t="n">
        <v>0</v>
      </c>
      <c r="K707" s="0" t="n">
        <v>0</v>
      </c>
      <c r="L707" s="0" t="n">
        <v>0</v>
      </c>
      <c r="M707" s="0" t="n">
        <v>0</v>
      </c>
      <c r="N707" s="0" t="str">
        <f aca="false">IF(OR(NOT(OR(J707=0,J707=1)),NOT(OR(K707=0,K707=1)),NOT(OR(L707=0,L707=1)),NOT(OR(M707=0,M707=1)),NOT(OR(U707=0,U707=1))),"Yes","No")</f>
        <v>No</v>
      </c>
      <c r="O707" s="0" t="str">
        <f aca="false">IF(OR(AND(M707=1,L707=0),AND(L707=1,K707=0),AND(K707=1,J707=0)),"Yes","No")</f>
        <v>No</v>
      </c>
      <c r="P707" s="0" t="n">
        <v>0</v>
      </c>
      <c r="Q707" s="0" t="str">
        <f aca="false">IF(OR(AND(M707=0,P707&gt;0),AND(M707=1,P707&lt;=0)),"Yes","No")</f>
        <v>No</v>
      </c>
      <c r="R707" s="0" t="str">
        <f aca="false">IF(AND(M707=1,P707&gt;calc_helpers!$B$5),"Yes","No")</f>
        <v>No</v>
      </c>
      <c r="S707" s="0" t="n">
        <v>0</v>
      </c>
      <c r="T707" s="0" t="str">
        <f aca="false">IF(S707&gt;0,"Yes","No")</f>
        <v>No</v>
      </c>
      <c r="U707" s="0" t="n">
        <v>0</v>
      </c>
      <c r="W707" s="0" t="str">
        <f aca="false">IF(OR(AND(M707=1,ISBLANK(V707)),AND(M707=0,NOT(ISBLANK(V707)))),"Yes","No")</f>
        <v>No</v>
      </c>
      <c r="X707" s="0" t="n">
        <v>43.6</v>
      </c>
      <c r="Y707" s="3" t="s">
        <v>30</v>
      </c>
      <c r="Z707" s="0" t="str">
        <f aca="false">IF(M707=1,P707,"")</f>
        <v/>
      </c>
    </row>
    <row r="708" customFormat="false" ht="15" hidden="false" customHeight="false" outlineLevel="0" collapsed="false">
      <c r="A708" s="0" t="s">
        <v>752</v>
      </c>
      <c r="B708" s="2" t="n">
        <v>45686</v>
      </c>
      <c r="C708" s="3" t="s">
        <v>736</v>
      </c>
      <c r="D708" s="3" t="s">
        <v>28</v>
      </c>
      <c r="E708" s="3" t="s">
        <v>29</v>
      </c>
      <c r="F708" s="3" t="s">
        <v>30</v>
      </c>
      <c r="G708" s="3" t="s">
        <v>36</v>
      </c>
      <c r="H708" s="3" t="s">
        <v>30</v>
      </c>
      <c r="I708" s="3" t="s">
        <v>32</v>
      </c>
      <c r="J708" s="0" t="n">
        <v>1</v>
      </c>
      <c r="K708" s="0" t="n">
        <v>0</v>
      </c>
      <c r="L708" s="0" t="n">
        <v>0</v>
      </c>
      <c r="M708" s="0" t="n">
        <v>0</v>
      </c>
      <c r="N708" s="0" t="str">
        <f aca="false">IF(OR(NOT(OR(J708=0,J708=1)),NOT(OR(K708=0,K708=1)),NOT(OR(L708=0,L708=1)),NOT(OR(M708=0,M708=1)),NOT(OR(U708=0,U708=1))),"Yes","No")</f>
        <v>No</v>
      </c>
      <c r="O708" s="0" t="str">
        <f aca="false">IF(OR(AND(M708=1,L708=0),AND(L708=1,K708=0),AND(K708=1,J708=0)),"Yes","No")</f>
        <v>No</v>
      </c>
      <c r="P708" s="0" t="n">
        <v>0</v>
      </c>
      <c r="Q708" s="0" t="str">
        <f aca="false">IF(OR(AND(M708=0,P708&gt;0),AND(M708=1,P708&lt;=0)),"Yes","No")</f>
        <v>No</v>
      </c>
      <c r="R708" s="0" t="str">
        <f aca="false">IF(AND(M708=1,P708&gt;calc_helpers!$B$5),"Yes","No")</f>
        <v>No</v>
      </c>
      <c r="S708" s="0" t="n">
        <v>0</v>
      </c>
      <c r="T708" s="0" t="str">
        <f aca="false">IF(S708&gt;0,"Yes","No")</f>
        <v>No</v>
      </c>
      <c r="U708" s="0" t="n">
        <v>0</v>
      </c>
      <c r="W708" s="0" t="str">
        <f aca="false">IF(OR(AND(M708=1,ISBLANK(V708)),AND(M708=0,NOT(ISBLANK(V708)))),"Yes","No")</f>
        <v>No</v>
      </c>
      <c r="Y708" s="3" t="s">
        <v>168</v>
      </c>
      <c r="Z708" s="0" t="str">
        <f aca="false">IF(M708=1,P708,"")</f>
        <v/>
      </c>
    </row>
    <row r="709" customFormat="false" ht="15" hidden="false" customHeight="false" outlineLevel="0" collapsed="false">
      <c r="A709" s="0" t="s">
        <v>753</v>
      </c>
      <c r="B709" s="2" t="n">
        <v>45788</v>
      </c>
      <c r="C709" s="3" t="s">
        <v>736</v>
      </c>
      <c r="D709" s="3" t="s">
        <v>43</v>
      </c>
      <c r="E709" s="3" t="s">
        <v>35</v>
      </c>
      <c r="F709" s="3" t="s">
        <v>30</v>
      </c>
      <c r="G709" s="3" t="s">
        <v>31</v>
      </c>
      <c r="H709" s="3" t="s">
        <v>30</v>
      </c>
      <c r="I709" s="3" t="s">
        <v>37</v>
      </c>
      <c r="J709" s="0" t="n">
        <v>0</v>
      </c>
      <c r="K709" s="0" t="n">
        <v>0</v>
      </c>
      <c r="L709" s="0" t="n">
        <v>0</v>
      </c>
      <c r="M709" s="0" t="n">
        <v>0</v>
      </c>
      <c r="N709" s="0" t="str">
        <f aca="false">IF(OR(NOT(OR(J709=0,J709=1)),NOT(OR(K709=0,K709=1)),NOT(OR(L709=0,L709=1)),NOT(OR(M709=0,M709=1)),NOT(OR(U709=0,U709=1))),"Yes","No")</f>
        <v>No</v>
      </c>
      <c r="O709" s="0" t="str">
        <f aca="false">IF(OR(AND(M709=1,L709=0),AND(L709=1,K709=0),AND(K709=1,J709=0)),"Yes","No")</f>
        <v>No</v>
      </c>
      <c r="P709" s="0" t="n">
        <v>0</v>
      </c>
      <c r="Q709" s="0" t="str">
        <f aca="false">IF(OR(AND(M709=0,P709&gt;0),AND(M709=1,P709&lt;=0)),"Yes","No")</f>
        <v>No</v>
      </c>
      <c r="R709" s="0" t="str">
        <f aca="false">IF(AND(M709=1,P709&gt;calc_helpers!$B$5),"Yes","No")</f>
        <v>No</v>
      </c>
      <c r="S709" s="0" t="n">
        <v>0</v>
      </c>
      <c r="T709" s="0" t="str">
        <f aca="false">IF(S709&gt;0,"Yes","No")</f>
        <v>No</v>
      </c>
      <c r="U709" s="0" t="n">
        <v>0</v>
      </c>
      <c r="W709" s="0" t="str">
        <f aca="false">IF(OR(AND(M709=1,ISBLANK(V709)),AND(M709=0,NOT(ISBLANK(V709)))),"Yes","No")</f>
        <v>No</v>
      </c>
      <c r="X709" s="0" t="n">
        <v>55.2</v>
      </c>
      <c r="Y709" s="3" t="s">
        <v>30</v>
      </c>
      <c r="Z709" s="0" t="str">
        <f aca="false">IF(M709=1,P709,"")</f>
        <v/>
      </c>
    </row>
    <row r="710" customFormat="false" ht="15" hidden="false" customHeight="false" outlineLevel="0" collapsed="false">
      <c r="A710" s="0" t="s">
        <v>754</v>
      </c>
      <c r="B710" s="2" t="n">
        <v>45769</v>
      </c>
      <c r="C710" s="3" t="s">
        <v>736</v>
      </c>
      <c r="D710" s="3" t="s">
        <v>43</v>
      </c>
      <c r="E710" s="3" t="s">
        <v>35</v>
      </c>
      <c r="F710" s="3" t="s">
        <v>30</v>
      </c>
      <c r="G710" s="3" t="s">
        <v>36</v>
      </c>
      <c r="H710" s="3" t="s">
        <v>30</v>
      </c>
      <c r="I710" s="3" t="s">
        <v>32</v>
      </c>
      <c r="J710" s="0" t="n">
        <v>1</v>
      </c>
      <c r="K710" s="0" t="n">
        <v>0</v>
      </c>
      <c r="L710" s="0" t="n">
        <v>0</v>
      </c>
      <c r="M710" s="0" t="n">
        <v>0</v>
      </c>
      <c r="N710" s="0" t="str">
        <f aca="false">IF(OR(NOT(OR(J710=0,J710=1)),NOT(OR(K710=0,K710=1)),NOT(OR(L710=0,L710=1)),NOT(OR(M710=0,M710=1)),NOT(OR(U710=0,U710=1))),"Yes","No")</f>
        <v>No</v>
      </c>
      <c r="O710" s="0" t="str">
        <f aca="false">IF(OR(AND(M710=1,L710=0),AND(L710=1,K710=0),AND(K710=1,J710=0)),"Yes","No")</f>
        <v>No</v>
      </c>
      <c r="P710" s="0" t="n">
        <v>0</v>
      </c>
      <c r="Q710" s="0" t="str">
        <f aca="false">IF(OR(AND(M710=0,P710&gt;0),AND(M710=1,P710&lt;=0)),"Yes","No")</f>
        <v>No</v>
      </c>
      <c r="R710" s="0" t="str">
        <f aca="false">IF(AND(M710=1,P710&gt;calc_helpers!$B$5),"Yes","No")</f>
        <v>No</v>
      </c>
      <c r="S710" s="0" t="n">
        <v>0</v>
      </c>
      <c r="T710" s="0" t="str">
        <f aca="false">IF(S710&gt;0,"Yes","No")</f>
        <v>No</v>
      </c>
      <c r="U710" s="0" t="n">
        <v>0</v>
      </c>
      <c r="W710" s="0" t="str">
        <f aca="false">IF(OR(AND(M710=1,ISBLANK(V710)),AND(M710=0,NOT(ISBLANK(V710)))),"Yes","No")</f>
        <v>No</v>
      </c>
      <c r="X710" s="0" t="n">
        <v>49.4</v>
      </c>
      <c r="Y710" s="3" t="s">
        <v>30</v>
      </c>
      <c r="Z710" s="0" t="str">
        <f aca="false">IF(M710=1,P710,"")</f>
        <v/>
      </c>
    </row>
    <row r="711" customFormat="false" ht="15" hidden="false" customHeight="false" outlineLevel="0" collapsed="false">
      <c r="A711" s="0" t="s">
        <v>755</v>
      </c>
      <c r="B711" s="2" t="n">
        <v>45719</v>
      </c>
      <c r="C711" s="3" t="s">
        <v>736</v>
      </c>
      <c r="D711" s="3" t="s">
        <v>43</v>
      </c>
      <c r="E711" s="3" t="s">
        <v>35</v>
      </c>
      <c r="F711" s="3" t="s">
        <v>30</v>
      </c>
      <c r="G711" s="3" t="s">
        <v>52</v>
      </c>
      <c r="H711" s="3" t="s">
        <v>30</v>
      </c>
      <c r="I711" s="3" t="s">
        <v>37</v>
      </c>
      <c r="J711" s="0" t="n">
        <v>1</v>
      </c>
      <c r="K711" s="0" t="n">
        <v>1</v>
      </c>
      <c r="L711" s="0" t="n">
        <v>1</v>
      </c>
      <c r="M711" s="0" t="n">
        <v>0</v>
      </c>
      <c r="N711" s="0" t="str">
        <f aca="false">IF(OR(NOT(OR(J711=0,J711=1)),NOT(OR(K711=0,K711=1)),NOT(OR(L711=0,L711=1)),NOT(OR(M711=0,M711=1)),NOT(OR(U711=0,U711=1))),"Yes","No")</f>
        <v>No</v>
      </c>
      <c r="O711" s="0" t="str">
        <f aca="false">IF(OR(AND(M711=1,L711=0),AND(L711=1,K711=0),AND(K711=1,J711=0)),"Yes","No")</f>
        <v>No</v>
      </c>
      <c r="P711" s="0" t="n">
        <v>0</v>
      </c>
      <c r="Q711" s="0" t="str">
        <f aca="false">IF(OR(AND(M711=0,P711&gt;0),AND(M711=1,P711&lt;=0)),"Yes","No")</f>
        <v>No</v>
      </c>
      <c r="R711" s="0" t="str">
        <f aca="false">IF(AND(M711=1,P711&gt;calc_helpers!$B$5),"Yes","No")</f>
        <v>No</v>
      </c>
      <c r="S711" s="0" t="n">
        <v>1</v>
      </c>
      <c r="T711" s="0" t="str">
        <f aca="false">IF(S711&gt;0,"Yes","No")</f>
        <v>Yes</v>
      </c>
      <c r="U711" s="0" t="n">
        <v>0</v>
      </c>
      <c r="W711" s="0" t="str">
        <f aca="false">IF(OR(AND(M711=1,ISBLANK(V711)),AND(M711=0,NOT(ISBLANK(V711)))),"Yes","No")</f>
        <v>No</v>
      </c>
      <c r="X711" s="0" t="n">
        <v>60.1</v>
      </c>
      <c r="Y711" s="3" t="s">
        <v>30</v>
      </c>
      <c r="Z711" s="0" t="str">
        <f aca="false">IF(M711=1,P711,"")</f>
        <v/>
      </c>
    </row>
    <row r="712" customFormat="false" ht="15" hidden="false" customHeight="false" outlineLevel="0" collapsed="false">
      <c r="A712" s="0" t="s">
        <v>756</v>
      </c>
      <c r="B712" s="2" t="n">
        <v>45734</v>
      </c>
      <c r="C712" s="3" t="s">
        <v>736</v>
      </c>
      <c r="D712" s="3" t="s">
        <v>28</v>
      </c>
      <c r="E712" s="3" t="s">
        <v>35</v>
      </c>
      <c r="F712" s="3" t="s">
        <v>30</v>
      </c>
      <c r="G712" s="3" t="s">
        <v>50</v>
      </c>
      <c r="H712" s="3" t="s">
        <v>30</v>
      </c>
      <c r="I712" s="3" t="s">
        <v>37</v>
      </c>
      <c r="J712" s="0" t="n">
        <v>1</v>
      </c>
      <c r="K712" s="0" t="n">
        <v>0</v>
      </c>
      <c r="L712" s="0" t="n">
        <v>0</v>
      </c>
      <c r="M712" s="0" t="n">
        <v>0</v>
      </c>
      <c r="N712" s="0" t="str">
        <f aca="false">IF(OR(NOT(OR(J712=0,J712=1)),NOT(OR(K712=0,K712=1)),NOT(OR(L712=0,L712=1)),NOT(OR(M712=0,M712=1)),NOT(OR(U712=0,U712=1))),"Yes","No")</f>
        <v>No</v>
      </c>
      <c r="O712" s="0" t="str">
        <f aca="false">IF(OR(AND(M712=1,L712=0),AND(L712=1,K712=0),AND(K712=1,J712=0)),"Yes","No")</f>
        <v>No</v>
      </c>
      <c r="P712" s="0" t="n">
        <v>0</v>
      </c>
      <c r="Q712" s="0" t="str">
        <f aca="false">IF(OR(AND(M712=0,P712&gt;0),AND(M712=1,P712&lt;=0)),"Yes","No")</f>
        <v>No</v>
      </c>
      <c r="R712" s="0" t="str">
        <f aca="false">IF(AND(M712=1,P712&gt;calc_helpers!$B$5),"Yes","No")</f>
        <v>No</v>
      </c>
      <c r="S712" s="0" t="n">
        <v>0</v>
      </c>
      <c r="T712" s="0" t="str">
        <f aca="false">IF(S712&gt;0,"Yes","No")</f>
        <v>No</v>
      </c>
      <c r="U712" s="0" t="n">
        <v>0</v>
      </c>
      <c r="W712" s="0" t="str">
        <f aca="false">IF(OR(AND(M712=1,ISBLANK(V712)),AND(M712=0,NOT(ISBLANK(V712)))),"Yes","No")</f>
        <v>No</v>
      </c>
      <c r="X712" s="0" t="n">
        <v>55.9</v>
      </c>
      <c r="Y712" s="3" t="s">
        <v>30</v>
      </c>
      <c r="Z712" s="0" t="str">
        <f aca="false">IF(M712=1,P712,"")</f>
        <v/>
      </c>
    </row>
    <row r="713" customFormat="false" ht="15" hidden="false" customHeight="false" outlineLevel="0" collapsed="false">
      <c r="A713" s="0" t="s">
        <v>757</v>
      </c>
      <c r="B713" s="2" t="n">
        <v>45752</v>
      </c>
      <c r="C713" s="3" t="s">
        <v>736</v>
      </c>
      <c r="D713" s="3" t="s">
        <v>28</v>
      </c>
      <c r="E713" s="3" t="s">
        <v>35</v>
      </c>
      <c r="F713" s="3" t="s">
        <v>30</v>
      </c>
      <c r="G713" s="3" t="s">
        <v>36</v>
      </c>
      <c r="H713" s="3" t="s">
        <v>30</v>
      </c>
      <c r="I713" s="3" t="s">
        <v>32</v>
      </c>
      <c r="J713" s="0" t="n">
        <v>1</v>
      </c>
      <c r="K713" s="0" t="n">
        <v>0</v>
      </c>
      <c r="L713" s="0" t="n">
        <v>0</v>
      </c>
      <c r="M713" s="0" t="n">
        <v>0</v>
      </c>
      <c r="N713" s="0" t="str">
        <f aca="false">IF(OR(NOT(OR(J713=0,J713=1)),NOT(OR(K713=0,K713=1)),NOT(OR(L713=0,L713=1)),NOT(OR(M713=0,M713=1)),NOT(OR(U713=0,U713=1))),"Yes","No")</f>
        <v>No</v>
      </c>
      <c r="O713" s="0" t="str">
        <f aca="false">IF(OR(AND(M713=1,L713=0),AND(L713=1,K713=0),AND(K713=1,J713=0)),"Yes","No")</f>
        <v>No</v>
      </c>
      <c r="P713" s="0" t="n">
        <v>0</v>
      </c>
      <c r="Q713" s="0" t="str">
        <f aca="false">IF(OR(AND(M713=0,P713&gt;0),AND(M713=1,P713&lt;=0)),"Yes","No")</f>
        <v>No</v>
      </c>
      <c r="R713" s="0" t="str">
        <f aca="false">IF(AND(M713=1,P713&gt;calc_helpers!$B$5),"Yes","No")</f>
        <v>No</v>
      </c>
      <c r="S713" s="0" t="n">
        <v>0</v>
      </c>
      <c r="T713" s="0" t="str">
        <f aca="false">IF(S713&gt;0,"Yes","No")</f>
        <v>No</v>
      </c>
      <c r="U713" s="0" t="n">
        <v>0</v>
      </c>
      <c r="W713" s="0" t="str">
        <f aca="false">IF(OR(AND(M713=1,ISBLANK(V713)),AND(M713=0,NOT(ISBLANK(V713)))),"Yes","No")</f>
        <v>No</v>
      </c>
      <c r="X713" s="0" t="n">
        <v>51.5</v>
      </c>
      <c r="Y713" s="3" t="s">
        <v>30</v>
      </c>
      <c r="Z713" s="0" t="str">
        <f aca="false">IF(M713=1,P713,"")</f>
        <v/>
      </c>
    </row>
    <row r="714" customFormat="false" ht="15" hidden="false" customHeight="false" outlineLevel="0" collapsed="false">
      <c r="A714" s="0" t="s">
        <v>758</v>
      </c>
      <c r="B714" s="2" t="n">
        <v>45763</v>
      </c>
      <c r="C714" s="3" t="s">
        <v>736</v>
      </c>
      <c r="D714" s="3" t="s">
        <v>39</v>
      </c>
      <c r="E714" s="3" t="s">
        <v>35</v>
      </c>
      <c r="F714" s="3" t="s">
        <v>30</v>
      </c>
      <c r="G714" s="3" t="s">
        <v>36</v>
      </c>
      <c r="H714" s="3" t="s">
        <v>30</v>
      </c>
      <c r="I714" s="3" t="s">
        <v>37</v>
      </c>
      <c r="J714" s="0" t="n">
        <v>1</v>
      </c>
      <c r="K714" s="0" t="n">
        <v>1</v>
      </c>
      <c r="L714" s="0" t="n">
        <v>1</v>
      </c>
      <c r="M714" s="0" t="n">
        <v>1</v>
      </c>
      <c r="N714" s="0" t="str">
        <f aca="false">IF(OR(NOT(OR(J714=0,J714=1)),NOT(OR(K714=0,K714=1)),NOT(OR(L714=0,L714=1)),NOT(OR(M714=0,M714=1)),NOT(OR(U714=0,U714=1))),"Yes","No")</f>
        <v>No</v>
      </c>
      <c r="O714" s="0" t="str">
        <f aca="false">IF(OR(AND(M714=1,L714=0),AND(L714=1,K714=0),AND(K714=1,J714=0)),"Yes","No")</f>
        <v>No</v>
      </c>
      <c r="P714" s="0" t="n">
        <v>516.67</v>
      </c>
      <c r="Q714" s="0" t="str">
        <f aca="false">IF(OR(AND(M714=0,P714&gt;0),AND(M714=1,P714&lt;=0)),"Yes","No")</f>
        <v>No</v>
      </c>
      <c r="R714" s="0" t="str">
        <f aca="false">IF(AND(M714=1,P714&gt;calc_helpers!$B$5),"Yes","No")</f>
        <v>No</v>
      </c>
      <c r="S714" s="0" t="n">
        <v>0</v>
      </c>
      <c r="T714" s="0" t="str">
        <f aca="false">IF(S714&gt;0,"Yes","No")</f>
        <v>No</v>
      </c>
      <c r="U714" s="0" t="n">
        <v>0</v>
      </c>
      <c r="V714" s="0" t="n">
        <v>11</v>
      </c>
      <c r="W714" s="0" t="str">
        <f aca="false">IF(OR(AND(M714=1,ISBLANK(V714)),AND(M714=0,NOT(ISBLANK(V714)))),"Yes","No")</f>
        <v>No</v>
      </c>
      <c r="X714" s="0" t="n">
        <v>57.9</v>
      </c>
      <c r="Y714" s="3" t="s">
        <v>30</v>
      </c>
      <c r="Z714" s="3" t="n">
        <f aca="false">IF(M714=1,P714,"")</f>
        <v>516.67</v>
      </c>
    </row>
    <row r="715" customFormat="false" ht="15" hidden="false" customHeight="false" outlineLevel="0" collapsed="false">
      <c r="A715" s="0" t="s">
        <v>759</v>
      </c>
      <c r="B715" s="2" t="n">
        <v>45767</v>
      </c>
      <c r="C715" s="3" t="s">
        <v>736</v>
      </c>
      <c r="D715" s="3" t="s">
        <v>43</v>
      </c>
      <c r="E715" s="3" t="s">
        <v>35</v>
      </c>
      <c r="F715" s="3" t="s">
        <v>30</v>
      </c>
      <c r="G715" s="3" t="s">
        <v>50</v>
      </c>
      <c r="H715" s="3" t="s">
        <v>30</v>
      </c>
      <c r="I715" s="3" t="s">
        <v>37</v>
      </c>
      <c r="J715" s="0" t="n">
        <v>1</v>
      </c>
      <c r="K715" s="0" t="n">
        <v>1</v>
      </c>
      <c r="L715" s="0" t="n">
        <v>1</v>
      </c>
      <c r="M715" s="0" t="n">
        <v>1</v>
      </c>
      <c r="N715" s="0" t="str">
        <f aca="false">IF(OR(NOT(OR(J715=0,J715=1)),NOT(OR(K715=0,K715=1)),NOT(OR(L715=0,L715=1)),NOT(OR(M715=0,M715=1)),NOT(OR(U715=0,U715=1))),"Yes","No")</f>
        <v>No</v>
      </c>
      <c r="O715" s="0" t="str">
        <f aca="false">IF(OR(AND(M715=1,L715=0),AND(L715=1,K715=0),AND(K715=1,J715=0)),"Yes","No")</f>
        <v>No</v>
      </c>
      <c r="P715" s="0" t="n">
        <v>277.18</v>
      </c>
      <c r="Q715" s="0" t="str">
        <f aca="false">IF(OR(AND(M715=0,P715&gt;0),AND(M715=1,P715&lt;=0)),"Yes","No")</f>
        <v>No</v>
      </c>
      <c r="R715" s="0" t="str">
        <f aca="false">IF(AND(M715=1,P715&gt;calc_helpers!$B$5),"Yes","No")</f>
        <v>No</v>
      </c>
      <c r="S715" s="0" t="n">
        <v>2</v>
      </c>
      <c r="T715" s="0" t="str">
        <f aca="false">IF(S715&gt;0,"Yes","No")</f>
        <v>Yes</v>
      </c>
      <c r="U715" s="0" t="n">
        <v>0</v>
      </c>
      <c r="V715" s="0" t="n">
        <v>8</v>
      </c>
      <c r="W715" s="0" t="str">
        <f aca="false">IF(OR(AND(M715=1,ISBLANK(V715)),AND(M715=0,NOT(ISBLANK(V715)))),"Yes","No")</f>
        <v>No</v>
      </c>
      <c r="X715" s="0" t="n">
        <v>59.2</v>
      </c>
      <c r="Y715" s="3" t="s">
        <v>30</v>
      </c>
      <c r="Z715" s="3" t="n">
        <f aca="false">IF(M715=1,P715,"")</f>
        <v>277.18</v>
      </c>
    </row>
    <row r="716" customFormat="false" ht="15" hidden="false" customHeight="false" outlineLevel="0" collapsed="false">
      <c r="A716" s="0" t="s">
        <v>760</v>
      </c>
      <c r="B716" s="2" t="n">
        <v>45703</v>
      </c>
      <c r="C716" s="3" t="s">
        <v>736</v>
      </c>
      <c r="D716" s="3" t="s">
        <v>43</v>
      </c>
      <c r="E716" s="3" t="s">
        <v>35</v>
      </c>
      <c r="F716" s="3" t="s">
        <v>30</v>
      </c>
      <c r="G716" s="3" t="s">
        <v>36</v>
      </c>
      <c r="H716" s="3" t="s">
        <v>30</v>
      </c>
      <c r="I716" s="3" t="s">
        <v>37</v>
      </c>
      <c r="J716" s="0" t="n">
        <v>0</v>
      </c>
      <c r="K716" s="0" t="n">
        <v>0</v>
      </c>
      <c r="L716" s="0" t="n">
        <v>0</v>
      </c>
      <c r="M716" s="0" t="n">
        <v>0</v>
      </c>
      <c r="N716" s="0" t="str">
        <f aca="false">IF(OR(NOT(OR(J716=0,J716=1)),NOT(OR(K716=0,K716=1)),NOT(OR(L716=0,L716=1)),NOT(OR(M716=0,M716=1)),NOT(OR(U716=0,U716=1))),"Yes","No")</f>
        <v>No</v>
      </c>
      <c r="O716" s="0" t="str">
        <f aca="false">IF(OR(AND(M716=1,L716=0),AND(L716=1,K716=0),AND(K716=1,J716=0)),"Yes","No")</f>
        <v>No</v>
      </c>
      <c r="P716" s="0" t="n">
        <v>0</v>
      </c>
      <c r="Q716" s="0" t="str">
        <f aca="false">IF(OR(AND(M716=0,P716&gt;0),AND(M716=1,P716&lt;=0)),"Yes","No")</f>
        <v>No</v>
      </c>
      <c r="R716" s="0" t="str">
        <f aca="false">IF(AND(M716=1,P716&gt;calc_helpers!$B$5),"Yes","No")</f>
        <v>No</v>
      </c>
      <c r="S716" s="0" t="n">
        <v>0</v>
      </c>
      <c r="T716" s="0" t="str">
        <f aca="false">IF(S716&gt;0,"Yes","No")</f>
        <v>No</v>
      </c>
      <c r="U716" s="0" t="n">
        <v>0</v>
      </c>
      <c r="W716" s="0" t="str">
        <f aca="false">IF(OR(AND(M716=1,ISBLANK(V716)),AND(M716=0,NOT(ISBLANK(V716)))),"Yes","No")</f>
        <v>No</v>
      </c>
      <c r="X716" s="0" t="n">
        <v>64.2</v>
      </c>
      <c r="Y716" s="3" t="s">
        <v>30</v>
      </c>
      <c r="Z716" s="0" t="str">
        <f aca="false">IF(M716=1,P716,"")</f>
        <v/>
      </c>
    </row>
    <row r="717" customFormat="false" ht="15" hidden="false" customHeight="false" outlineLevel="0" collapsed="false">
      <c r="A717" s="0" t="s">
        <v>761</v>
      </c>
      <c r="B717" s="2" t="n">
        <v>45678</v>
      </c>
      <c r="C717" s="3" t="s">
        <v>736</v>
      </c>
      <c r="D717" s="3" t="s">
        <v>43</v>
      </c>
      <c r="E717" s="3" t="s">
        <v>35</v>
      </c>
      <c r="F717" s="3" t="s">
        <v>30</v>
      </c>
      <c r="G717" s="3" t="s">
        <v>36</v>
      </c>
      <c r="H717" s="3" t="s">
        <v>30</v>
      </c>
      <c r="I717" s="3" t="s">
        <v>37</v>
      </c>
      <c r="J717" s="0" t="n">
        <v>1</v>
      </c>
      <c r="K717" s="0" t="n">
        <v>0</v>
      </c>
      <c r="L717" s="0" t="n">
        <v>0</v>
      </c>
      <c r="M717" s="0" t="n">
        <v>0</v>
      </c>
      <c r="N717" s="0" t="str">
        <f aca="false">IF(OR(NOT(OR(J717=0,J717=1)),NOT(OR(K717=0,K717=1)),NOT(OR(L717=0,L717=1)),NOT(OR(M717=0,M717=1)),NOT(OR(U717=0,U717=1))),"Yes","No")</f>
        <v>No</v>
      </c>
      <c r="O717" s="0" t="str">
        <f aca="false">IF(OR(AND(M717=1,L717=0),AND(L717=1,K717=0),AND(K717=1,J717=0)),"Yes","No")</f>
        <v>No</v>
      </c>
      <c r="P717" s="0" t="n">
        <v>0</v>
      </c>
      <c r="Q717" s="0" t="str">
        <f aca="false">IF(OR(AND(M717=0,P717&gt;0),AND(M717=1,P717&lt;=0)),"Yes","No")</f>
        <v>No</v>
      </c>
      <c r="R717" s="0" t="str">
        <f aca="false">IF(AND(M717=1,P717&gt;calc_helpers!$B$5),"Yes","No")</f>
        <v>No</v>
      </c>
      <c r="S717" s="0" t="n">
        <v>0</v>
      </c>
      <c r="T717" s="0" t="str">
        <f aca="false">IF(S717&gt;0,"Yes","No")</f>
        <v>No</v>
      </c>
      <c r="U717" s="0" t="n">
        <v>0</v>
      </c>
      <c r="W717" s="0" t="str">
        <f aca="false">IF(OR(AND(M717=1,ISBLANK(V717)),AND(M717=0,NOT(ISBLANK(V717)))),"Yes","No")</f>
        <v>No</v>
      </c>
      <c r="X717" s="0" t="n">
        <v>68.8</v>
      </c>
      <c r="Y717" s="3" t="s">
        <v>30</v>
      </c>
      <c r="Z717" s="0" t="str">
        <f aca="false">IF(M717=1,P717,"")</f>
        <v/>
      </c>
    </row>
    <row r="718" customFormat="false" ht="15" hidden="false" customHeight="false" outlineLevel="0" collapsed="false">
      <c r="A718" s="0" t="s">
        <v>762</v>
      </c>
      <c r="B718" s="2" t="n">
        <v>45800</v>
      </c>
      <c r="C718" s="3" t="s">
        <v>736</v>
      </c>
      <c r="D718" s="3" t="s">
        <v>28</v>
      </c>
      <c r="E718" s="3" t="s">
        <v>35</v>
      </c>
      <c r="F718" s="3" t="s">
        <v>30</v>
      </c>
      <c r="G718" s="3" t="s">
        <v>40</v>
      </c>
      <c r="H718" s="3" t="s">
        <v>30</v>
      </c>
      <c r="I718" s="3" t="s">
        <v>41</v>
      </c>
      <c r="J718" s="0" t="n">
        <v>1</v>
      </c>
      <c r="K718" s="0" t="n">
        <v>1</v>
      </c>
      <c r="L718" s="0" t="n">
        <v>1</v>
      </c>
      <c r="M718" s="0" t="n">
        <v>0</v>
      </c>
      <c r="N718" s="0" t="str">
        <f aca="false">IF(OR(NOT(OR(J718=0,J718=1)),NOT(OR(K718=0,K718=1)),NOT(OR(L718=0,L718=1)),NOT(OR(M718=0,M718=1)),NOT(OR(U718=0,U718=1))),"Yes","No")</f>
        <v>No</v>
      </c>
      <c r="O718" s="0" t="str">
        <f aca="false">IF(OR(AND(M718=1,L718=0),AND(L718=1,K718=0),AND(K718=1,J718=0)),"Yes","No")</f>
        <v>No</v>
      </c>
      <c r="P718" s="0" t="n">
        <v>0</v>
      </c>
      <c r="Q718" s="0" t="str">
        <f aca="false">IF(OR(AND(M718=0,P718&gt;0),AND(M718=1,P718&lt;=0)),"Yes","No")</f>
        <v>No</v>
      </c>
      <c r="R718" s="0" t="str">
        <f aca="false">IF(AND(M718=1,P718&gt;calc_helpers!$B$5),"Yes","No")</f>
        <v>No</v>
      </c>
      <c r="S718" s="0" t="n">
        <v>0</v>
      </c>
      <c r="T718" s="0" t="str">
        <f aca="false">IF(S718&gt;0,"Yes","No")</f>
        <v>No</v>
      </c>
      <c r="U718" s="0" t="n">
        <v>0</v>
      </c>
      <c r="W718" s="0" t="str">
        <f aca="false">IF(OR(AND(M718=1,ISBLANK(V718)),AND(M718=0,NOT(ISBLANK(V718)))),"Yes","No")</f>
        <v>No</v>
      </c>
      <c r="X718" s="0" t="n">
        <v>77.9</v>
      </c>
      <c r="Y718" s="3" t="s">
        <v>30</v>
      </c>
      <c r="Z718" s="0" t="str">
        <f aca="false">IF(M718=1,P718,"")</f>
        <v/>
      </c>
    </row>
    <row r="719" customFormat="false" ht="15" hidden="false" customHeight="false" outlineLevel="0" collapsed="false">
      <c r="A719" s="0" t="s">
        <v>763</v>
      </c>
      <c r="B719" s="2" t="n">
        <v>45679</v>
      </c>
      <c r="C719" s="3" t="s">
        <v>736</v>
      </c>
      <c r="D719" s="3" t="s">
        <v>34</v>
      </c>
      <c r="E719" s="3" t="s">
        <v>35</v>
      </c>
      <c r="F719" s="3" t="s">
        <v>30</v>
      </c>
      <c r="G719" s="3" t="s">
        <v>40</v>
      </c>
      <c r="H719" s="3" t="s">
        <v>30</v>
      </c>
      <c r="I719" s="3" t="s">
        <v>32</v>
      </c>
      <c r="J719" s="0" t="n">
        <v>0</v>
      </c>
      <c r="K719" s="0" t="n">
        <v>0</v>
      </c>
      <c r="L719" s="0" t="n">
        <v>0</v>
      </c>
      <c r="M719" s="0" t="n">
        <v>0</v>
      </c>
      <c r="N719" s="0" t="str">
        <f aca="false">IF(OR(NOT(OR(J719=0,J719=1)),NOT(OR(K719=0,K719=1)),NOT(OR(L719=0,L719=1)),NOT(OR(M719=0,M719=1)),NOT(OR(U719=0,U719=1))),"Yes","No")</f>
        <v>No</v>
      </c>
      <c r="O719" s="0" t="str">
        <f aca="false">IF(OR(AND(M719=1,L719=0),AND(L719=1,K719=0),AND(K719=1,J719=0)),"Yes","No")</f>
        <v>No</v>
      </c>
      <c r="P719" s="0" t="n">
        <v>0</v>
      </c>
      <c r="Q719" s="0" t="str">
        <f aca="false">IF(OR(AND(M719=0,P719&gt;0),AND(M719=1,P719&lt;=0)),"Yes","No")</f>
        <v>No</v>
      </c>
      <c r="R719" s="0" t="str">
        <f aca="false">IF(AND(M719=1,P719&gt;calc_helpers!$B$5),"Yes","No")</f>
        <v>No</v>
      </c>
      <c r="S719" s="0" t="n">
        <v>0</v>
      </c>
      <c r="T719" s="0" t="str">
        <f aca="false">IF(S719&gt;0,"Yes","No")</f>
        <v>No</v>
      </c>
      <c r="U719" s="0" t="n">
        <v>0</v>
      </c>
      <c r="W719" s="0" t="str">
        <f aca="false">IF(OR(AND(M719=1,ISBLANK(V719)),AND(M719=0,NOT(ISBLANK(V719)))),"Yes","No")</f>
        <v>No</v>
      </c>
      <c r="X719" s="0" t="n">
        <v>92.1</v>
      </c>
      <c r="Y719" s="3" t="s">
        <v>30</v>
      </c>
      <c r="Z719" s="0" t="str">
        <f aca="false">IF(M719=1,P719,"")</f>
        <v/>
      </c>
    </row>
    <row r="720" customFormat="false" ht="15" hidden="false" customHeight="false" outlineLevel="0" collapsed="false">
      <c r="A720" s="0" t="s">
        <v>764</v>
      </c>
      <c r="B720" s="2" t="n">
        <v>45771</v>
      </c>
      <c r="C720" s="3" t="s">
        <v>736</v>
      </c>
      <c r="D720" s="3" t="s">
        <v>34</v>
      </c>
      <c r="E720" s="3" t="s">
        <v>35</v>
      </c>
      <c r="F720" s="3" t="s">
        <v>30</v>
      </c>
      <c r="G720" s="3" t="s">
        <v>40</v>
      </c>
      <c r="H720" s="3" t="s">
        <v>30</v>
      </c>
      <c r="I720" s="3" t="s">
        <v>41</v>
      </c>
      <c r="J720" s="0" t="n">
        <v>0</v>
      </c>
      <c r="K720" s="0" t="n">
        <v>0</v>
      </c>
      <c r="L720" s="0" t="n">
        <v>0</v>
      </c>
      <c r="M720" s="0" t="n">
        <v>0</v>
      </c>
      <c r="N720" s="0" t="str">
        <f aca="false">IF(OR(NOT(OR(J720=0,J720=1)),NOT(OR(K720=0,K720=1)),NOT(OR(L720=0,L720=1)),NOT(OR(M720=0,M720=1)),NOT(OR(U720=0,U720=1))),"Yes","No")</f>
        <v>No</v>
      </c>
      <c r="O720" s="0" t="str">
        <f aca="false">IF(OR(AND(M720=1,L720=0),AND(L720=1,K720=0),AND(K720=1,J720=0)),"Yes","No")</f>
        <v>No</v>
      </c>
      <c r="P720" s="0" t="n">
        <v>0</v>
      </c>
      <c r="Q720" s="0" t="str">
        <f aca="false">IF(OR(AND(M720=0,P720&gt;0),AND(M720=1,P720&lt;=0)),"Yes","No")</f>
        <v>No</v>
      </c>
      <c r="R720" s="0" t="str">
        <f aca="false">IF(AND(M720=1,P720&gt;calc_helpers!$B$5),"Yes","No")</f>
        <v>No</v>
      </c>
      <c r="S720" s="0" t="n">
        <v>0</v>
      </c>
      <c r="T720" s="0" t="str">
        <f aca="false">IF(S720&gt;0,"Yes","No")</f>
        <v>No</v>
      </c>
      <c r="U720" s="0" t="n">
        <v>0</v>
      </c>
      <c r="W720" s="0" t="str">
        <f aca="false">IF(OR(AND(M720=1,ISBLANK(V720)),AND(M720=0,NOT(ISBLANK(V720)))),"Yes","No")</f>
        <v>No</v>
      </c>
      <c r="X720" s="0" t="n">
        <v>63.6</v>
      </c>
      <c r="Y720" s="3" t="s">
        <v>30</v>
      </c>
      <c r="Z720" s="0" t="str">
        <f aca="false">IF(M720=1,P720,"")</f>
        <v/>
      </c>
    </row>
    <row r="721" customFormat="false" ht="15" hidden="false" customHeight="false" outlineLevel="0" collapsed="false">
      <c r="A721" s="0" t="s">
        <v>765</v>
      </c>
      <c r="B721" s="2" t="n">
        <v>45674</v>
      </c>
      <c r="C721" s="3" t="s">
        <v>736</v>
      </c>
      <c r="D721" s="3" t="s">
        <v>34</v>
      </c>
      <c r="E721" s="3" t="s">
        <v>29</v>
      </c>
      <c r="F721" s="3" t="s">
        <v>30</v>
      </c>
      <c r="G721" s="3" t="s">
        <v>31</v>
      </c>
      <c r="H721" s="3" t="s">
        <v>30</v>
      </c>
      <c r="I721" s="3" t="s">
        <v>37</v>
      </c>
      <c r="J721" s="0" t="n">
        <v>0</v>
      </c>
      <c r="K721" s="0" t="n">
        <v>0</v>
      </c>
      <c r="L721" s="0" t="n">
        <v>0</v>
      </c>
      <c r="M721" s="0" t="n">
        <v>0</v>
      </c>
      <c r="N721" s="0" t="str">
        <f aca="false">IF(OR(NOT(OR(J721=0,J721=1)),NOT(OR(K721=0,K721=1)),NOT(OR(L721=0,L721=1)),NOT(OR(M721=0,M721=1)),NOT(OR(U721=0,U721=1))),"Yes","No")</f>
        <v>No</v>
      </c>
      <c r="O721" s="0" t="str">
        <f aca="false">IF(OR(AND(M721=1,L721=0),AND(L721=1,K721=0),AND(K721=1,J721=0)),"Yes","No")</f>
        <v>No</v>
      </c>
      <c r="P721" s="0" t="n">
        <v>0</v>
      </c>
      <c r="Q721" s="0" t="str">
        <f aca="false">IF(OR(AND(M721=0,P721&gt;0),AND(M721=1,P721&lt;=0)),"Yes","No")</f>
        <v>No</v>
      </c>
      <c r="R721" s="0" t="str">
        <f aca="false">IF(AND(M721=1,P721&gt;calc_helpers!$B$5),"Yes","No")</f>
        <v>No</v>
      </c>
      <c r="S721" s="0" t="n">
        <v>2</v>
      </c>
      <c r="T721" s="0" t="str">
        <f aca="false">IF(S721&gt;0,"Yes","No")</f>
        <v>Yes</v>
      </c>
      <c r="U721" s="0" t="n">
        <v>0</v>
      </c>
      <c r="W721" s="0" t="str">
        <f aca="false">IF(OR(AND(M721=1,ISBLANK(V721)),AND(M721=0,NOT(ISBLANK(V721)))),"Yes","No")</f>
        <v>No</v>
      </c>
      <c r="X721" s="0" t="n">
        <v>61.6</v>
      </c>
      <c r="Y721" s="3" t="s">
        <v>30</v>
      </c>
      <c r="Z721" s="0" t="str">
        <f aca="false">IF(M721=1,P721,"")</f>
        <v/>
      </c>
    </row>
    <row r="722" customFormat="false" ht="15" hidden="false" customHeight="false" outlineLevel="0" collapsed="false">
      <c r="A722" s="0" t="s">
        <v>766</v>
      </c>
      <c r="B722" s="2" t="n">
        <v>45679</v>
      </c>
      <c r="C722" s="3" t="s">
        <v>736</v>
      </c>
      <c r="D722" s="3" t="s">
        <v>39</v>
      </c>
      <c r="E722" s="3" t="s">
        <v>35</v>
      </c>
      <c r="F722" s="3" t="s">
        <v>30</v>
      </c>
      <c r="G722" s="3" t="s">
        <v>50</v>
      </c>
      <c r="H722" s="3" t="s">
        <v>30</v>
      </c>
      <c r="I722" s="3" t="s">
        <v>32</v>
      </c>
      <c r="J722" s="0" t="n">
        <v>1</v>
      </c>
      <c r="K722" s="0" t="n">
        <v>1</v>
      </c>
      <c r="L722" s="0" t="n">
        <v>0</v>
      </c>
      <c r="M722" s="0" t="n">
        <v>0</v>
      </c>
      <c r="N722" s="0" t="str">
        <f aca="false">IF(OR(NOT(OR(J722=0,J722=1)),NOT(OR(K722=0,K722=1)),NOT(OR(L722=0,L722=1)),NOT(OR(M722=0,M722=1)),NOT(OR(U722=0,U722=1))),"Yes","No")</f>
        <v>No</v>
      </c>
      <c r="O722" s="0" t="str">
        <f aca="false">IF(OR(AND(M722=1,L722=0),AND(L722=1,K722=0),AND(K722=1,J722=0)),"Yes","No")</f>
        <v>No</v>
      </c>
      <c r="P722" s="0" t="n">
        <v>0</v>
      </c>
      <c r="Q722" s="0" t="str">
        <f aca="false">IF(OR(AND(M722=0,P722&gt;0),AND(M722=1,P722&lt;=0)),"Yes","No")</f>
        <v>No</v>
      </c>
      <c r="R722" s="0" t="str">
        <f aca="false">IF(AND(M722=1,P722&gt;calc_helpers!$B$5),"Yes","No")</f>
        <v>No</v>
      </c>
      <c r="S722" s="0" t="n">
        <v>0</v>
      </c>
      <c r="T722" s="0" t="str">
        <f aca="false">IF(S722&gt;0,"Yes","No")</f>
        <v>No</v>
      </c>
      <c r="U722" s="0" t="n">
        <v>0</v>
      </c>
      <c r="W722" s="0" t="str">
        <f aca="false">IF(OR(AND(M722=1,ISBLANK(V722)),AND(M722=0,NOT(ISBLANK(V722)))),"Yes","No")</f>
        <v>No</v>
      </c>
      <c r="X722" s="0" t="n">
        <v>82.3</v>
      </c>
      <c r="Y722" s="3" t="s">
        <v>30</v>
      </c>
      <c r="Z722" s="0" t="str">
        <f aca="false">IF(M722=1,P722,"")</f>
        <v/>
      </c>
    </row>
    <row r="723" customFormat="false" ht="15" hidden="false" customHeight="false" outlineLevel="0" collapsed="false">
      <c r="A723" s="0" t="s">
        <v>767</v>
      </c>
      <c r="B723" s="2" t="n">
        <v>45781</v>
      </c>
      <c r="C723" s="3" t="s">
        <v>736</v>
      </c>
      <c r="D723" s="3" t="s">
        <v>39</v>
      </c>
      <c r="E723" s="3" t="s">
        <v>29</v>
      </c>
      <c r="F723" s="3" t="s">
        <v>30</v>
      </c>
      <c r="G723" s="3" t="s">
        <v>40</v>
      </c>
      <c r="H723" s="3" t="s">
        <v>30</v>
      </c>
      <c r="I723" s="3" t="s">
        <v>37</v>
      </c>
      <c r="J723" s="0" t="n">
        <v>1</v>
      </c>
      <c r="K723" s="0" t="n">
        <v>0</v>
      </c>
      <c r="L723" s="0" t="n">
        <v>0</v>
      </c>
      <c r="M723" s="0" t="n">
        <v>0</v>
      </c>
      <c r="N723" s="0" t="str">
        <f aca="false">IF(OR(NOT(OR(J723=0,J723=1)),NOT(OR(K723=0,K723=1)),NOT(OR(L723=0,L723=1)),NOT(OR(M723=0,M723=1)),NOT(OR(U723=0,U723=1))),"Yes","No")</f>
        <v>No</v>
      </c>
      <c r="O723" s="0" t="str">
        <f aca="false">IF(OR(AND(M723=1,L723=0),AND(L723=1,K723=0),AND(K723=1,J723=0)),"Yes","No")</f>
        <v>No</v>
      </c>
      <c r="P723" s="0" t="n">
        <v>0</v>
      </c>
      <c r="Q723" s="0" t="str">
        <f aca="false">IF(OR(AND(M723=0,P723&gt;0),AND(M723=1,P723&lt;=0)),"Yes","No")</f>
        <v>No</v>
      </c>
      <c r="R723" s="0" t="str">
        <f aca="false">IF(AND(M723=1,P723&gt;calc_helpers!$B$5),"Yes","No")</f>
        <v>No</v>
      </c>
      <c r="S723" s="0" t="n">
        <v>0</v>
      </c>
      <c r="T723" s="0" t="str">
        <f aca="false">IF(S723&gt;0,"Yes","No")</f>
        <v>No</v>
      </c>
      <c r="U723" s="0" t="n">
        <v>0</v>
      </c>
      <c r="W723" s="0" t="str">
        <f aca="false">IF(OR(AND(M723=1,ISBLANK(V723)),AND(M723=0,NOT(ISBLANK(V723)))),"Yes","No")</f>
        <v>No</v>
      </c>
      <c r="X723" s="0" t="n">
        <v>79.3</v>
      </c>
      <c r="Y723" s="3" t="s">
        <v>30</v>
      </c>
      <c r="Z723" s="0" t="str">
        <f aca="false">IF(M723=1,P723,"")</f>
        <v/>
      </c>
    </row>
    <row r="724" customFormat="false" ht="15" hidden="false" customHeight="false" outlineLevel="0" collapsed="false">
      <c r="A724" s="0" t="s">
        <v>768</v>
      </c>
      <c r="B724" s="2" t="n">
        <v>45729</v>
      </c>
      <c r="C724" s="3" t="s">
        <v>736</v>
      </c>
      <c r="D724" s="3" t="s">
        <v>43</v>
      </c>
      <c r="E724" s="3" t="s">
        <v>35</v>
      </c>
      <c r="F724" s="3" t="s">
        <v>30</v>
      </c>
      <c r="G724" s="3" t="s">
        <v>167</v>
      </c>
      <c r="H724" s="3" t="s">
        <v>168</v>
      </c>
      <c r="I724" s="3" t="s">
        <v>37</v>
      </c>
      <c r="J724" s="0" t="n">
        <v>0</v>
      </c>
      <c r="K724" s="0" t="n">
        <v>0</v>
      </c>
      <c r="L724" s="0" t="n">
        <v>0</v>
      </c>
      <c r="M724" s="0" t="n">
        <v>0</v>
      </c>
      <c r="N724" s="0" t="str">
        <f aca="false">IF(OR(NOT(OR(J724=0,J724=1)),NOT(OR(K724=0,K724=1)),NOT(OR(L724=0,L724=1)),NOT(OR(M724=0,M724=1)),NOT(OR(U724=0,U724=1))),"Yes","No")</f>
        <v>No</v>
      </c>
      <c r="O724" s="0" t="str">
        <f aca="false">IF(OR(AND(M724=1,L724=0),AND(L724=1,K724=0),AND(K724=1,J724=0)),"Yes","No")</f>
        <v>No</v>
      </c>
      <c r="P724" s="0" t="n">
        <v>0</v>
      </c>
      <c r="Q724" s="0" t="str">
        <f aca="false">IF(OR(AND(M724=0,P724&gt;0),AND(M724=1,P724&lt;=0)),"Yes","No")</f>
        <v>No</v>
      </c>
      <c r="R724" s="0" t="str">
        <f aca="false">IF(AND(M724=1,P724&gt;calc_helpers!$B$5),"Yes","No")</f>
        <v>No</v>
      </c>
      <c r="S724" s="0" t="n">
        <v>0</v>
      </c>
      <c r="T724" s="0" t="str">
        <f aca="false">IF(S724&gt;0,"Yes","No")</f>
        <v>No</v>
      </c>
      <c r="U724" s="0" t="n">
        <v>0</v>
      </c>
      <c r="W724" s="0" t="str">
        <f aca="false">IF(OR(AND(M724=1,ISBLANK(V724)),AND(M724=0,NOT(ISBLANK(V724)))),"Yes","No")</f>
        <v>No</v>
      </c>
      <c r="X724" s="0" t="n">
        <v>57.7</v>
      </c>
      <c r="Y724" s="3" t="s">
        <v>30</v>
      </c>
      <c r="Z724" s="0" t="str">
        <f aca="false">IF(M724=1,P724,"")</f>
        <v/>
      </c>
    </row>
    <row r="725" customFormat="false" ht="15" hidden="false" customHeight="false" outlineLevel="0" collapsed="false">
      <c r="A725" s="0" t="s">
        <v>769</v>
      </c>
      <c r="B725" s="2" t="n">
        <v>45659</v>
      </c>
      <c r="C725" s="3" t="s">
        <v>736</v>
      </c>
      <c r="D725" s="3" t="s">
        <v>28</v>
      </c>
      <c r="E725" s="3" t="s">
        <v>35</v>
      </c>
      <c r="F725" s="3" t="s">
        <v>30</v>
      </c>
      <c r="G725" s="3" t="s">
        <v>36</v>
      </c>
      <c r="H725" s="3" t="s">
        <v>30</v>
      </c>
      <c r="I725" s="3" t="s">
        <v>32</v>
      </c>
      <c r="J725" s="0" t="n">
        <v>1</v>
      </c>
      <c r="K725" s="0" t="n">
        <v>0</v>
      </c>
      <c r="L725" s="0" t="n">
        <v>0</v>
      </c>
      <c r="M725" s="0" t="n">
        <v>0</v>
      </c>
      <c r="N725" s="0" t="str">
        <f aca="false">IF(OR(NOT(OR(J725=0,J725=1)),NOT(OR(K725=0,K725=1)),NOT(OR(L725=0,L725=1)),NOT(OR(M725=0,M725=1)),NOT(OR(U725=0,U725=1))),"Yes","No")</f>
        <v>No</v>
      </c>
      <c r="O725" s="0" t="str">
        <f aca="false">IF(OR(AND(M725=1,L725=0),AND(L725=1,K725=0),AND(K725=1,J725=0)),"Yes","No")</f>
        <v>No</v>
      </c>
      <c r="P725" s="0" t="n">
        <v>0</v>
      </c>
      <c r="Q725" s="0" t="str">
        <f aca="false">IF(OR(AND(M725=0,P725&gt;0),AND(M725=1,P725&lt;=0)),"Yes","No")</f>
        <v>No</v>
      </c>
      <c r="R725" s="0" t="str">
        <f aca="false">IF(AND(M725=1,P725&gt;calc_helpers!$B$5),"Yes","No")</f>
        <v>No</v>
      </c>
      <c r="S725" s="0" t="n">
        <v>0</v>
      </c>
      <c r="T725" s="0" t="str">
        <f aca="false">IF(S725&gt;0,"Yes","No")</f>
        <v>No</v>
      </c>
      <c r="U725" s="0" t="n">
        <v>0</v>
      </c>
      <c r="W725" s="0" t="str">
        <f aca="false">IF(OR(AND(M725=1,ISBLANK(V725)),AND(M725=0,NOT(ISBLANK(V725)))),"Yes","No")</f>
        <v>No</v>
      </c>
      <c r="X725" s="0" t="n">
        <v>63.1</v>
      </c>
      <c r="Y725" s="3" t="s">
        <v>30</v>
      </c>
      <c r="Z725" s="0" t="str">
        <f aca="false">IF(M725=1,P725,"")</f>
        <v/>
      </c>
    </row>
    <row r="726" customFormat="false" ht="15" hidden="false" customHeight="false" outlineLevel="0" collapsed="false">
      <c r="A726" s="0" t="s">
        <v>770</v>
      </c>
      <c r="B726" s="2" t="n">
        <v>45670</v>
      </c>
      <c r="C726" s="3" t="s">
        <v>736</v>
      </c>
      <c r="D726" s="3" t="s">
        <v>39</v>
      </c>
      <c r="E726" s="3" t="s">
        <v>35</v>
      </c>
      <c r="F726" s="3" t="s">
        <v>30</v>
      </c>
      <c r="G726" s="3" t="s">
        <v>40</v>
      </c>
      <c r="H726" s="3" t="s">
        <v>30</v>
      </c>
      <c r="I726" s="3" t="s">
        <v>32</v>
      </c>
      <c r="J726" s="0" t="n">
        <v>0</v>
      </c>
      <c r="K726" s="0" t="n">
        <v>0</v>
      </c>
      <c r="L726" s="0" t="n">
        <v>0</v>
      </c>
      <c r="M726" s="0" t="n">
        <v>0</v>
      </c>
      <c r="N726" s="0" t="str">
        <f aca="false">IF(OR(NOT(OR(J726=0,J726=1)),NOT(OR(K726=0,K726=1)),NOT(OR(L726=0,L726=1)),NOT(OR(M726=0,M726=1)),NOT(OR(U726=0,U726=1))),"Yes","No")</f>
        <v>No</v>
      </c>
      <c r="O726" s="0" t="str">
        <f aca="false">IF(OR(AND(M726=1,L726=0),AND(L726=1,K726=0),AND(K726=1,J726=0)),"Yes","No")</f>
        <v>No</v>
      </c>
      <c r="P726" s="0" t="n">
        <v>0</v>
      </c>
      <c r="Q726" s="0" t="str">
        <f aca="false">IF(OR(AND(M726=0,P726&gt;0),AND(M726=1,P726&lt;=0)),"Yes","No")</f>
        <v>No</v>
      </c>
      <c r="R726" s="0" t="str">
        <f aca="false">IF(AND(M726=1,P726&gt;calc_helpers!$B$5),"Yes","No")</f>
        <v>No</v>
      </c>
      <c r="S726" s="0" t="n">
        <v>0</v>
      </c>
      <c r="T726" s="0" t="str">
        <f aca="false">IF(S726&gt;0,"Yes","No")</f>
        <v>No</v>
      </c>
      <c r="U726" s="0" t="n">
        <v>0</v>
      </c>
      <c r="W726" s="0" t="str">
        <f aca="false">IF(OR(AND(M726=1,ISBLANK(V726)),AND(M726=0,NOT(ISBLANK(V726)))),"Yes","No")</f>
        <v>No</v>
      </c>
      <c r="X726" s="0" t="n">
        <v>72.3</v>
      </c>
      <c r="Y726" s="3" t="s">
        <v>30</v>
      </c>
      <c r="Z726" s="0" t="str">
        <f aca="false">IF(M726=1,P726,"")</f>
        <v/>
      </c>
    </row>
    <row r="727" customFormat="false" ht="15" hidden="false" customHeight="false" outlineLevel="0" collapsed="false">
      <c r="A727" s="0" t="s">
        <v>771</v>
      </c>
      <c r="B727" s="2" t="n">
        <v>45697</v>
      </c>
      <c r="C727" s="3" t="s">
        <v>736</v>
      </c>
      <c r="D727" s="3" t="s">
        <v>39</v>
      </c>
      <c r="E727" s="3" t="s">
        <v>35</v>
      </c>
      <c r="F727" s="3" t="s">
        <v>30</v>
      </c>
      <c r="G727" s="3" t="s">
        <v>52</v>
      </c>
      <c r="H727" s="3" t="s">
        <v>30</v>
      </c>
      <c r="I727" s="3" t="s">
        <v>37</v>
      </c>
      <c r="J727" s="0" t="n">
        <v>1</v>
      </c>
      <c r="K727" s="0" t="n">
        <v>1</v>
      </c>
      <c r="L727" s="0" t="n">
        <v>1</v>
      </c>
      <c r="M727" s="0" t="n">
        <v>0</v>
      </c>
      <c r="N727" s="0" t="str">
        <f aca="false">IF(OR(NOT(OR(J727=0,J727=1)),NOT(OR(K727=0,K727=1)),NOT(OR(L727=0,L727=1)),NOT(OR(M727=0,M727=1)),NOT(OR(U727=0,U727=1))),"Yes","No")</f>
        <v>No</v>
      </c>
      <c r="O727" s="0" t="str">
        <f aca="false">IF(OR(AND(M727=1,L727=0),AND(L727=1,K727=0),AND(K727=1,J727=0)),"Yes","No")</f>
        <v>No</v>
      </c>
      <c r="P727" s="0" t="n">
        <v>0</v>
      </c>
      <c r="Q727" s="0" t="str">
        <f aca="false">IF(OR(AND(M727=0,P727&gt;0),AND(M727=1,P727&lt;=0)),"Yes","No")</f>
        <v>No</v>
      </c>
      <c r="R727" s="0" t="str">
        <f aca="false">IF(AND(M727=1,P727&gt;calc_helpers!$B$5),"Yes","No")</f>
        <v>No</v>
      </c>
      <c r="S727" s="0" t="n">
        <v>0</v>
      </c>
      <c r="T727" s="0" t="str">
        <f aca="false">IF(S727&gt;0,"Yes","No")</f>
        <v>No</v>
      </c>
      <c r="U727" s="0" t="n">
        <v>0</v>
      </c>
      <c r="W727" s="0" t="str">
        <f aca="false">IF(OR(AND(M727=1,ISBLANK(V727)),AND(M727=0,NOT(ISBLANK(V727)))),"Yes","No")</f>
        <v>No</v>
      </c>
      <c r="X727" s="0" t="n">
        <v>78</v>
      </c>
      <c r="Y727" s="3" t="s">
        <v>30</v>
      </c>
      <c r="Z727" s="0" t="str">
        <f aca="false">IF(M727=1,P727,"")</f>
        <v/>
      </c>
    </row>
    <row r="728" customFormat="false" ht="15" hidden="false" customHeight="false" outlineLevel="0" collapsed="false">
      <c r="A728" s="0" t="s">
        <v>772</v>
      </c>
      <c r="B728" s="2" t="n">
        <v>45756</v>
      </c>
      <c r="C728" s="3" t="s">
        <v>736</v>
      </c>
      <c r="D728" s="3" t="s">
        <v>39</v>
      </c>
      <c r="E728" s="3" t="s">
        <v>29</v>
      </c>
      <c r="F728" s="3" t="s">
        <v>30</v>
      </c>
      <c r="G728" s="3" t="s">
        <v>52</v>
      </c>
      <c r="H728" s="3" t="s">
        <v>30</v>
      </c>
      <c r="I728" s="3" t="s">
        <v>37</v>
      </c>
      <c r="J728" s="0" t="n">
        <v>1</v>
      </c>
      <c r="K728" s="0" t="n">
        <v>1</v>
      </c>
      <c r="L728" s="0" t="n">
        <v>0</v>
      </c>
      <c r="M728" s="0" t="n">
        <v>0</v>
      </c>
      <c r="N728" s="0" t="str">
        <f aca="false">IF(OR(NOT(OR(J728=0,J728=1)),NOT(OR(K728=0,K728=1)),NOT(OR(L728=0,L728=1)),NOT(OR(M728=0,M728=1)),NOT(OR(U728=0,U728=1))),"Yes","No")</f>
        <v>No</v>
      </c>
      <c r="O728" s="0" t="str">
        <f aca="false">IF(OR(AND(M728=1,L728=0),AND(L728=1,K728=0),AND(K728=1,J728=0)),"Yes","No")</f>
        <v>No</v>
      </c>
      <c r="P728" s="0" t="n">
        <v>0</v>
      </c>
      <c r="Q728" s="0" t="str">
        <f aca="false">IF(OR(AND(M728=0,P728&gt;0),AND(M728=1,P728&lt;=0)),"Yes","No")</f>
        <v>No</v>
      </c>
      <c r="R728" s="0" t="str">
        <f aca="false">IF(AND(M728=1,P728&gt;calc_helpers!$B$5),"Yes","No")</f>
        <v>No</v>
      </c>
      <c r="S728" s="0" t="n">
        <v>2</v>
      </c>
      <c r="T728" s="0" t="str">
        <f aca="false">IF(S728&gt;0,"Yes","No")</f>
        <v>Yes</v>
      </c>
      <c r="U728" s="0" t="n">
        <v>0</v>
      </c>
      <c r="W728" s="0" t="str">
        <f aca="false">IF(OR(AND(M728=1,ISBLANK(V728)),AND(M728=0,NOT(ISBLANK(V728)))),"Yes","No")</f>
        <v>No</v>
      </c>
      <c r="X728" s="0" t="n">
        <v>59.1</v>
      </c>
      <c r="Y728" s="3" t="s">
        <v>30</v>
      </c>
      <c r="Z728" s="0" t="str">
        <f aca="false">IF(M728=1,P728,"")</f>
        <v/>
      </c>
    </row>
    <row r="729" customFormat="false" ht="15" hidden="false" customHeight="false" outlineLevel="0" collapsed="false">
      <c r="A729" s="0" t="s">
        <v>773</v>
      </c>
      <c r="B729" s="2" t="n">
        <v>45659</v>
      </c>
      <c r="C729" s="3" t="s">
        <v>736</v>
      </c>
      <c r="D729" s="3" t="s">
        <v>43</v>
      </c>
      <c r="E729" s="3" t="s">
        <v>35</v>
      </c>
      <c r="F729" s="3" t="s">
        <v>30</v>
      </c>
      <c r="G729" s="3" t="s">
        <v>40</v>
      </c>
      <c r="H729" s="3" t="s">
        <v>30</v>
      </c>
      <c r="I729" s="3" t="s">
        <v>37</v>
      </c>
      <c r="J729" s="0" t="n">
        <v>1</v>
      </c>
      <c r="K729" s="0" t="n">
        <v>1</v>
      </c>
      <c r="L729" s="0" t="n">
        <v>1</v>
      </c>
      <c r="M729" s="0" t="n">
        <v>1</v>
      </c>
      <c r="N729" s="0" t="str">
        <f aca="false">IF(OR(NOT(OR(J729=0,J729=1)),NOT(OR(K729=0,K729=1)),NOT(OR(L729=0,L729=1)),NOT(OR(M729=0,M729=1)),NOT(OR(U729=0,U729=1))),"Yes","No")</f>
        <v>No</v>
      </c>
      <c r="O729" s="0" t="str">
        <f aca="false">IF(OR(AND(M729=1,L729=0),AND(L729=1,K729=0),AND(K729=1,J729=0)),"Yes","No")</f>
        <v>No</v>
      </c>
      <c r="P729" s="0" t="n">
        <v>604.09</v>
      </c>
      <c r="Q729" s="0" t="str">
        <f aca="false">IF(OR(AND(M729=0,P729&gt;0),AND(M729=1,P729&lt;=0)),"Yes","No")</f>
        <v>No</v>
      </c>
      <c r="R729" s="0" t="str">
        <f aca="false">IF(AND(M729=1,P729&gt;calc_helpers!$B$5),"Yes","No")</f>
        <v>No</v>
      </c>
      <c r="S729" s="0" t="n">
        <v>0</v>
      </c>
      <c r="T729" s="0" t="str">
        <f aca="false">IF(S729&gt;0,"Yes","No")</f>
        <v>No</v>
      </c>
      <c r="U729" s="0" t="n">
        <v>0</v>
      </c>
      <c r="V729" s="0" t="n">
        <v>7</v>
      </c>
      <c r="W729" s="0" t="str">
        <f aca="false">IF(OR(AND(M729=1,ISBLANK(V729)),AND(M729=0,NOT(ISBLANK(V729)))),"Yes","No")</f>
        <v>No</v>
      </c>
      <c r="X729" s="0" t="n">
        <v>47.1</v>
      </c>
      <c r="Y729" s="3" t="s">
        <v>30</v>
      </c>
      <c r="Z729" s="3" t="n">
        <f aca="false">IF(M729=1,P729,"")</f>
        <v>604.09</v>
      </c>
    </row>
    <row r="730" customFormat="false" ht="15" hidden="false" customHeight="false" outlineLevel="0" collapsed="false">
      <c r="A730" s="0" t="s">
        <v>774</v>
      </c>
      <c r="B730" s="2" t="n">
        <v>45692</v>
      </c>
      <c r="C730" s="3" t="s">
        <v>736</v>
      </c>
      <c r="D730" s="3" t="s">
        <v>43</v>
      </c>
      <c r="E730" s="3" t="s">
        <v>35</v>
      </c>
      <c r="F730" s="3" t="s">
        <v>30</v>
      </c>
      <c r="G730" s="3" t="s">
        <v>167</v>
      </c>
      <c r="H730" s="3" t="s">
        <v>168</v>
      </c>
      <c r="I730" s="3" t="s">
        <v>41</v>
      </c>
      <c r="J730" s="0" t="n">
        <v>1</v>
      </c>
      <c r="K730" s="0" t="n">
        <v>0</v>
      </c>
      <c r="L730" s="0" t="n">
        <v>0</v>
      </c>
      <c r="M730" s="0" t="n">
        <v>0</v>
      </c>
      <c r="N730" s="0" t="str">
        <f aca="false">IF(OR(NOT(OR(J730=0,J730=1)),NOT(OR(K730=0,K730=1)),NOT(OR(L730=0,L730=1)),NOT(OR(M730=0,M730=1)),NOT(OR(U730=0,U730=1))),"Yes","No")</f>
        <v>No</v>
      </c>
      <c r="O730" s="0" t="str">
        <f aca="false">IF(OR(AND(M730=1,L730=0),AND(L730=1,K730=0),AND(K730=1,J730=0)),"Yes","No")</f>
        <v>No</v>
      </c>
      <c r="P730" s="0" t="n">
        <v>0</v>
      </c>
      <c r="Q730" s="0" t="str">
        <f aca="false">IF(OR(AND(M730=0,P730&gt;0),AND(M730=1,P730&lt;=0)),"Yes","No")</f>
        <v>No</v>
      </c>
      <c r="R730" s="0" t="str">
        <f aca="false">IF(AND(M730=1,P730&gt;calc_helpers!$B$5),"Yes","No")</f>
        <v>No</v>
      </c>
      <c r="S730" s="0" t="n">
        <v>0</v>
      </c>
      <c r="T730" s="0" t="str">
        <f aca="false">IF(S730&gt;0,"Yes","No")</f>
        <v>No</v>
      </c>
      <c r="U730" s="0" t="n">
        <v>0</v>
      </c>
      <c r="W730" s="0" t="str">
        <f aca="false">IF(OR(AND(M730=1,ISBLANK(V730)),AND(M730=0,NOT(ISBLANK(V730)))),"Yes","No")</f>
        <v>No</v>
      </c>
      <c r="X730" s="0" t="n">
        <v>64.9</v>
      </c>
      <c r="Y730" s="3" t="s">
        <v>30</v>
      </c>
      <c r="Z730" s="0" t="str">
        <f aca="false">IF(M730=1,P730,"")</f>
        <v/>
      </c>
    </row>
    <row r="731" customFormat="false" ht="15" hidden="false" customHeight="false" outlineLevel="0" collapsed="false">
      <c r="A731" s="0" t="s">
        <v>775</v>
      </c>
      <c r="B731" s="2" t="n">
        <v>45707</v>
      </c>
      <c r="C731" s="3" t="s">
        <v>736</v>
      </c>
      <c r="D731" s="3" t="s">
        <v>43</v>
      </c>
      <c r="E731" s="3" t="s">
        <v>45</v>
      </c>
      <c r="F731" s="3" t="s">
        <v>30</v>
      </c>
      <c r="G731" s="3" t="s">
        <v>40</v>
      </c>
      <c r="H731" s="3" t="s">
        <v>30</v>
      </c>
      <c r="I731" s="3" t="s">
        <v>37</v>
      </c>
      <c r="J731" s="0" t="n">
        <v>0</v>
      </c>
      <c r="K731" s="0" t="n">
        <v>0</v>
      </c>
      <c r="L731" s="0" t="n">
        <v>0</v>
      </c>
      <c r="M731" s="0" t="n">
        <v>0</v>
      </c>
      <c r="N731" s="0" t="str">
        <f aca="false">IF(OR(NOT(OR(J731=0,J731=1)),NOT(OR(K731=0,K731=1)),NOT(OR(L731=0,L731=1)),NOT(OR(M731=0,M731=1)),NOT(OR(U731=0,U731=1))),"Yes","No")</f>
        <v>No</v>
      </c>
      <c r="O731" s="0" t="str">
        <f aca="false">IF(OR(AND(M731=1,L731=0),AND(L731=1,K731=0),AND(K731=1,J731=0)),"Yes","No")</f>
        <v>No</v>
      </c>
      <c r="P731" s="0" t="n">
        <v>0</v>
      </c>
      <c r="Q731" s="0" t="str">
        <f aca="false">IF(OR(AND(M731=0,P731&gt;0),AND(M731=1,P731&lt;=0)),"Yes","No")</f>
        <v>No</v>
      </c>
      <c r="R731" s="0" t="str">
        <f aca="false">IF(AND(M731=1,P731&gt;calc_helpers!$B$5),"Yes","No")</f>
        <v>No</v>
      </c>
      <c r="S731" s="0" t="n">
        <v>0</v>
      </c>
      <c r="T731" s="0" t="str">
        <f aca="false">IF(S731&gt;0,"Yes","No")</f>
        <v>No</v>
      </c>
      <c r="U731" s="0" t="n">
        <v>0</v>
      </c>
      <c r="W731" s="0" t="str">
        <f aca="false">IF(OR(AND(M731=1,ISBLANK(V731)),AND(M731=0,NOT(ISBLANK(V731)))),"Yes","No")</f>
        <v>No</v>
      </c>
      <c r="X731" s="0" t="n">
        <v>67.3</v>
      </c>
      <c r="Y731" s="3" t="s">
        <v>30</v>
      </c>
      <c r="Z731" s="0" t="str">
        <f aca="false">IF(M731=1,P731,"")</f>
        <v/>
      </c>
    </row>
    <row r="732" customFormat="false" ht="15" hidden="false" customHeight="false" outlineLevel="0" collapsed="false">
      <c r="A732" s="0" t="s">
        <v>776</v>
      </c>
      <c r="B732" s="2" t="n">
        <v>45748</v>
      </c>
      <c r="C732" s="3" t="s">
        <v>736</v>
      </c>
      <c r="D732" s="3" t="s">
        <v>39</v>
      </c>
      <c r="E732" s="3" t="s">
        <v>35</v>
      </c>
      <c r="F732" s="3" t="s">
        <v>30</v>
      </c>
      <c r="G732" s="3" t="s">
        <v>40</v>
      </c>
      <c r="H732" s="3" t="s">
        <v>30</v>
      </c>
      <c r="I732" s="3" t="s">
        <v>32</v>
      </c>
      <c r="J732" s="0" t="n">
        <v>1</v>
      </c>
      <c r="K732" s="0" t="n">
        <v>0</v>
      </c>
      <c r="L732" s="0" t="n">
        <v>0</v>
      </c>
      <c r="M732" s="0" t="n">
        <v>0</v>
      </c>
      <c r="N732" s="0" t="str">
        <f aca="false">IF(OR(NOT(OR(J732=0,J732=1)),NOT(OR(K732=0,K732=1)),NOT(OR(L732=0,L732=1)),NOT(OR(M732=0,M732=1)),NOT(OR(U732=0,U732=1))),"Yes","No")</f>
        <v>No</v>
      </c>
      <c r="O732" s="0" t="str">
        <f aca="false">IF(OR(AND(M732=1,L732=0),AND(L732=1,K732=0),AND(K732=1,J732=0)),"Yes","No")</f>
        <v>No</v>
      </c>
      <c r="P732" s="0" t="n">
        <v>0</v>
      </c>
      <c r="Q732" s="0" t="str">
        <f aca="false">IF(OR(AND(M732=0,P732&gt;0),AND(M732=1,P732&lt;=0)),"Yes","No")</f>
        <v>No</v>
      </c>
      <c r="R732" s="0" t="str">
        <f aca="false">IF(AND(M732=1,P732&gt;calc_helpers!$B$5),"Yes","No")</f>
        <v>No</v>
      </c>
      <c r="S732" s="0" t="n">
        <v>2</v>
      </c>
      <c r="T732" s="0" t="str">
        <f aca="false">IF(S732&gt;0,"Yes","No")</f>
        <v>Yes</v>
      </c>
      <c r="U732" s="0" t="n">
        <v>0</v>
      </c>
      <c r="W732" s="0" t="str">
        <f aca="false">IF(OR(AND(M732=1,ISBLANK(V732)),AND(M732=0,NOT(ISBLANK(V732)))),"Yes","No")</f>
        <v>No</v>
      </c>
      <c r="X732" s="0" t="n">
        <v>52.9</v>
      </c>
      <c r="Y732" s="3" t="s">
        <v>30</v>
      </c>
      <c r="Z732" s="0" t="str">
        <f aca="false">IF(M732=1,P732,"")</f>
        <v/>
      </c>
    </row>
    <row r="733" customFormat="false" ht="15" hidden="false" customHeight="false" outlineLevel="0" collapsed="false">
      <c r="A733" s="0" t="s">
        <v>777</v>
      </c>
      <c r="B733" s="2" t="n">
        <v>45686</v>
      </c>
      <c r="C733" s="3" t="s">
        <v>736</v>
      </c>
      <c r="D733" s="3" t="s">
        <v>28</v>
      </c>
      <c r="E733" s="3" t="s">
        <v>35</v>
      </c>
      <c r="F733" s="3" t="s">
        <v>30</v>
      </c>
      <c r="G733" s="3" t="s">
        <v>50</v>
      </c>
      <c r="H733" s="3" t="s">
        <v>30</v>
      </c>
      <c r="I733" s="3" t="s">
        <v>37</v>
      </c>
      <c r="J733" s="0" t="n">
        <v>1</v>
      </c>
      <c r="K733" s="0" t="n">
        <v>1</v>
      </c>
      <c r="L733" s="0" t="n">
        <v>1</v>
      </c>
      <c r="M733" s="0" t="n">
        <v>1</v>
      </c>
      <c r="N733" s="0" t="str">
        <f aca="false">IF(OR(NOT(OR(J733=0,J733=1)),NOT(OR(K733=0,K733=1)),NOT(OR(L733=0,L733=1)),NOT(OR(M733=0,M733=1)),NOT(OR(U733=0,U733=1))),"Yes","No")</f>
        <v>No</v>
      </c>
      <c r="O733" s="0" t="str">
        <f aca="false">IF(OR(AND(M733=1,L733=0),AND(L733=1,K733=0),AND(K733=1,J733=0)),"Yes","No")</f>
        <v>No</v>
      </c>
      <c r="P733" s="0" t="n">
        <v>442.37</v>
      </c>
      <c r="Q733" s="0" t="str">
        <f aca="false">IF(OR(AND(M733=0,P733&gt;0),AND(M733=1,P733&lt;=0)),"Yes","No")</f>
        <v>No</v>
      </c>
      <c r="R733" s="0" t="str">
        <f aca="false">IF(AND(M733=1,P733&gt;calc_helpers!$B$5),"Yes","No")</f>
        <v>No</v>
      </c>
      <c r="S733" s="0" t="n">
        <v>1</v>
      </c>
      <c r="T733" s="0" t="str">
        <f aca="false">IF(S733&gt;0,"Yes","No")</f>
        <v>Yes</v>
      </c>
      <c r="U733" s="0" t="n">
        <v>0</v>
      </c>
      <c r="V733" s="0" t="n">
        <v>4</v>
      </c>
      <c r="W733" s="0" t="str">
        <f aca="false">IF(OR(AND(M733=1,ISBLANK(V733)),AND(M733=0,NOT(ISBLANK(V733)))),"Yes","No")</f>
        <v>No</v>
      </c>
      <c r="X733" s="0" t="n">
        <v>69.9</v>
      </c>
      <c r="Y733" s="3" t="s">
        <v>30</v>
      </c>
      <c r="Z733" s="3" t="n">
        <f aca="false">IF(M733=1,P733,"")</f>
        <v>442.37</v>
      </c>
    </row>
    <row r="734" customFormat="false" ht="15" hidden="false" customHeight="false" outlineLevel="0" collapsed="false">
      <c r="A734" s="0" t="s">
        <v>778</v>
      </c>
      <c r="B734" s="2" t="n">
        <v>45795</v>
      </c>
      <c r="C734" s="3" t="s">
        <v>736</v>
      </c>
      <c r="D734" s="3" t="s">
        <v>28</v>
      </c>
      <c r="E734" s="3" t="s">
        <v>35</v>
      </c>
      <c r="F734" s="3" t="s">
        <v>30</v>
      </c>
      <c r="G734" s="3" t="s">
        <v>50</v>
      </c>
      <c r="H734" s="3" t="s">
        <v>30</v>
      </c>
      <c r="I734" s="3" t="s">
        <v>32</v>
      </c>
      <c r="J734" s="0" t="n">
        <v>1</v>
      </c>
      <c r="K734" s="0" t="n">
        <v>1</v>
      </c>
      <c r="L734" s="0" t="n">
        <v>1</v>
      </c>
      <c r="M734" s="0" t="n">
        <v>0</v>
      </c>
      <c r="N734" s="0" t="str">
        <f aca="false">IF(OR(NOT(OR(J734=0,J734=1)),NOT(OR(K734=0,K734=1)),NOT(OR(L734=0,L734=1)),NOT(OR(M734=0,M734=1)),NOT(OR(U734=0,U734=1))),"Yes","No")</f>
        <v>No</v>
      </c>
      <c r="O734" s="0" t="str">
        <f aca="false">IF(OR(AND(M734=1,L734=0),AND(L734=1,K734=0),AND(K734=1,J734=0)),"Yes","No")</f>
        <v>No</v>
      </c>
      <c r="P734" s="0" t="n">
        <v>0</v>
      </c>
      <c r="Q734" s="0" t="str">
        <f aca="false">IF(OR(AND(M734=0,P734&gt;0),AND(M734=1,P734&lt;=0)),"Yes","No")</f>
        <v>No</v>
      </c>
      <c r="R734" s="0" t="str">
        <f aca="false">IF(AND(M734=1,P734&gt;calc_helpers!$B$5),"Yes","No")</f>
        <v>No</v>
      </c>
      <c r="S734" s="0" t="n">
        <v>0</v>
      </c>
      <c r="T734" s="0" t="str">
        <f aca="false">IF(S734&gt;0,"Yes","No")</f>
        <v>No</v>
      </c>
      <c r="U734" s="0" t="n">
        <v>0</v>
      </c>
      <c r="W734" s="0" t="str">
        <f aca="false">IF(OR(AND(M734=1,ISBLANK(V734)),AND(M734=0,NOT(ISBLANK(V734)))),"Yes","No")</f>
        <v>No</v>
      </c>
      <c r="X734" s="0" t="n">
        <v>78.9</v>
      </c>
      <c r="Y734" s="3" t="s">
        <v>30</v>
      </c>
      <c r="Z734" s="0" t="str">
        <f aca="false">IF(M734=1,P734,"")</f>
        <v/>
      </c>
    </row>
    <row r="735" customFormat="false" ht="15" hidden="false" customHeight="false" outlineLevel="0" collapsed="false">
      <c r="A735" s="0" t="s">
        <v>779</v>
      </c>
      <c r="B735" s="2" t="n">
        <v>45762</v>
      </c>
      <c r="C735" s="3" t="s">
        <v>736</v>
      </c>
      <c r="D735" s="3" t="s">
        <v>39</v>
      </c>
      <c r="E735" s="3" t="s">
        <v>29</v>
      </c>
      <c r="F735" s="3" t="s">
        <v>30</v>
      </c>
      <c r="G735" s="3" t="s">
        <v>52</v>
      </c>
      <c r="H735" s="3" t="s">
        <v>30</v>
      </c>
      <c r="I735" s="3" t="s">
        <v>41</v>
      </c>
      <c r="J735" s="0" t="n">
        <v>1</v>
      </c>
      <c r="K735" s="0" t="n">
        <v>1</v>
      </c>
      <c r="L735" s="0" t="n">
        <v>0</v>
      </c>
      <c r="M735" s="0" t="n">
        <v>0</v>
      </c>
      <c r="N735" s="0" t="str">
        <f aca="false">IF(OR(NOT(OR(J735=0,J735=1)),NOT(OR(K735=0,K735=1)),NOT(OR(L735=0,L735=1)),NOT(OR(M735=0,M735=1)),NOT(OR(U735=0,U735=1))),"Yes","No")</f>
        <v>No</v>
      </c>
      <c r="O735" s="0" t="str">
        <f aca="false">IF(OR(AND(M735=1,L735=0),AND(L735=1,K735=0),AND(K735=1,J735=0)),"Yes","No")</f>
        <v>No</v>
      </c>
      <c r="P735" s="0" t="n">
        <v>0</v>
      </c>
      <c r="Q735" s="0" t="str">
        <f aca="false">IF(OR(AND(M735=0,P735&gt;0),AND(M735=1,P735&lt;=0)),"Yes","No")</f>
        <v>No</v>
      </c>
      <c r="R735" s="0" t="str">
        <f aca="false">IF(AND(M735=1,P735&gt;calc_helpers!$B$5),"Yes","No")</f>
        <v>No</v>
      </c>
      <c r="S735" s="0" t="n">
        <v>0</v>
      </c>
      <c r="T735" s="0" t="str">
        <f aca="false">IF(S735&gt;0,"Yes","No")</f>
        <v>No</v>
      </c>
      <c r="U735" s="0" t="n">
        <v>0</v>
      </c>
      <c r="W735" s="0" t="str">
        <f aca="false">IF(OR(AND(M735=1,ISBLANK(V735)),AND(M735=0,NOT(ISBLANK(V735)))),"Yes","No")</f>
        <v>No</v>
      </c>
      <c r="X735" s="0" t="n">
        <v>83.3</v>
      </c>
      <c r="Y735" s="3" t="s">
        <v>30</v>
      </c>
      <c r="Z735" s="0" t="str">
        <f aca="false">IF(M735=1,P735,"")</f>
        <v/>
      </c>
    </row>
    <row r="736" customFormat="false" ht="15" hidden="false" customHeight="false" outlineLevel="0" collapsed="false">
      <c r="A736" s="0" t="s">
        <v>780</v>
      </c>
      <c r="B736" s="2" t="n">
        <v>45744</v>
      </c>
      <c r="C736" s="3" t="s">
        <v>736</v>
      </c>
      <c r="D736" s="3" t="s">
        <v>39</v>
      </c>
      <c r="E736" s="3" t="s">
        <v>29</v>
      </c>
      <c r="F736" s="3" t="s">
        <v>30</v>
      </c>
      <c r="G736" s="3" t="s">
        <v>31</v>
      </c>
      <c r="H736" s="3" t="s">
        <v>30</v>
      </c>
      <c r="I736" s="3" t="s">
        <v>37</v>
      </c>
      <c r="J736" s="0" t="n">
        <v>1</v>
      </c>
      <c r="K736" s="0" t="n">
        <v>0</v>
      </c>
      <c r="L736" s="0" t="n">
        <v>0</v>
      </c>
      <c r="M736" s="0" t="n">
        <v>0</v>
      </c>
      <c r="N736" s="0" t="str">
        <f aca="false">IF(OR(NOT(OR(J736=0,J736=1)),NOT(OR(K736=0,K736=1)),NOT(OR(L736=0,L736=1)),NOT(OR(M736=0,M736=1)),NOT(OR(U736=0,U736=1))),"Yes","No")</f>
        <v>No</v>
      </c>
      <c r="O736" s="0" t="str">
        <f aca="false">IF(OR(AND(M736=1,L736=0),AND(L736=1,K736=0),AND(K736=1,J736=0)),"Yes","No")</f>
        <v>No</v>
      </c>
      <c r="P736" s="0" t="n">
        <v>0</v>
      </c>
      <c r="Q736" s="0" t="str">
        <f aca="false">IF(OR(AND(M736=0,P736&gt;0),AND(M736=1,P736&lt;=0)),"Yes","No")</f>
        <v>No</v>
      </c>
      <c r="R736" s="0" t="str">
        <f aca="false">IF(AND(M736=1,P736&gt;calc_helpers!$B$5),"Yes","No")</f>
        <v>No</v>
      </c>
      <c r="S736" s="0" t="n">
        <v>1</v>
      </c>
      <c r="T736" s="0" t="str">
        <f aca="false">IF(S736&gt;0,"Yes","No")</f>
        <v>Yes</v>
      </c>
      <c r="U736" s="0" t="n">
        <v>0</v>
      </c>
      <c r="W736" s="0" t="str">
        <f aca="false">IF(OR(AND(M736=1,ISBLANK(V736)),AND(M736=0,NOT(ISBLANK(V736)))),"Yes","No")</f>
        <v>No</v>
      </c>
      <c r="X736" s="0" t="n">
        <v>24.5</v>
      </c>
      <c r="Y736" s="3" t="s">
        <v>30</v>
      </c>
      <c r="Z736" s="0" t="str">
        <f aca="false">IF(M736=1,P736,"")</f>
        <v/>
      </c>
    </row>
    <row r="737" customFormat="false" ht="15" hidden="false" customHeight="false" outlineLevel="0" collapsed="false">
      <c r="A737" s="0" t="s">
        <v>781</v>
      </c>
      <c r="B737" s="2" t="n">
        <v>45748</v>
      </c>
      <c r="C737" s="3" t="s">
        <v>736</v>
      </c>
      <c r="D737" s="3" t="s">
        <v>34</v>
      </c>
      <c r="E737" s="3" t="s">
        <v>35</v>
      </c>
      <c r="F737" s="3" t="s">
        <v>30</v>
      </c>
      <c r="G737" s="3" t="s">
        <v>40</v>
      </c>
      <c r="H737" s="3" t="s">
        <v>30</v>
      </c>
      <c r="I737" s="3" t="s">
        <v>32</v>
      </c>
      <c r="J737" s="0" t="n">
        <v>1</v>
      </c>
      <c r="K737" s="0" t="n">
        <v>1</v>
      </c>
      <c r="L737" s="0" t="n">
        <v>0</v>
      </c>
      <c r="M737" s="0" t="n">
        <v>0</v>
      </c>
      <c r="N737" s="0" t="str">
        <f aca="false">IF(OR(NOT(OR(J737=0,J737=1)),NOT(OR(K737=0,K737=1)),NOT(OR(L737=0,L737=1)),NOT(OR(M737=0,M737=1)),NOT(OR(U737=0,U737=1))),"Yes","No")</f>
        <v>No</v>
      </c>
      <c r="O737" s="0" t="str">
        <f aca="false">IF(OR(AND(M737=1,L737=0),AND(L737=1,K737=0),AND(K737=1,J737=0)),"Yes","No")</f>
        <v>No</v>
      </c>
      <c r="P737" s="0" t="n">
        <v>0</v>
      </c>
      <c r="Q737" s="0" t="str">
        <f aca="false">IF(OR(AND(M737=0,P737&gt;0),AND(M737=1,P737&lt;=0)),"Yes","No")</f>
        <v>No</v>
      </c>
      <c r="R737" s="0" t="str">
        <f aca="false">IF(AND(M737=1,P737&gt;calc_helpers!$B$5),"Yes","No")</f>
        <v>No</v>
      </c>
      <c r="S737" s="0" t="n">
        <v>1</v>
      </c>
      <c r="T737" s="0" t="str">
        <f aca="false">IF(S737&gt;0,"Yes","No")</f>
        <v>Yes</v>
      </c>
      <c r="U737" s="0" t="n">
        <v>0</v>
      </c>
      <c r="W737" s="0" t="str">
        <f aca="false">IF(OR(AND(M737=1,ISBLANK(V737)),AND(M737=0,NOT(ISBLANK(V737)))),"Yes","No")</f>
        <v>No</v>
      </c>
      <c r="X737" s="0" t="n">
        <v>56.9</v>
      </c>
      <c r="Y737" s="3" t="s">
        <v>30</v>
      </c>
      <c r="Z737" s="0" t="str">
        <f aca="false">IF(M737=1,P737,"")</f>
        <v/>
      </c>
    </row>
    <row r="738" customFormat="false" ht="15" hidden="false" customHeight="false" outlineLevel="0" collapsed="false">
      <c r="A738" s="0" t="s">
        <v>782</v>
      </c>
      <c r="B738" s="2" t="n">
        <v>45699</v>
      </c>
      <c r="C738" s="3" t="s">
        <v>736</v>
      </c>
      <c r="D738" s="3" t="s">
        <v>34</v>
      </c>
      <c r="E738" s="3" t="s">
        <v>35</v>
      </c>
      <c r="F738" s="3" t="s">
        <v>30</v>
      </c>
      <c r="G738" s="3" t="s">
        <v>52</v>
      </c>
      <c r="H738" s="3" t="s">
        <v>30</v>
      </c>
      <c r="I738" s="3" t="s">
        <v>32</v>
      </c>
      <c r="J738" s="0" t="n">
        <v>1</v>
      </c>
      <c r="K738" s="0" t="n">
        <v>0</v>
      </c>
      <c r="L738" s="0" t="n">
        <v>0</v>
      </c>
      <c r="M738" s="0" t="n">
        <v>0</v>
      </c>
      <c r="N738" s="0" t="str">
        <f aca="false">IF(OR(NOT(OR(J738=0,J738=1)),NOT(OR(K738=0,K738=1)),NOT(OR(L738=0,L738=1)),NOT(OR(M738=0,M738=1)),NOT(OR(U738=0,U738=1))),"Yes","No")</f>
        <v>No</v>
      </c>
      <c r="O738" s="0" t="str">
        <f aca="false">IF(OR(AND(M738=1,L738=0),AND(L738=1,K738=0),AND(K738=1,J738=0)),"Yes","No")</f>
        <v>No</v>
      </c>
      <c r="P738" s="0" t="n">
        <v>0</v>
      </c>
      <c r="Q738" s="0" t="str">
        <f aca="false">IF(OR(AND(M738=0,P738&gt;0),AND(M738=1,P738&lt;=0)),"Yes","No")</f>
        <v>No</v>
      </c>
      <c r="R738" s="0" t="str">
        <f aca="false">IF(AND(M738=1,P738&gt;calc_helpers!$B$5),"Yes","No")</f>
        <v>No</v>
      </c>
      <c r="S738" s="0" t="n">
        <v>0</v>
      </c>
      <c r="T738" s="0" t="str">
        <f aca="false">IF(S738&gt;0,"Yes","No")</f>
        <v>No</v>
      </c>
      <c r="U738" s="0" t="n">
        <v>0</v>
      </c>
      <c r="W738" s="0" t="str">
        <f aca="false">IF(OR(AND(M738=1,ISBLANK(V738)),AND(M738=0,NOT(ISBLANK(V738)))),"Yes","No")</f>
        <v>No</v>
      </c>
      <c r="X738" s="0" t="n">
        <v>69.9</v>
      </c>
      <c r="Y738" s="3" t="s">
        <v>30</v>
      </c>
      <c r="Z738" s="0" t="str">
        <f aca="false">IF(M738=1,P738,"")</f>
        <v/>
      </c>
    </row>
    <row r="739" customFormat="false" ht="15" hidden="false" customHeight="false" outlineLevel="0" collapsed="false">
      <c r="A739" s="0" t="s">
        <v>783</v>
      </c>
      <c r="B739" s="2" t="n">
        <v>45720</v>
      </c>
      <c r="C739" s="3" t="s">
        <v>736</v>
      </c>
      <c r="D739" s="3" t="s">
        <v>43</v>
      </c>
      <c r="E739" s="3" t="s">
        <v>35</v>
      </c>
      <c r="F739" s="3" t="s">
        <v>30</v>
      </c>
      <c r="G739" s="3" t="s">
        <v>36</v>
      </c>
      <c r="H739" s="3" t="s">
        <v>30</v>
      </c>
      <c r="I739" s="3" t="s">
        <v>37</v>
      </c>
      <c r="J739" s="0" t="n">
        <v>1</v>
      </c>
      <c r="K739" s="0" t="n">
        <v>1</v>
      </c>
      <c r="L739" s="0" t="n">
        <v>1</v>
      </c>
      <c r="M739" s="0" t="n">
        <v>0</v>
      </c>
      <c r="N739" s="0" t="str">
        <f aca="false">IF(OR(NOT(OR(J739=0,J739=1)),NOT(OR(K739=0,K739=1)),NOT(OR(L739=0,L739=1)),NOT(OR(M739=0,M739=1)),NOT(OR(U739=0,U739=1))),"Yes","No")</f>
        <v>No</v>
      </c>
      <c r="O739" s="0" t="str">
        <f aca="false">IF(OR(AND(M739=1,L739=0),AND(L739=1,K739=0),AND(K739=1,J739=0)),"Yes","No")</f>
        <v>No</v>
      </c>
      <c r="P739" s="0" t="n">
        <v>0</v>
      </c>
      <c r="Q739" s="0" t="str">
        <f aca="false">IF(OR(AND(M739=0,P739&gt;0),AND(M739=1,P739&lt;=0)),"Yes","No")</f>
        <v>No</v>
      </c>
      <c r="R739" s="0" t="str">
        <f aca="false">IF(AND(M739=1,P739&gt;calc_helpers!$B$5),"Yes","No")</f>
        <v>No</v>
      </c>
      <c r="S739" s="0" t="n">
        <v>0</v>
      </c>
      <c r="T739" s="0" t="str">
        <f aca="false">IF(S739&gt;0,"Yes","No")</f>
        <v>No</v>
      </c>
      <c r="U739" s="0" t="n">
        <v>0</v>
      </c>
      <c r="W739" s="0" t="str">
        <f aca="false">IF(OR(AND(M739=1,ISBLANK(V739)),AND(M739=0,NOT(ISBLANK(V739)))),"Yes","No")</f>
        <v>No</v>
      </c>
      <c r="X739" s="0" t="n">
        <v>81.5</v>
      </c>
      <c r="Y739" s="3" t="s">
        <v>30</v>
      </c>
      <c r="Z739" s="0" t="str">
        <f aca="false">IF(M739=1,P739,"")</f>
        <v/>
      </c>
    </row>
    <row r="740" customFormat="false" ht="15" hidden="false" customHeight="false" outlineLevel="0" collapsed="false">
      <c r="A740" s="0" t="s">
        <v>784</v>
      </c>
      <c r="B740" s="2" t="n">
        <v>45678</v>
      </c>
      <c r="C740" s="3" t="s">
        <v>736</v>
      </c>
      <c r="D740" s="3" t="s">
        <v>28</v>
      </c>
      <c r="E740" s="3" t="s">
        <v>45</v>
      </c>
      <c r="F740" s="3" t="s">
        <v>30</v>
      </c>
      <c r="G740" s="3" t="s">
        <v>52</v>
      </c>
      <c r="H740" s="3" t="s">
        <v>30</v>
      </c>
      <c r="I740" s="3" t="s">
        <v>32</v>
      </c>
      <c r="J740" s="0" t="n">
        <v>0</v>
      </c>
      <c r="K740" s="0" t="n">
        <v>0</v>
      </c>
      <c r="L740" s="0" t="n">
        <v>0</v>
      </c>
      <c r="M740" s="0" t="n">
        <v>0</v>
      </c>
      <c r="N740" s="0" t="str">
        <f aca="false">IF(OR(NOT(OR(J740=0,J740=1)),NOT(OR(K740=0,K740=1)),NOT(OR(L740=0,L740=1)),NOT(OR(M740=0,M740=1)),NOT(OR(U740=0,U740=1))),"Yes","No")</f>
        <v>No</v>
      </c>
      <c r="O740" s="0" t="str">
        <f aca="false">IF(OR(AND(M740=1,L740=0),AND(L740=1,K740=0),AND(K740=1,J740=0)),"Yes","No")</f>
        <v>No</v>
      </c>
      <c r="P740" s="0" t="n">
        <v>0</v>
      </c>
      <c r="Q740" s="0" t="str">
        <f aca="false">IF(OR(AND(M740=0,P740&gt;0),AND(M740=1,P740&lt;=0)),"Yes","No")</f>
        <v>No</v>
      </c>
      <c r="R740" s="0" t="str">
        <f aca="false">IF(AND(M740=1,P740&gt;calc_helpers!$B$5),"Yes","No")</f>
        <v>No</v>
      </c>
      <c r="S740" s="0" t="n">
        <v>2</v>
      </c>
      <c r="T740" s="0" t="str">
        <f aca="false">IF(S740&gt;0,"Yes","No")</f>
        <v>Yes</v>
      </c>
      <c r="U740" s="0" t="n">
        <v>0</v>
      </c>
      <c r="W740" s="0" t="str">
        <f aca="false">IF(OR(AND(M740=1,ISBLANK(V740)),AND(M740=0,NOT(ISBLANK(V740)))),"Yes","No")</f>
        <v>No</v>
      </c>
      <c r="X740" s="0" t="n">
        <v>37.9</v>
      </c>
      <c r="Y740" s="3" t="s">
        <v>30</v>
      </c>
      <c r="Z740" s="0" t="str">
        <f aca="false">IF(M740=1,P740,"")</f>
        <v/>
      </c>
    </row>
    <row r="741" customFormat="false" ht="15" hidden="false" customHeight="false" outlineLevel="0" collapsed="false">
      <c r="A741" s="0" t="s">
        <v>785</v>
      </c>
      <c r="B741" s="2" t="n">
        <v>45702</v>
      </c>
      <c r="C741" s="3" t="s">
        <v>736</v>
      </c>
      <c r="D741" s="3" t="s">
        <v>28</v>
      </c>
      <c r="E741" s="3" t="s">
        <v>35</v>
      </c>
      <c r="F741" s="3" t="s">
        <v>30</v>
      </c>
      <c r="G741" s="3" t="s">
        <v>50</v>
      </c>
      <c r="H741" s="3" t="s">
        <v>30</v>
      </c>
      <c r="I741" s="3" t="s">
        <v>37</v>
      </c>
      <c r="J741" s="0" t="n">
        <v>0</v>
      </c>
      <c r="K741" s="0" t="n">
        <v>0</v>
      </c>
      <c r="L741" s="0" t="n">
        <v>0</v>
      </c>
      <c r="M741" s="0" t="n">
        <v>0</v>
      </c>
      <c r="N741" s="0" t="str">
        <f aca="false">IF(OR(NOT(OR(J741=0,J741=1)),NOT(OR(K741=0,K741=1)),NOT(OR(L741=0,L741=1)),NOT(OR(M741=0,M741=1)),NOT(OR(U741=0,U741=1))),"Yes","No")</f>
        <v>No</v>
      </c>
      <c r="O741" s="0" t="str">
        <f aca="false">IF(OR(AND(M741=1,L741=0),AND(L741=1,K741=0),AND(K741=1,J741=0)),"Yes","No")</f>
        <v>No</v>
      </c>
      <c r="P741" s="0" t="n">
        <v>0</v>
      </c>
      <c r="Q741" s="0" t="str">
        <f aca="false">IF(OR(AND(M741=0,P741&gt;0),AND(M741=1,P741&lt;=0)),"Yes","No")</f>
        <v>No</v>
      </c>
      <c r="R741" s="0" t="str">
        <f aca="false">IF(AND(M741=1,P741&gt;calc_helpers!$B$5),"Yes","No")</f>
        <v>No</v>
      </c>
      <c r="S741" s="0" t="n">
        <v>1</v>
      </c>
      <c r="T741" s="0" t="str">
        <f aca="false">IF(S741&gt;0,"Yes","No")</f>
        <v>Yes</v>
      </c>
      <c r="U741" s="0" t="n">
        <v>0</v>
      </c>
      <c r="W741" s="0" t="str">
        <f aca="false">IF(OR(AND(M741=1,ISBLANK(V741)),AND(M741=0,NOT(ISBLANK(V741)))),"Yes","No")</f>
        <v>No</v>
      </c>
      <c r="X741" s="0" t="n">
        <v>61.7</v>
      </c>
      <c r="Y741" s="3" t="s">
        <v>30</v>
      </c>
      <c r="Z741" s="0" t="str">
        <f aca="false">IF(M741=1,P741,"")</f>
        <v/>
      </c>
    </row>
    <row r="742" customFormat="false" ht="15" hidden="false" customHeight="false" outlineLevel="0" collapsed="false">
      <c r="A742" s="0" t="s">
        <v>786</v>
      </c>
      <c r="B742" s="2" t="n">
        <v>45746</v>
      </c>
      <c r="C742" s="3" t="s">
        <v>736</v>
      </c>
      <c r="D742" s="3" t="s">
        <v>28</v>
      </c>
      <c r="E742" s="3" t="s">
        <v>29</v>
      </c>
      <c r="F742" s="3" t="s">
        <v>30</v>
      </c>
      <c r="G742" s="3" t="s">
        <v>167</v>
      </c>
      <c r="H742" s="3" t="s">
        <v>168</v>
      </c>
      <c r="I742" s="3" t="s">
        <v>41</v>
      </c>
      <c r="J742" s="0" t="n">
        <v>1</v>
      </c>
      <c r="K742" s="0" t="n">
        <v>0</v>
      </c>
      <c r="L742" s="0" t="n">
        <v>0</v>
      </c>
      <c r="M742" s="0" t="n">
        <v>0</v>
      </c>
      <c r="N742" s="0" t="str">
        <f aca="false">IF(OR(NOT(OR(J742=0,J742=1)),NOT(OR(K742=0,K742=1)),NOT(OR(L742=0,L742=1)),NOT(OR(M742=0,M742=1)),NOT(OR(U742=0,U742=1))),"Yes","No")</f>
        <v>No</v>
      </c>
      <c r="O742" s="0" t="str">
        <f aca="false">IF(OR(AND(M742=1,L742=0),AND(L742=1,K742=0),AND(K742=1,J742=0)),"Yes","No")</f>
        <v>No</v>
      </c>
      <c r="P742" s="0" t="n">
        <v>0</v>
      </c>
      <c r="Q742" s="0" t="str">
        <f aca="false">IF(OR(AND(M742=0,P742&gt;0),AND(M742=1,P742&lt;=0)),"Yes","No")</f>
        <v>No</v>
      </c>
      <c r="R742" s="0" t="str">
        <f aca="false">IF(AND(M742=1,P742&gt;calc_helpers!$B$5),"Yes","No")</f>
        <v>No</v>
      </c>
      <c r="S742" s="0" t="n">
        <v>2</v>
      </c>
      <c r="T742" s="0" t="str">
        <f aca="false">IF(S742&gt;0,"Yes","No")</f>
        <v>Yes</v>
      </c>
      <c r="U742" s="0" t="n">
        <v>0</v>
      </c>
      <c r="W742" s="0" t="str">
        <f aca="false">IF(OR(AND(M742=1,ISBLANK(V742)),AND(M742=0,NOT(ISBLANK(V742)))),"Yes","No")</f>
        <v>No</v>
      </c>
      <c r="X742" s="0" t="n">
        <v>53.2</v>
      </c>
      <c r="Y742" s="3" t="s">
        <v>30</v>
      </c>
      <c r="Z742" s="0" t="str">
        <f aca="false">IF(M742=1,P742,"")</f>
        <v/>
      </c>
    </row>
    <row r="743" customFormat="false" ht="15" hidden="false" customHeight="false" outlineLevel="0" collapsed="false">
      <c r="A743" s="0" t="s">
        <v>787</v>
      </c>
      <c r="B743" s="2" t="n">
        <v>45665</v>
      </c>
      <c r="C743" s="3" t="s">
        <v>736</v>
      </c>
      <c r="D743" s="3" t="s">
        <v>28</v>
      </c>
      <c r="E743" s="3" t="s">
        <v>35</v>
      </c>
      <c r="F743" s="3" t="s">
        <v>30</v>
      </c>
      <c r="G743" s="3" t="s">
        <v>50</v>
      </c>
      <c r="H743" s="3" t="s">
        <v>30</v>
      </c>
      <c r="I743" s="3" t="s">
        <v>37</v>
      </c>
      <c r="J743" s="0" t="n">
        <v>0</v>
      </c>
      <c r="K743" s="0" t="n">
        <v>0</v>
      </c>
      <c r="L743" s="0" t="n">
        <v>0</v>
      </c>
      <c r="M743" s="0" t="n">
        <v>0</v>
      </c>
      <c r="N743" s="0" t="str">
        <f aca="false">IF(OR(NOT(OR(J743=0,J743=1)),NOT(OR(K743=0,K743=1)),NOT(OR(L743=0,L743=1)),NOT(OR(M743=0,M743=1)),NOT(OR(U743=0,U743=1))),"Yes","No")</f>
        <v>No</v>
      </c>
      <c r="O743" s="0" t="str">
        <f aca="false">IF(OR(AND(M743=1,L743=0),AND(L743=1,K743=0),AND(K743=1,J743=0)),"Yes","No")</f>
        <v>No</v>
      </c>
      <c r="P743" s="0" t="n">
        <v>0</v>
      </c>
      <c r="Q743" s="0" t="str">
        <f aca="false">IF(OR(AND(M743=0,P743&gt;0),AND(M743=1,P743&lt;=0)),"Yes","No")</f>
        <v>No</v>
      </c>
      <c r="R743" s="0" t="str">
        <f aca="false">IF(AND(M743=1,P743&gt;calc_helpers!$B$5),"Yes","No")</f>
        <v>No</v>
      </c>
      <c r="S743" s="0" t="n">
        <v>0</v>
      </c>
      <c r="T743" s="0" t="str">
        <f aca="false">IF(S743&gt;0,"Yes","No")</f>
        <v>No</v>
      </c>
      <c r="U743" s="0" t="n">
        <v>0</v>
      </c>
      <c r="W743" s="0" t="str">
        <f aca="false">IF(OR(AND(M743=1,ISBLANK(V743)),AND(M743=0,NOT(ISBLANK(V743)))),"Yes","No")</f>
        <v>No</v>
      </c>
      <c r="X743" s="0" t="n">
        <v>61.9</v>
      </c>
      <c r="Y743" s="3" t="s">
        <v>30</v>
      </c>
      <c r="Z743" s="0" t="str">
        <f aca="false">IF(M743=1,P743,"")</f>
        <v/>
      </c>
    </row>
    <row r="744" customFormat="false" ht="15" hidden="false" customHeight="false" outlineLevel="0" collapsed="false">
      <c r="A744" s="0" t="s">
        <v>788</v>
      </c>
      <c r="B744" s="2" t="n">
        <v>45695</v>
      </c>
      <c r="C744" s="3" t="s">
        <v>736</v>
      </c>
      <c r="D744" s="3" t="s">
        <v>28</v>
      </c>
      <c r="E744" s="3" t="s">
        <v>35</v>
      </c>
      <c r="F744" s="3" t="s">
        <v>30</v>
      </c>
      <c r="G744" s="3" t="s">
        <v>52</v>
      </c>
      <c r="H744" s="3" t="s">
        <v>30</v>
      </c>
      <c r="I744" s="3" t="s">
        <v>37</v>
      </c>
      <c r="J744" s="0" t="n">
        <v>1</v>
      </c>
      <c r="K744" s="0" t="n">
        <v>1</v>
      </c>
      <c r="L744" s="0" t="n">
        <v>1</v>
      </c>
      <c r="M744" s="0" t="n">
        <v>0</v>
      </c>
      <c r="N744" s="0" t="str">
        <f aca="false">IF(OR(NOT(OR(J744=0,J744=1)),NOT(OR(K744=0,K744=1)),NOT(OR(L744=0,L744=1)),NOT(OR(M744=0,M744=1)),NOT(OR(U744=0,U744=1))),"Yes","No")</f>
        <v>No</v>
      </c>
      <c r="O744" s="0" t="str">
        <f aca="false">IF(OR(AND(M744=1,L744=0),AND(L744=1,K744=0),AND(K744=1,J744=0)),"Yes","No")</f>
        <v>No</v>
      </c>
      <c r="P744" s="0" t="n">
        <v>0</v>
      </c>
      <c r="Q744" s="0" t="str">
        <f aca="false">IF(OR(AND(M744=0,P744&gt;0),AND(M744=1,P744&lt;=0)),"Yes","No")</f>
        <v>No</v>
      </c>
      <c r="R744" s="0" t="str">
        <f aca="false">IF(AND(M744=1,P744&gt;calc_helpers!$B$5),"Yes","No")</f>
        <v>No</v>
      </c>
      <c r="S744" s="0" t="n">
        <v>0</v>
      </c>
      <c r="T744" s="0" t="str">
        <f aca="false">IF(S744&gt;0,"Yes","No")</f>
        <v>No</v>
      </c>
      <c r="U744" s="0" t="n">
        <v>0</v>
      </c>
      <c r="W744" s="0" t="str">
        <f aca="false">IF(OR(AND(M744=1,ISBLANK(V744)),AND(M744=0,NOT(ISBLANK(V744)))),"Yes","No")</f>
        <v>No</v>
      </c>
      <c r="X744" s="0" t="n">
        <v>68.9</v>
      </c>
      <c r="Y744" s="3" t="s">
        <v>30</v>
      </c>
      <c r="Z744" s="0" t="str">
        <f aca="false">IF(M744=1,P744,"")</f>
        <v/>
      </c>
    </row>
    <row r="745" customFormat="false" ht="15" hidden="false" customHeight="false" outlineLevel="0" collapsed="false">
      <c r="A745" s="0" t="s">
        <v>789</v>
      </c>
      <c r="B745" s="2" t="n">
        <v>45689</v>
      </c>
      <c r="C745" s="3" t="s">
        <v>736</v>
      </c>
      <c r="D745" s="3" t="s">
        <v>28</v>
      </c>
      <c r="E745" s="3" t="s">
        <v>45</v>
      </c>
      <c r="F745" s="3" t="s">
        <v>30</v>
      </c>
      <c r="G745" s="3" t="s">
        <v>40</v>
      </c>
      <c r="H745" s="3" t="s">
        <v>30</v>
      </c>
      <c r="I745" s="3" t="s">
        <v>32</v>
      </c>
      <c r="J745" s="0" t="n">
        <v>0</v>
      </c>
      <c r="K745" s="0" t="n">
        <v>0</v>
      </c>
      <c r="L745" s="0" t="n">
        <v>0</v>
      </c>
      <c r="M745" s="0" t="n">
        <v>0</v>
      </c>
      <c r="N745" s="0" t="str">
        <f aca="false">IF(OR(NOT(OR(J745=0,J745=1)),NOT(OR(K745=0,K745=1)),NOT(OR(L745=0,L745=1)),NOT(OR(M745=0,M745=1)),NOT(OR(U745=0,U745=1))),"Yes","No")</f>
        <v>No</v>
      </c>
      <c r="O745" s="0" t="str">
        <f aca="false">IF(OR(AND(M745=1,L745=0),AND(L745=1,K745=0),AND(K745=1,J745=0)),"Yes","No")</f>
        <v>No</v>
      </c>
      <c r="P745" s="0" t="n">
        <v>0</v>
      </c>
      <c r="Q745" s="0" t="str">
        <f aca="false">IF(OR(AND(M745=0,P745&gt;0),AND(M745=1,P745&lt;=0)),"Yes","No")</f>
        <v>No</v>
      </c>
      <c r="R745" s="0" t="str">
        <f aca="false">IF(AND(M745=1,P745&gt;calc_helpers!$B$5),"Yes","No")</f>
        <v>No</v>
      </c>
      <c r="S745" s="0" t="n">
        <v>0</v>
      </c>
      <c r="T745" s="0" t="str">
        <f aca="false">IF(S745&gt;0,"Yes","No")</f>
        <v>No</v>
      </c>
      <c r="U745" s="0" t="n">
        <v>0</v>
      </c>
      <c r="W745" s="0" t="str">
        <f aca="false">IF(OR(AND(M745=1,ISBLANK(V745)),AND(M745=0,NOT(ISBLANK(V745)))),"Yes","No")</f>
        <v>No</v>
      </c>
      <c r="X745" s="0" t="n">
        <v>66.3</v>
      </c>
      <c r="Y745" s="3" t="s">
        <v>30</v>
      </c>
      <c r="Z745" s="0" t="str">
        <f aca="false">IF(M745=1,P745,"")</f>
        <v/>
      </c>
    </row>
    <row r="746" customFormat="false" ht="15" hidden="false" customHeight="false" outlineLevel="0" collapsed="false">
      <c r="A746" s="0" t="s">
        <v>790</v>
      </c>
      <c r="B746" s="2" t="n">
        <v>45661</v>
      </c>
      <c r="C746" s="3" t="s">
        <v>736</v>
      </c>
      <c r="D746" s="3" t="s">
        <v>39</v>
      </c>
      <c r="E746" s="3" t="s">
        <v>35</v>
      </c>
      <c r="F746" s="3" t="s">
        <v>30</v>
      </c>
      <c r="G746" s="3" t="s">
        <v>31</v>
      </c>
      <c r="H746" s="3" t="s">
        <v>30</v>
      </c>
      <c r="I746" s="3" t="s">
        <v>37</v>
      </c>
      <c r="J746" s="0" t="n">
        <v>1</v>
      </c>
      <c r="K746" s="0" t="n">
        <v>1</v>
      </c>
      <c r="L746" s="0" t="n">
        <v>1</v>
      </c>
      <c r="M746" s="0" t="n">
        <v>0</v>
      </c>
      <c r="N746" s="0" t="str">
        <f aca="false">IF(OR(NOT(OR(J746=0,J746=1)),NOT(OR(K746=0,K746=1)),NOT(OR(L746=0,L746=1)),NOT(OR(M746=0,M746=1)),NOT(OR(U746=0,U746=1))),"Yes","No")</f>
        <v>No</v>
      </c>
      <c r="O746" s="0" t="str">
        <f aca="false">IF(OR(AND(M746=1,L746=0),AND(L746=1,K746=0),AND(K746=1,J746=0)),"Yes","No")</f>
        <v>No</v>
      </c>
      <c r="P746" s="0" t="n">
        <v>0</v>
      </c>
      <c r="Q746" s="0" t="str">
        <f aca="false">IF(OR(AND(M746=0,P746&gt;0),AND(M746=1,P746&lt;=0)),"Yes","No")</f>
        <v>No</v>
      </c>
      <c r="R746" s="0" t="str">
        <f aca="false">IF(AND(M746=1,P746&gt;calc_helpers!$B$5),"Yes","No")</f>
        <v>No</v>
      </c>
      <c r="S746" s="0" t="n">
        <v>0</v>
      </c>
      <c r="T746" s="0" t="str">
        <f aca="false">IF(S746&gt;0,"Yes","No")</f>
        <v>No</v>
      </c>
      <c r="U746" s="0" t="n">
        <v>0</v>
      </c>
      <c r="W746" s="0" t="str">
        <f aca="false">IF(OR(AND(M746=1,ISBLANK(V746)),AND(M746=0,NOT(ISBLANK(V746)))),"Yes","No")</f>
        <v>No</v>
      </c>
      <c r="X746" s="0" t="n">
        <v>54.6</v>
      </c>
      <c r="Y746" s="3" t="s">
        <v>30</v>
      </c>
      <c r="Z746" s="0" t="str">
        <f aca="false">IF(M746=1,P746,"")</f>
        <v/>
      </c>
    </row>
    <row r="747" customFormat="false" ht="15" hidden="false" customHeight="false" outlineLevel="0" collapsed="false">
      <c r="A747" s="0" t="s">
        <v>791</v>
      </c>
      <c r="B747" s="2" t="n">
        <v>45793</v>
      </c>
      <c r="C747" s="3" t="s">
        <v>736</v>
      </c>
      <c r="D747" s="3" t="s">
        <v>43</v>
      </c>
      <c r="E747" s="3" t="s">
        <v>29</v>
      </c>
      <c r="F747" s="3" t="s">
        <v>30</v>
      </c>
      <c r="G747" s="3" t="s">
        <v>50</v>
      </c>
      <c r="H747" s="3" t="s">
        <v>30</v>
      </c>
      <c r="I747" s="3" t="s">
        <v>37</v>
      </c>
      <c r="J747" s="0" t="n">
        <v>0</v>
      </c>
      <c r="K747" s="0" t="n">
        <v>0</v>
      </c>
      <c r="L747" s="0" t="n">
        <v>0</v>
      </c>
      <c r="M747" s="0" t="n">
        <v>0</v>
      </c>
      <c r="N747" s="0" t="str">
        <f aca="false">IF(OR(NOT(OR(J747=0,J747=1)),NOT(OR(K747=0,K747=1)),NOT(OR(L747=0,L747=1)),NOT(OR(M747=0,M747=1)),NOT(OR(U747=0,U747=1))),"Yes","No")</f>
        <v>No</v>
      </c>
      <c r="O747" s="0" t="str">
        <f aca="false">IF(OR(AND(M747=1,L747=0),AND(L747=1,K747=0),AND(K747=1,J747=0)),"Yes","No")</f>
        <v>No</v>
      </c>
      <c r="P747" s="0" t="n">
        <v>0</v>
      </c>
      <c r="Q747" s="0" t="str">
        <f aca="false">IF(OR(AND(M747=0,P747&gt;0),AND(M747=1,P747&lt;=0)),"Yes","No")</f>
        <v>No</v>
      </c>
      <c r="R747" s="0" t="str">
        <f aca="false">IF(AND(M747=1,P747&gt;calc_helpers!$B$5),"Yes","No")</f>
        <v>No</v>
      </c>
      <c r="S747" s="0" t="n">
        <v>0</v>
      </c>
      <c r="T747" s="0" t="str">
        <f aca="false">IF(S747&gt;0,"Yes","No")</f>
        <v>No</v>
      </c>
      <c r="U747" s="0" t="n">
        <v>0</v>
      </c>
      <c r="W747" s="0" t="str">
        <f aca="false">IF(OR(AND(M747=1,ISBLANK(V747)),AND(M747=0,NOT(ISBLANK(V747)))),"Yes","No")</f>
        <v>No</v>
      </c>
      <c r="X747" s="0" t="n">
        <v>53.8</v>
      </c>
      <c r="Y747" s="3" t="s">
        <v>30</v>
      </c>
      <c r="Z747" s="0" t="str">
        <f aca="false">IF(M747=1,P747,"")</f>
        <v/>
      </c>
    </row>
    <row r="748" customFormat="false" ht="15" hidden="false" customHeight="false" outlineLevel="0" collapsed="false">
      <c r="A748" s="0" t="s">
        <v>792</v>
      </c>
      <c r="B748" s="2" t="n">
        <v>45716</v>
      </c>
      <c r="C748" s="3" t="s">
        <v>736</v>
      </c>
      <c r="D748" s="3" t="s">
        <v>34</v>
      </c>
      <c r="E748" s="3" t="s">
        <v>35</v>
      </c>
      <c r="F748" s="3" t="s">
        <v>30</v>
      </c>
      <c r="G748" s="3" t="s">
        <v>50</v>
      </c>
      <c r="H748" s="3" t="s">
        <v>30</v>
      </c>
      <c r="I748" s="3" t="s">
        <v>37</v>
      </c>
      <c r="J748" s="0" t="n">
        <v>1</v>
      </c>
      <c r="K748" s="0" t="n">
        <v>0</v>
      </c>
      <c r="L748" s="0" t="n">
        <v>0</v>
      </c>
      <c r="M748" s="0" t="n">
        <v>0</v>
      </c>
      <c r="N748" s="0" t="str">
        <f aca="false">IF(OR(NOT(OR(J748=0,J748=1)),NOT(OR(K748=0,K748=1)),NOT(OR(L748=0,L748=1)),NOT(OR(M748=0,M748=1)),NOT(OR(U748=0,U748=1))),"Yes","No")</f>
        <v>No</v>
      </c>
      <c r="O748" s="0" t="str">
        <f aca="false">IF(OR(AND(M748=1,L748=0),AND(L748=1,K748=0),AND(K748=1,J748=0)),"Yes","No")</f>
        <v>No</v>
      </c>
      <c r="P748" s="0" t="n">
        <v>0</v>
      </c>
      <c r="Q748" s="0" t="str">
        <f aca="false">IF(OR(AND(M748=0,P748&gt;0),AND(M748=1,P748&lt;=0)),"Yes","No")</f>
        <v>No</v>
      </c>
      <c r="R748" s="0" t="str">
        <f aca="false">IF(AND(M748=1,P748&gt;calc_helpers!$B$5),"Yes","No")</f>
        <v>No</v>
      </c>
      <c r="S748" s="0" t="n">
        <v>0</v>
      </c>
      <c r="T748" s="0" t="str">
        <f aca="false">IF(S748&gt;0,"Yes","No")</f>
        <v>No</v>
      </c>
      <c r="U748" s="0" t="n">
        <v>0</v>
      </c>
      <c r="W748" s="0" t="str">
        <f aca="false">IF(OR(AND(M748=1,ISBLANK(V748)),AND(M748=0,NOT(ISBLANK(V748)))),"Yes","No")</f>
        <v>No</v>
      </c>
      <c r="X748" s="0" t="n">
        <v>59.5</v>
      </c>
      <c r="Y748" s="3" t="s">
        <v>30</v>
      </c>
      <c r="Z748" s="0" t="str">
        <f aca="false">IF(M748=1,P748,"")</f>
        <v/>
      </c>
    </row>
    <row r="749" customFormat="false" ht="15" hidden="false" customHeight="false" outlineLevel="0" collapsed="false">
      <c r="A749" s="0" t="s">
        <v>793</v>
      </c>
      <c r="B749" s="2" t="n">
        <v>45759</v>
      </c>
      <c r="C749" s="3" t="s">
        <v>736</v>
      </c>
      <c r="D749" s="3" t="s">
        <v>28</v>
      </c>
      <c r="E749" s="3" t="s">
        <v>35</v>
      </c>
      <c r="F749" s="3" t="s">
        <v>30</v>
      </c>
      <c r="G749" s="3" t="s">
        <v>50</v>
      </c>
      <c r="H749" s="3" t="s">
        <v>30</v>
      </c>
      <c r="I749" s="3" t="s">
        <v>37</v>
      </c>
      <c r="J749" s="0" t="n">
        <v>1</v>
      </c>
      <c r="K749" s="0" t="n">
        <v>0</v>
      </c>
      <c r="L749" s="0" t="n">
        <v>0</v>
      </c>
      <c r="M749" s="0" t="n">
        <v>0</v>
      </c>
      <c r="N749" s="0" t="str">
        <f aca="false">IF(OR(NOT(OR(J749=0,J749=1)),NOT(OR(K749=0,K749=1)),NOT(OR(L749=0,L749=1)),NOT(OR(M749=0,M749=1)),NOT(OR(U749=0,U749=1))),"Yes","No")</f>
        <v>No</v>
      </c>
      <c r="O749" s="0" t="str">
        <f aca="false">IF(OR(AND(M749=1,L749=0),AND(L749=1,K749=0),AND(K749=1,J749=0)),"Yes","No")</f>
        <v>No</v>
      </c>
      <c r="P749" s="0" t="n">
        <v>0</v>
      </c>
      <c r="Q749" s="0" t="str">
        <f aca="false">IF(OR(AND(M749=0,P749&gt;0),AND(M749=1,P749&lt;=0)),"Yes","No")</f>
        <v>No</v>
      </c>
      <c r="R749" s="0" t="str">
        <f aca="false">IF(AND(M749=1,P749&gt;calc_helpers!$B$5),"Yes","No")</f>
        <v>No</v>
      </c>
      <c r="S749" s="0" t="n">
        <v>0</v>
      </c>
      <c r="T749" s="0" t="str">
        <f aca="false">IF(S749&gt;0,"Yes","No")</f>
        <v>No</v>
      </c>
      <c r="U749" s="0" t="n">
        <v>0</v>
      </c>
      <c r="W749" s="0" t="str">
        <f aca="false">IF(OR(AND(M749=1,ISBLANK(V749)),AND(M749=0,NOT(ISBLANK(V749)))),"Yes","No")</f>
        <v>No</v>
      </c>
      <c r="X749" s="0" t="n">
        <v>52.6</v>
      </c>
      <c r="Y749" s="3" t="s">
        <v>30</v>
      </c>
      <c r="Z749" s="0" t="str">
        <f aca="false">IF(M749=1,P749,"")</f>
        <v/>
      </c>
    </row>
    <row r="750" customFormat="false" ht="15" hidden="false" customHeight="false" outlineLevel="0" collapsed="false">
      <c r="A750" s="0" t="s">
        <v>794</v>
      </c>
      <c r="B750" s="2" t="n">
        <v>45739</v>
      </c>
      <c r="C750" s="3" t="s">
        <v>736</v>
      </c>
      <c r="D750" s="3" t="s">
        <v>43</v>
      </c>
      <c r="E750" s="3" t="s">
        <v>29</v>
      </c>
      <c r="F750" s="3" t="s">
        <v>30</v>
      </c>
      <c r="G750" s="3" t="s">
        <v>36</v>
      </c>
      <c r="H750" s="3" t="s">
        <v>30</v>
      </c>
      <c r="I750" s="3" t="s">
        <v>37</v>
      </c>
      <c r="J750" s="0" t="n">
        <v>0</v>
      </c>
      <c r="K750" s="0" t="n">
        <v>0</v>
      </c>
      <c r="L750" s="0" t="n">
        <v>0</v>
      </c>
      <c r="M750" s="0" t="n">
        <v>0</v>
      </c>
      <c r="N750" s="0" t="str">
        <f aca="false">IF(OR(NOT(OR(J750=0,J750=1)),NOT(OR(K750=0,K750=1)),NOT(OR(L750=0,L750=1)),NOT(OR(M750=0,M750=1)),NOT(OR(U750=0,U750=1))),"Yes","No")</f>
        <v>No</v>
      </c>
      <c r="O750" s="0" t="str">
        <f aca="false">IF(OR(AND(M750=1,L750=0),AND(L750=1,K750=0),AND(K750=1,J750=0)),"Yes","No")</f>
        <v>No</v>
      </c>
      <c r="P750" s="0" t="n">
        <v>0</v>
      </c>
      <c r="Q750" s="0" t="str">
        <f aca="false">IF(OR(AND(M750=0,P750&gt;0),AND(M750=1,P750&lt;=0)),"Yes","No")</f>
        <v>No</v>
      </c>
      <c r="R750" s="0" t="str">
        <f aca="false">IF(AND(M750=1,P750&gt;calc_helpers!$B$5),"Yes","No")</f>
        <v>No</v>
      </c>
      <c r="S750" s="0" t="n">
        <v>0</v>
      </c>
      <c r="T750" s="0" t="str">
        <f aca="false">IF(S750&gt;0,"Yes","No")</f>
        <v>No</v>
      </c>
      <c r="U750" s="0" t="n">
        <v>0</v>
      </c>
      <c r="W750" s="0" t="str">
        <f aca="false">IF(OR(AND(M750=1,ISBLANK(V750)),AND(M750=0,NOT(ISBLANK(V750)))),"Yes","No")</f>
        <v>No</v>
      </c>
      <c r="X750" s="0" t="n">
        <v>49</v>
      </c>
      <c r="Y750" s="3" t="s">
        <v>30</v>
      </c>
      <c r="Z750" s="0" t="str">
        <f aca="false">IF(M750=1,P750,"")</f>
        <v/>
      </c>
    </row>
    <row r="751" customFormat="false" ht="15" hidden="false" customHeight="false" outlineLevel="0" collapsed="false">
      <c r="A751" s="0" t="s">
        <v>795</v>
      </c>
      <c r="B751" s="2" t="n">
        <v>45806</v>
      </c>
      <c r="C751" s="3" t="s">
        <v>736</v>
      </c>
      <c r="D751" s="3" t="s">
        <v>28</v>
      </c>
      <c r="E751" s="3" t="s">
        <v>45</v>
      </c>
      <c r="F751" s="3" t="s">
        <v>30</v>
      </c>
      <c r="G751" s="3" t="s">
        <v>36</v>
      </c>
      <c r="H751" s="3" t="s">
        <v>30</v>
      </c>
      <c r="I751" s="3" t="s">
        <v>37</v>
      </c>
      <c r="J751" s="0" t="n">
        <v>1</v>
      </c>
      <c r="K751" s="0" t="n">
        <v>0</v>
      </c>
      <c r="L751" s="0" t="n">
        <v>0</v>
      </c>
      <c r="M751" s="0" t="n">
        <v>0</v>
      </c>
      <c r="N751" s="0" t="str">
        <f aca="false">IF(OR(NOT(OR(J751=0,J751=1)),NOT(OR(K751=0,K751=1)),NOT(OR(L751=0,L751=1)),NOT(OR(M751=0,M751=1)),NOT(OR(U751=0,U751=1))),"Yes","No")</f>
        <v>No</v>
      </c>
      <c r="O751" s="0" t="str">
        <f aca="false">IF(OR(AND(M751=1,L751=0),AND(L751=1,K751=0),AND(K751=1,J751=0)),"Yes","No")</f>
        <v>No</v>
      </c>
      <c r="P751" s="0" t="n">
        <v>0</v>
      </c>
      <c r="Q751" s="0" t="str">
        <f aca="false">IF(OR(AND(M751=0,P751&gt;0),AND(M751=1,P751&lt;=0)),"Yes","No")</f>
        <v>No</v>
      </c>
      <c r="R751" s="0" t="str">
        <f aca="false">IF(AND(M751=1,P751&gt;calc_helpers!$B$5),"Yes","No")</f>
        <v>No</v>
      </c>
      <c r="S751" s="0" t="n">
        <v>0</v>
      </c>
      <c r="T751" s="0" t="str">
        <f aca="false">IF(S751&gt;0,"Yes","No")</f>
        <v>No</v>
      </c>
      <c r="U751" s="0" t="n">
        <v>0</v>
      </c>
      <c r="W751" s="0" t="str">
        <f aca="false">IF(OR(AND(M751=1,ISBLANK(V751)),AND(M751=0,NOT(ISBLANK(V751)))),"Yes","No")</f>
        <v>No</v>
      </c>
      <c r="X751" s="0" t="n">
        <v>59.3</v>
      </c>
      <c r="Y751" s="3" t="s">
        <v>30</v>
      </c>
      <c r="Z751" s="0" t="str">
        <f aca="false">IF(M751=1,P751,"")</f>
        <v/>
      </c>
    </row>
    <row r="752" customFormat="false" ht="15" hidden="false" customHeight="false" outlineLevel="0" collapsed="false">
      <c r="A752" s="0" t="s">
        <v>796</v>
      </c>
      <c r="B752" s="2" t="n">
        <v>45798</v>
      </c>
      <c r="C752" s="3" t="s">
        <v>736</v>
      </c>
      <c r="D752" s="3" t="s">
        <v>43</v>
      </c>
      <c r="E752" s="3" t="s">
        <v>29</v>
      </c>
      <c r="F752" s="3" t="s">
        <v>30</v>
      </c>
      <c r="G752" s="3" t="s">
        <v>36</v>
      </c>
      <c r="H752" s="3" t="s">
        <v>30</v>
      </c>
      <c r="I752" s="3" t="s">
        <v>32</v>
      </c>
      <c r="J752" s="0" t="n">
        <v>0</v>
      </c>
      <c r="K752" s="0" t="n">
        <v>0</v>
      </c>
      <c r="L752" s="0" t="n">
        <v>0</v>
      </c>
      <c r="M752" s="0" t="n">
        <v>0</v>
      </c>
      <c r="N752" s="0" t="str">
        <f aca="false">IF(OR(NOT(OR(J752=0,J752=1)),NOT(OR(K752=0,K752=1)),NOT(OR(L752=0,L752=1)),NOT(OR(M752=0,M752=1)),NOT(OR(U752=0,U752=1))),"Yes","No")</f>
        <v>No</v>
      </c>
      <c r="O752" s="0" t="str">
        <f aca="false">IF(OR(AND(M752=1,L752=0),AND(L752=1,K752=0),AND(K752=1,J752=0)),"Yes","No")</f>
        <v>No</v>
      </c>
      <c r="P752" s="0" t="n">
        <v>0</v>
      </c>
      <c r="Q752" s="0" t="str">
        <f aca="false">IF(OR(AND(M752=0,P752&gt;0),AND(M752=1,P752&lt;=0)),"Yes","No")</f>
        <v>No</v>
      </c>
      <c r="R752" s="0" t="str">
        <f aca="false">IF(AND(M752=1,P752&gt;calc_helpers!$B$5),"Yes","No")</f>
        <v>No</v>
      </c>
      <c r="S752" s="0" t="n">
        <v>0</v>
      </c>
      <c r="T752" s="0" t="str">
        <f aca="false">IF(S752&gt;0,"Yes","No")</f>
        <v>No</v>
      </c>
      <c r="U752" s="0" t="n">
        <v>0</v>
      </c>
      <c r="W752" s="0" t="str">
        <f aca="false">IF(OR(AND(M752=1,ISBLANK(V752)),AND(M752=0,NOT(ISBLANK(V752)))),"Yes","No")</f>
        <v>No</v>
      </c>
      <c r="X752" s="0" t="n">
        <v>67.2</v>
      </c>
      <c r="Y752" s="3" t="s">
        <v>30</v>
      </c>
      <c r="Z752" s="0" t="str">
        <f aca="false">IF(M752=1,P752,"")</f>
        <v/>
      </c>
    </row>
    <row r="753" customFormat="false" ht="15" hidden="false" customHeight="false" outlineLevel="0" collapsed="false">
      <c r="A753" s="0" t="s">
        <v>797</v>
      </c>
      <c r="B753" s="2" t="n">
        <v>45662</v>
      </c>
      <c r="C753" s="3" t="s">
        <v>736</v>
      </c>
      <c r="D753" s="3" t="s">
        <v>43</v>
      </c>
      <c r="E753" s="3" t="s">
        <v>35</v>
      </c>
      <c r="F753" s="3" t="s">
        <v>30</v>
      </c>
      <c r="G753" s="3" t="s">
        <v>50</v>
      </c>
      <c r="H753" s="3" t="s">
        <v>30</v>
      </c>
      <c r="I753" s="3" t="s">
        <v>41</v>
      </c>
      <c r="J753" s="0" t="n">
        <v>0</v>
      </c>
      <c r="K753" s="0" t="n">
        <v>0</v>
      </c>
      <c r="L753" s="0" t="n">
        <v>0</v>
      </c>
      <c r="M753" s="0" t="n">
        <v>0</v>
      </c>
      <c r="N753" s="0" t="str">
        <f aca="false">IF(OR(NOT(OR(J753=0,J753=1)),NOT(OR(K753=0,K753=1)),NOT(OR(L753=0,L753=1)),NOT(OR(M753=0,M753=1)),NOT(OR(U753=0,U753=1))),"Yes","No")</f>
        <v>No</v>
      </c>
      <c r="O753" s="0" t="str">
        <f aca="false">IF(OR(AND(M753=1,L753=0),AND(L753=1,K753=0),AND(K753=1,J753=0)),"Yes","No")</f>
        <v>No</v>
      </c>
      <c r="P753" s="0" t="n">
        <v>0</v>
      </c>
      <c r="Q753" s="0" t="str">
        <f aca="false">IF(OR(AND(M753=0,P753&gt;0),AND(M753=1,P753&lt;=0)),"Yes","No")</f>
        <v>No</v>
      </c>
      <c r="R753" s="0" t="str">
        <f aca="false">IF(AND(M753=1,P753&gt;calc_helpers!$B$5),"Yes","No")</f>
        <v>No</v>
      </c>
      <c r="S753" s="0" t="n">
        <v>0</v>
      </c>
      <c r="T753" s="0" t="str">
        <f aca="false">IF(S753&gt;0,"Yes","No")</f>
        <v>No</v>
      </c>
      <c r="U753" s="0" t="n">
        <v>0</v>
      </c>
      <c r="W753" s="0" t="str">
        <f aca="false">IF(OR(AND(M753=1,ISBLANK(V753)),AND(M753=0,NOT(ISBLANK(V753)))),"Yes","No")</f>
        <v>No</v>
      </c>
      <c r="X753" s="0" t="n">
        <v>73.5</v>
      </c>
      <c r="Y753" s="3" t="s">
        <v>30</v>
      </c>
      <c r="Z753" s="0" t="str">
        <f aca="false">IF(M753=1,P753,"")</f>
        <v/>
      </c>
    </row>
    <row r="754" customFormat="false" ht="15" hidden="false" customHeight="false" outlineLevel="0" collapsed="false">
      <c r="A754" s="0" t="s">
        <v>798</v>
      </c>
      <c r="B754" s="2" t="n">
        <v>45735</v>
      </c>
      <c r="C754" s="3" t="s">
        <v>736</v>
      </c>
      <c r="D754" s="3" t="s">
        <v>39</v>
      </c>
      <c r="E754" s="3" t="s">
        <v>45</v>
      </c>
      <c r="F754" s="3" t="s">
        <v>30</v>
      </c>
      <c r="G754" s="3" t="s">
        <v>36</v>
      </c>
      <c r="H754" s="3" t="s">
        <v>30</v>
      </c>
      <c r="I754" s="3" t="s">
        <v>37</v>
      </c>
      <c r="J754" s="0" t="n">
        <v>1</v>
      </c>
      <c r="K754" s="0" t="n">
        <v>0</v>
      </c>
      <c r="L754" s="0" t="n">
        <v>0</v>
      </c>
      <c r="M754" s="0" t="n">
        <v>0</v>
      </c>
      <c r="N754" s="0" t="str">
        <f aca="false">IF(OR(NOT(OR(J754=0,J754=1)),NOT(OR(K754=0,K754=1)),NOT(OR(L754=0,L754=1)),NOT(OR(M754=0,M754=1)),NOT(OR(U754=0,U754=1))),"Yes","No")</f>
        <v>No</v>
      </c>
      <c r="O754" s="0" t="str">
        <f aca="false">IF(OR(AND(M754=1,L754=0),AND(L754=1,K754=0),AND(K754=1,J754=0)),"Yes","No")</f>
        <v>No</v>
      </c>
      <c r="P754" s="0" t="n">
        <v>0</v>
      </c>
      <c r="Q754" s="0" t="str">
        <f aca="false">IF(OR(AND(M754=0,P754&gt;0),AND(M754=1,P754&lt;=0)),"Yes","No")</f>
        <v>No</v>
      </c>
      <c r="R754" s="0" t="str">
        <f aca="false">IF(AND(M754=1,P754&gt;calc_helpers!$B$5),"Yes","No")</f>
        <v>No</v>
      </c>
      <c r="S754" s="0" t="n">
        <v>0</v>
      </c>
      <c r="T754" s="0" t="str">
        <f aca="false">IF(S754&gt;0,"Yes","No")</f>
        <v>No</v>
      </c>
      <c r="U754" s="0" t="n">
        <v>0</v>
      </c>
      <c r="W754" s="0" t="str">
        <f aca="false">IF(OR(AND(M754=1,ISBLANK(V754)),AND(M754=0,NOT(ISBLANK(V754)))),"Yes","No")</f>
        <v>No</v>
      </c>
      <c r="X754" s="0" t="n">
        <v>61.2</v>
      </c>
      <c r="Y754" s="3" t="s">
        <v>30</v>
      </c>
      <c r="Z754" s="0" t="str">
        <f aca="false">IF(M754=1,P754,"")</f>
        <v/>
      </c>
    </row>
    <row r="755" customFormat="false" ht="15" hidden="false" customHeight="false" outlineLevel="0" collapsed="false">
      <c r="A755" s="0" t="s">
        <v>799</v>
      </c>
      <c r="B755" s="2" t="n">
        <v>45771</v>
      </c>
      <c r="C755" s="3" t="s">
        <v>736</v>
      </c>
      <c r="D755" s="3" t="s">
        <v>39</v>
      </c>
      <c r="E755" s="3" t="s">
        <v>35</v>
      </c>
      <c r="F755" s="3" t="s">
        <v>30</v>
      </c>
      <c r="G755" s="3" t="s">
        <v>36</v>
      </c>
      <c r="H755" s="3" t="s">
        <v>30</v>
      </c>
      <c r="I755" s="3" t="s">
        <v>37</v>
      </c>
      <c r="J755" s="0" t="n">
        <v>1</v>
      </c>
      <c r="K755" s="0" t="n">
        <v>0</v>
      </c>
      <c r="L755" s="0" t="n">
        <v>0</v>
      </c>
      <c r="M755" s="0" t="n">
        <v>0</v>
      </c>
      <c r="N755" s="0" t="str">
        <f aca="false">IF(OR(NOT(OR(J755=0,J755=1)),NOT(OR(K755=0,K755=1)),NOT(OR(L755=0,L755=1)),NOT(OR(M755=0,M755=1)),NOT(OR(U755=0,U755=1))),"Yes","No")</f>
        <v>No</v>
      </c>
      <c r="O755" s="0" t="str">
        <f aca="false">IF(OR(AND(M755=1,L755=0),AND(L755=1,K755=0),AND(K755=1,J755=0)),"Yes","No")</f>
        <v>No</v>
      </c>
      <c r="P755" s="0" t="n">
        <v>0</v>
      </c>
      <c r="Q755" s="0" t="str">
        <f aca="false">IF(OR(AND(M755=0,P755&gt;0),AND(M755=1,P755&lt;=0)),"Yes","No")</f>
        <v>No</v>
      </c>
      <c r="R755" s="0" t="str">
        <f aca="false">IF(AND(M755=1,P755&gt;calc_helpers!$B$5),"Yes","No")</f>
        <v>No</v>
      </c>
      <c r="S755" s="0" t="n">
        <v>1</v>
      </c>
      <c r="T755" s="0" t="str">
        <f aca="false">IF(S755&gt;0,"Yes","No")</f>
        <v>Yes</v>
      </c>
      <c r="U755" s="0" t="n">
        <v>0</v>
      </c>
      <c r="W755" s="0" t="str">
        <f aca="false">IF(OR(AND(M755=1,ISBLANK(V755)),AND(M755=0,NOT(ISBLANK(V755)))),"Yes","No")</f>
        <v>No</v>
      </c>
      <c r="X755" s="0" t="n">
        <v>56.4</v>
      </c>
      <c r="Y755" s="3" t="s">
        <v>30</v>
      </c>
      <c r="Z755" s="0" t="str">
        <f aca="false">IF(M755=1,P755,"")</f>
        <v/>
      </c>
    </row>
    <row r="756" customFormat="false" ht="15" hidden="false" customHeight="false" outlineLevel="0" collapsed="false">
      <c r="A756" s="0" t="s">
        <v>800</v>
      </c>
      <c r="B756" s="2" t="n">
        <v>45726</v>
      </c>
      <c r="C756" s="3" t="s">
        <v>736</v>
      </c>
      <c r="D756" s="3" t="s">
        <v>28</v>
      </c>
      <c r="E756" s="3" t="s">
        <v>45</v>
      </c>
      <c r="F756" s="3" t="s">
        <v>30</v>
      </c>
      <c r="G756" s="3" t="s">
        <v>36</v>
      </c>
      <c r="H756" s="3" t="s">
        <v>30</v>
      </c>
      <c r="I756" s="3" t="s">
        <v>37</v>
      </c>
      <c r="J756" s="0" t="n">
        <v>0</v>
      </c>
      <c r="K756" s="0" t="n">
        <v>0</v>
      </c>
      <c r="L756" s="0" t="n">
        <v>0</v>
      </c>
      <c r="M756" s="0" t="n">
        <v>0</v>
      </c>
      <c r="N756" s="0" t="str">
        <f aca="false">IF(OR(NOT(OR(J756=0,J756=1)),NOT(OR(K756=0,K756=1)),NOT(OR(L756=0,L756=1)),NOT(OR(M756=0,M756=1)),NOT(OR(U756=0,U756=1))),"Yes","No")</f>
        <v>No</v>
      </c>
      <c r="O756" s="0" t="str">
        <f aca="false">IF(OR(AND(M756=1,L756=0),AND(L756=1,K756=0),AND(K756=1,J756=0)),"Yes","No")</f>
        <v>No</v>
      </c>
      <c r="P756" s="0" t="n">
        <v>0</v>
      </c>
      <c r="Q756" s="0" t="str">
        <f aca="false">IF(OR(AND(M756=0,P756&gt;0),AND(M756=1,P756&lt;=0)),"Yes","No")</f>
        <v>No</v>
      </c>
      <c r="R756" s="0" t="str">
        <f aca="false">IF(AND(M756=1,P756&gt;calc_helpers!$B$5),"Yes","No")</f>
        <v>No</v>
      </c>
      <c r="S756" s="0" t="n">
        <v>3</v>
      </c>
      <c r="T756" s="0" t="str">
        <f aca="false">IF(S756&gt;0,"Yes","No")</f>
        <v>Yes</v>
      </c>
      <c r="U756" s="0" t="n">
        <v>0</v>
      </c>
      <c r="W756" s="0" t="str">
        <f aca="false">IF(OR(AND(M756=1,ISBLANK(V756)),AND(M756=0,NOT(ISBLANK(V756)))),"Yes","No")</f>
        <v>No</v>
      </c>
      <c r="X756" s="0" t="n">
        <v>72.6</v>
      </c>
      <c r="Y756" s="3" t="s">
        <v>30</v>
      </c>
      <c r="Z756" s="0" t="str">
        <f aca="false">IF(M756=1,P756,"")</f>
        <v/>
      </c>
    </row>
    <row r="757" customFormat="false" ht="15" hidden="false" customHeight="false" outlineLevel="0" collapsed="false">
      <c r="A757" s="0" t="s">
        <v>801</v>
      </c>
      <c r="B757" s="2" t="n">
        <v>45710</v>
      </c>
      <c r="C757" s="3" t="s">
        <v>736</v>
      </c>
      <c r="D757" s="3" t="s">
        <v>43</v>
      </c>
      <c r="E757" s="3" t="s">
        <v>45</v>
      </c>
      <c r="F757" s="3" t="s">
        <v>30</v>
      </c>
      <c r="G757" s="3" t="s">
        <v>50</v>
      </c>
      <c r="H757" s="3" t="s">
        <v>30</v>
      </c>
      <c r="I757" s="3" t="s">
        <v>32</v>
      </c>
      <c r="J757" s="0" t="n">
        <v>1</v>
      </c>
      <c r="K757" s="0" t="n">
        <v>0</v>
      </c>
      <c r="L757" s="0" t="n">
        <v>0</v>
      </c>
      <c r="M757" s="0" t="n">
        <v>0</v>
      </c>
      <c r="N757" s="0" t="str">
        <f aca="false">IF(OR(NOT(OR(J757=0,J757=1)),NOT(OR(K757=0,K757=1)),NOT(OR(L757=0,L757=1)),NOT(OR(M757=0,M757=1)),NOT(OR(U757=0,U757=1))),"Yes","No")</f>
        <v>No</v>
      </c>
      <c r="O757" s="0" t="str">
        <f aca="false">IF(OR(AND(M757=1,L757=0),AND(L757=1,K757=0),AND(K757=1,J757=0)),"Yes","No")</f>
        <v>No</v>
      </c>
      <c r="P757" s="0" t="n">
        <v>0</v>
      </c>
      <c r="Q757" s="0" t="str">
        <f aca="false">IF(OR(AND(M757=0,P757&gt;0),AND(M757=1,P757&lt;=0)),"Yes","No")</f>
        <v>No</v>
      </c>
      <c r="R757" s="0" t="str">
        <f aca="false">IF(AND(M757=1,P757&gt;calc_helpers!$B$5),"Yes","No")</f>
        <v>No</v>
      </c>
      <c r="S757" s="0" t="n">
        <v>0</v>
      </c>
      <c r="T757" s="0" t="str">
        <f aca="false">IF(S757&gt;0,"Yes","No")</f>
        <v>No</v>
      </c>
      <c r="U757" s="0" t="n">
        <v>0</v>
      </c>
      <c r="W757" s="0" t="str">
        <f aca="false">IF(OR(AND(M757=1,ISBLANK(V757)),AND(M757=0,NOT(ISBLANK(V757)))),"Yes","No")</f>
        <v>No</v>
      </c>
      <c r="X757" s="0" t="n">
        <v>61.7</v>
      </c>
      <c r="Y757" s="3" t="s">
        <v>30</v>
      </c>
      <c r="Z757" s="0" t="str">
        <f aca="false">IF(M757=1,P757,"")</f>
        <v/>
      </c>
    </row>
    <row r="758" customFormat="false" ht="15" hidden="false" customHeight="false" outlineLevel="0" collapsed="false">
      <c r="A758" s="0" t="s">
        <v>802</v>
      </c>
      <c r="B758" s="2" t="n">
        <v>45794</v>
      </c>
      <c r="C758" s="3" t="s">
        <v>736</v>
      </c>
      <c r="D758" s="3" t="s">
        <v>39</v>
      </c>
      <c r="E758" s="3" t="s">
        <v>35</v>
      </c>
      <c r="F758" s="3" t="s">
        <v>30</v>
      </c>
      <c r="G758" s="3" t="s">
        <v>52</v>
      </c>
      <c r="H758" s="3" t="s">
        <v>30</v>
      </c>
      <c r="I758" s="3" t="s">
        <v>37</v>
      </c>
      <c r="J758" s="0" t="n">
        <v>0</v>
      </c>
      <c r="K758" s="0" t="n">
        <v>0</v>
      </c>
      <c r="L758" s="0" t="n">
        <v>0</v>
      </c>
      <c r="M758" s="0" t="n">
        <v>0</v>
      </c>
      <c r="N758" s="0" t="str">
        <f aca="false">IF(OR(NOT(OR(J758=0,J758=1)),NOT(OR(K758=0,K758=1)),NOT(OR(L758=0,L758=1)),NOT(OR(M758=0,M758=1)),NOT(OR(U758=0,U758=1))),"Yes","No")</f>
        <v>No</v>
      </c>
      <c r="O758" s="0" t="str">
        <f aca="false">IF(OR(AND(M758=1,L758=0),AND(L758=1,K758=0),AND(K758=1,J758=0)),"Yes","No")</f>
        <v>No</v>
      </c>
      <c r="P758" s="0" t="n">
        <v>0</v>
      </c>
      <c r="Q758" s="0" t="str">
        <f aca="false">IF(OR(AND(M758=0,P758&gt;0),AND(M758=1,P758&lt;=0)),"Yes","No")</f>
        <v>No</v>
      </c>
      <c r="R758" s="0" t="str">
        <f aca="false">IF(AND(M758=1,P758&gt;calc_helpers!$B$5),"Yes","No")</f>
        <v>No</v>
      </c>
      <c r="S758" s="0" t="n">
        <v>1</v>
      </c>
      <c r="T758" s="0" t="str">
        <f aca="false">IF(S758&gt;0,"Yes","No")</f>
        <v>Yes</v>
      </c>
      <c r="U758" s="0" t="n">
        <v>0</v>
      </c>
      <c r="W758" s="0" t="str">
        <f aca="false">IF(OR(AND(M758=1,ISBLANK(V758)),AND(M758=0,NOT(ISBLANK(V758)))),"Yes","No")</f>
        <v>No</v>
      </c>
      <c r="X758" s="0" t="n">
        <v>66.9</v>
      </c>
      <c r="Y758" s="3" t="s">
        <v>30</v>
      </c>
      <c r="Z758" s="0" t="str">
        <f aca="false">IF(M758=1,P758,"")</f>
        <v/>
      </c>
    </row>
    <row r="759" customFormat="false" ht="15" hidden="false" customHeight="false" outlineLevel="0" collapsed="false">
      <c r="A759" s="0" t="s">
        <v>803</v>
      </c>
      <c r="B759" s="2" t="n">
        <v>45786</v>
      </c>
      <c r="C759" s="3" t="s">
        <v>736</v>
      </c>
      <c r="D759" s="3" t="s">
        <v>39</v>
      </c>
      <c r="E759" s="3" t="s">
        <v>45</v>
      </c>
      <c r="F759" s="3" t="s">
        <v>30</v>
      </c>
      <c r="G759" s="3" t="s">
        <v>50</v>
      </c>
      <c r="H759" s="3" t="s">
        <v>30</v>
      </c>
      <c r="I759" s="3" t="s">
        <v>41</v>
      </c>
      <c r="J759" s="0" t="n">
        <v>1</v>
      </c>
      <c r="K759" s="0" t="n">
        <v>1</v>
      </c>
      <c r="L759" s="0" t="n">
        <v>1</v>
      </c>
      <c r="M759" s="0" t="n">
        <v>1</v>
      </c>
      <c r="N759" s="0" t="str">
        <f aca="false">IF(OR(NOT(OR(J759=0,J759=1)),NOT(OR(K759=0,K759=1)),NOT(OR(L759=0,L759=1)),NOT(OR(M759=0,M759=1)),NOT(OR(U759=0,U759=1))),"Yes","No")</f>
        <v>No</v>
      </c>
      <c r="O759" s="0" t="str">
        <f aca="false">IF(OR(AND(M759=1,L759=0),AND(L759=1,K759=0),AND(K759=1,J759=0)),"Yes","No")</f>
        <v>No</v>
      </c>
      <c r="P759" s="0" t="n">
        <v>1506.24</v>
      </c>
      <c r="Q759" s="0" t="str">
        <f aca="false">IF(OR(AND(M759=0,P759&gt;0),AND(M759=1,P759&lt;=0)),"Yes","No")</f>
        <v>No</v>
      </c>
      <c r="R759" s="0" t="str">
        <f aca="false">IF(AND(M759=1,P759&gt;calc_helpers!$B$5),"Yes","No")</f>
        <v>No</v>
      </c>
      <c r="S759" s="0" t="n">
        <v>1</v>
      </c>
      <c r="T759" s="0" t="str">
        <f aca="false">IF(S759&gt;0,"Yes","No")</f>
        <v>Yes</v>
      </c>
      <c r="U759" s="0" t="n">
        <v>0</v>
      </c>
      <c r="V759" s="0" t="n">
        <v>7</v>
      </c>
      <c r="W759" s="0" t="str">
        <f aca="false">IF(OR(AND(M759=1,ISBLANK(V759)),AND(M759=0,NOT(ISBLANK(V759)))),"Yes","No")</f>
        <v>No</v>
      </c>
      <c r="X759" s="0" t="n">
        <v>64.9</v>
      </c>
      <c r="Y759" s="3" t="s">
        <v>30</v>
      </c>
      <c r="Z759" s="3" t="n">
        <f aca="false">IF(M759=1,P759,"")</f>
        <v>1506.24</v>
      </c>
    </row>
    <row r="760" customFormat="false" ht="15" hidden="false" customHeight="false" outlineLevel="0" collapsed="false">
      <c r="A760" s="0" t="s">
        <v>804</v>
      </c>
      <c r="B760" s="2" t="n">
        <v>45773</v>
      </c>
      <c r="C760" s="3" t="s">
        <v>736</v>
      </c>
      <c r="D760" s="3" t="s">
        <v>39</v>
      </c>
      <c r="E760" s="3" t="s">
        <v>45</v>
      </c>
      <c r="F760" s="3" t="s">
        <v>30</v>
      </c>
      <c r="G760" s="3" t="s">
        <v>36</v>
      </c>
      <c r="H760" s="3" t="s">
        <v>30</v>
      </c>
      <c r="I760" s="3" t="s">
        <v>41</v>
      </c>
      <c r="J760" s="0" t="n">
        <v>1</v>
      </c>
      <c r="K760" s="0" t="n">
        <v>0</v>
      </c>
      <c r="L760" s="0" t="n">
        <v>0</v>
      </c>
      <c r="M760" s="0" t="n">
        <v>0</v>
      </c>
      <c r="N760" s="0" t="str">
        <f aca="false">IF(OR(NOT(OR(J760=0,J760=1)),NOT(OR(K760=0,K760=1)),NOT(OR(L760=0,L760=1)),NOT(OR(M760=0,M760=1)),NOT(OR(U760=0,U760=1))),"Yes","No")</f>
        <v>No</v>
      </c>
      <c r="O760" s="0" t="str">
        <f aca="false">IF(OR(AND(M760=1,L760=0),AND(L760=1,K760=0),AND(K760=1,J760=0)),"Yes","No")</f>
        <v>No</v>
      </c>
      <c r="P760" s="0" t="n">
        <v>0</v>
      </c>
      <c r="Q760" s="0" t="str">
        <f aca="false">IF(OR(AND(M760=0,P760&gt;0),AND(M760=1,P760&lt;=0)),"Yes","No")</f>
        <v>No</v>
      </c>
      <c r="R760" s="0" t="str">
        <f aca="false">IF(AND(M760=1,P760&gt;calc_helpers!$B$5),"Yes","No")</f>
        <v>No</v>
      </c>
      <c r="S760" s="0" t="n">
        <v>0</v>
      </c>
      <c r="T760" s="0" t="str">
        <f aca="false">IF(S760&gt;0,"Yes","No")</f>
        <v>No</v>
      </c>
      <c r="U760" s="0" t="n">
        <v>0</v>
      </c>
      <c r="W760" s="0" t="str">
        <f aca="false">IF(OR(AND(M760=1,ISBLANK(V760)),AND(M760=0,NOT(ISBLANK(V760)))),"Yes","No")</f>
        <v>No</v>
      </c>
      <c r="X760" s="0" t="n">
        <v>57.5</v>
      </c>
      <c r="Y760" s="3" t="s">
        <v>30</v>
      </c>
      <c r="Z760" s="0" t="str">
        <f aca="false">IF(M760=1,P760,"")</f>
        <v/>
      </c>
    </row>
    <row r="761" customFormat="false" ht="15" hidden="false" customHeight="false" outlineLevel="0" collapsed="false">
      <c r="A761" s="0" t="s">
        <v>805</v>
      </c>
      <c r="B761" s="2" t="n">
        <v>45731</v>
      </c>
      <c r="C761" s="3" t="s">
        <v>736</v>
      </c>
      <c r="D761" s="3" t="s">
        <v>34</v>
      </c>
      <c r="E761" s="3" t="s">
        <v>29</v>
      </c>
      <c r="F761" s="3" t="s">
        <v>30</v>
      </c>
      <c r="G761" s="3" t="s">
        <v>52</v>
      </c>
      <c r="H761" s="3" t="s">
        <v>30</v>
      </c>
      <c r="I761" s="3" t="s">
        <v>37</v>
      </c>
      <c r="J761" s="0" t="n">
        <v>1</v>
      </c>
      <c r="K761" s="0" t="n">
        <v>1</v>
      </c>
      <c r="L761" s="0" t="n">
        <v>1</v>
      </c>
      <c r="M761" s="0" t="n">
        <v>0</v>
      </c>
      <c r="N761" s="0" t="str">
        <f aca="false">IF(OR(NOT(OR(J761=0,J761=1)),NOT(OR(K761=0,K761=1)),NOT(OR(L761=0,L761=1)),NOT(OR(M761=0,M761=1)),NOT(OR(U761=0,U761=1))),"Yes","No")</f>
        <v>No</v>
      </c>
      <c r="O761" s="0" t="str">
        <f aca="false">IF(OR(AND(M761=1,L761=0),AND(L761=1,K761=0),AND(K761=1,J761=0)),"Yes","No")</f>
        <v>No</v>
      </c>
      <c r="P761" s="0" t="n">
        <v>0</v>
      </c>
      <c r="Q761" s="0" t="str">
        <f aca="false">IF(OR(AND(M761=0,P761&gt;0),AND(M761=1,P761&lt;=0)),"Yes","No")</f>
        <v>No</v>
      </c>
      <c r="R761" s="0" t="str">
        <f aca="false">IF(AND(M761=1,P761&gt;calc_helpers!$B$5),"Yes","No")</f>
        <v>No</v>
      </c>
      <c r="S761" s="0" t="n">
        <v>0</v>
      </c>
      <c r="T761" s="0" t="str">
        <f aca="false">IF(S761&gt;0,"Yes","No")</f>
        <v>No</v>
      </c>
      <c r="U761" s="0" t="n">
        <v>0</v>
      </c>
      <c r="W761" s="0" t="str">
        <f aca="false">IF(OR(AND(M761=1,ISBLANK(V761)),AND(M761=0,NOT(ISBLANK(V761)))),"Yes","No")</f>
        <v>No</v>
      </c>
      <c r="X761" s="0" t="n">
        <v>76.3</v>
      </c>
      <c r="Y761" s="3" t="s">
        <v>30</v>
      </c>
      <c r="Z761" s="0" t="str">
        <f aca="false">IF(M761=1,P761,"")</f>
        <v/>
      </c>
    </row>
    <row r="762" customFormat="false" ht="15" hidden="false" customHeight="false" outlineLevel="0" collapsed="false">
      <c r="A762" s="0" t="s">
        <v>806</v>
      </c>
      <c r="B762" s="2" t="n">
        <v>45750</v>
      </c>
      <c r="C762" s="3" t="s">
        <v>736</v>
      </c>
      <c r="D762" s="3" t="s">
        <v>28</v>
      </c>
      <c r="E762" s="3" t="s">
        <v>35</v>
      </c>
      <c r="F762" s="3" t="s">
        <v>30</v>
      </c>
      <c r="G762" s="3" t="s">
        <v>40</v>
      </c>
      <c r="H762" s="3" t="s">
        <v>30</v>
      </c>
      <c r="I762" s="3" t="s">
        <v>37</v>
      </c>
      <c r="J762" s="0" t="n">
        <v>0</v>
      </c>
      <c r="K762" s="0" t="n">
        <v>0</v>
      </c>
      <c r="L762" s="0" t="n">
        <v>0</v>
      </c>
      <c r="M762" s="0" t="n">
        <v>0</v>
      </c>
      <c r="N762" s="0" t="str">
        <f aca="false">IF(OR(NOT(OR(J762=0,J762=1)),NOT(OR(K762=0,K762=1)),NOT(OR(L762=0,L762=1)),NOT(OR(M762=0,M762=1)),NOT(OR(U762=0,U762=1))),"Yes","No")</f>
        <v>No</v>
      </c>
      <c r="O762" s="0" t="str">
        <f aca="false">IF(OR(AND(M762=1,L762=0),AND(L762=1,K762=0),AND(K762=1,J762=0)),"Yes","No")</f>
        <v>No</v>
      </c>
      <c r="P762" s="0" t="n">
        <v>0</v>
      </c>
      <c r="Q762" s="0" t="str">
        <f aca="false">IF(OR(AND(M762=0,P762&gt;0),AND(M762=1,P762&lt;=0)),"Yes","No")</f>
        <v>No</v>
      </c>
      <c r="R762" s="0" t="str">
        <f aca="false">IF(AND(M762=1,P762&gt;calc_helpers!$B$5),"Yes","No")</f>
        <v>No</v>
      </c>
      <c r="S762" s="0" t="n">
        <v>0</v>
      </c>
      <c r="T762" s="0" t="str">
        <f aca="false">IF(S762&gt;0,"Yes","No")</f>
        <v>No</v>
      </c>
      <c r="U762" s="0" t="n">
        <v>0</v>
      </c>
      <c r="W762" s="0" t="str">
        <f aca="false">IF(OR(AND(M762=1,ISBLANK(V762)),AND(M762=0,NOT(ISBLANK(V762)))),"Yes","No")</f>
        <v>No</v>
      </c>
      <c r="X762" s="0" t="n">
        <v>47.5</v>
      </c>
      <c r="Y762" s="3" t="s">
        <v>30</v>
      </c>
      <c r="Z762" s="0" t="str">
        <f aca="false">IF(M762=1,P762,"")</f>
        <v/>
      </c>
    </row>
    <row r="763" customFormat="false" ht="15" hidden="false" customHeight="false" outlineLevel="0" collapsed="false">
      <c r="A763" s="0" t="s">
        <v>807</v>
      </c>
      <c r="B763" s="2" t="n">
        <v>45742</v>
      </c>
      <c r="C763" s="3" t="s">
        <v>736</v>
      </c>
      <c r="D763" s="3" t="s">
        <v>43</v>
      </c>
      <c r="E763" s="3" t="s">
        <v>35</v>
      </c>
      <c r="F763" s="3" t="s">
        <v>30</v>
      </c>
      <c r="G763" s="3" t="s">
        <v>40</v>
      </c>
      <c r="H763" s="3" t="s">
        <v>30</v>
      </c>
      <c r="I763" s="3" t="s">
        <v>37</v>
      </c>
      <c r="J763" s="0" t="n">
        <v>0</v>
      </c>
      <c r="K763" s="0" t="n">
        <v>0</v>
      </c>
      <c r="L763" s="0" t="n">
        <v>0</v>
      </c>
      <c r="M763" s="0" t="n">
        <v>0</v>
      </c>
      <c r="N763" s="0" t="str">
        <f aca="false">IF(OR(NOT(OR(J763=0,J763=1)),NOT(OR(K763=0,K763=1)),NOT(OR(L763=0,L763=1)),NOT(OR(M763=0,M763=1)),NOT(OR(U763=0,U763=1))),"Yes","No")</f>
        <v>No</v>
      </c>
      <c r="O763" s="0" t="str">
        <f aca="false">IF(OR(AND(M763=1,L763=0),AND(L763=1,K763=0),AND(K763=1,J763=0)),"Yes","No")</f>
        <v>No</v>
      </c>
      <c r="P763" s="0" t="n">
        <v>0</v>
      </c>
      <c r="Q763" s="0" t="str">
        <f aca="false">IF(OR(AND(M763=0,P763&gt;0),AND(M763=1,P763&lt;=0)),"Yes","No")</f>
        <v>No</v>
      </c>
      <c r="R763" s="0" t="str">
        <f aca="false">IF(AND(M763=1,P763&gt;calc_helpers!$B$5),"Yes","No")</f>
        <v>No</v>
      </c>
      <c r="S763" s="0" t="n">
        <v>0</v>
      </c>
      <c r="T763" s="0" t="str">
        <f aca="false">IF(S763&gt;0,"Yes","No")</f>
        <v>No</v>
      </c>
      <c r="U763" s="0" t="n">
        <v>0</v>
      </c>
      <c r="W763" s="0" t="str">
        <f aca="false">IF(OR(AND(M763=1,ISBLANK(V763)),AND(M763=0,NOT(ISBLANK(V763)))),"Yes","No")</f>
        <v>No</v>
      </c>
      <c r="Y763" s="3" t="s">
        <v>168</v>
      </c>
      <c r="Z763" s="0" t="str">
        <f aca="false">IF(M763=1,P763,"")</f>
        <v/>
      </c>
    </row>
    <row r="764" customFormat="false" ht="15" hidden="false" customHeight="false" outlineLevel="0" collapsed="false">
      <c r="A764" s="0" t="s">
        <v>808</v>
      </c>
      <c r="B764" s="2" t="n">
        <v>45693</v>
      </c>
      <c r="C764" s="3" t="s">
        <v>736</v>
      </c>
      <c r="D764" s="3" t="s">
        <v>34</v>
      </c>
      <c r="E764" s="3" t="s">
        <v>29</v>
      </c>
      <c r="F764" s="3" t="s">
        <v>30</v>
      </c>
      <c r="G764" s="3" t="s">
        <v>36</v>
      </c>
      <c r="H764" s="3" t="s">
        <v>30</v>
      </c>
      <c r="I764" s="3" t="s">
        <v>32</v>
      </c>
      <c r="J764" s="0" t="n">
        <v>1</v>
      </c>
      <c r="K764" s="0" t="n">
        <v>1</v>
      </c>
      <c r="L764" s="0" t="n">
        <v>0</v>
      </c>
      <c r="M764" s="0" t="n">
        <v>0</v>
      </c>
      <c r="N764" s="0" t="str">
        <f aca="false">IF(OR(NOT(OR(J764=0,J764=1)),NOT(OR(K764=0,K764=1)),NOT(OR(L764=0,L764=1)),NOT(OR(M764=0,M764=1)),NOT(OR(U764=0,U764=1))),"Yes","No")</f>
        <v>No</v>
      </c>
      <c r="O764" s="0" t="str">
        <f aca="false">IF(OR(AND(M764=1,L764=0),AND(L764=1,K764=0),AND(K764=1,J764=0)),"Yes","No")</f>
        <v>No</v>
      </c>
      <c r="P764" s="0" t="n">
        <v>0</v>
      </c>
      <c r="Q764" s="0" t="str">
        <f aca="false">IF(OR(AND(M764=0,P764&gt;0),AND(M764=1,P764&lt;=0)),"Yes","No")</f>
        <v>No</v>
      </c>
      <c r="R764" s="0" t="str">
        <f aca="false">IF(AND(M764=1,P764&gt;calc_helpers!$B$5),"Yes","No")</f>
        <v>No</v>
      </c>
      <c r="S764" s="0" t="n">
        <v>2</v>
      </c>
      <c r="T764" s="0" t="str">
        <f aca="false">IF(S764&gt;0,"Yes","No")</f>
        <v>Yes</v>
      </c>
      <c r="U764" s="0" t="n">
        <v>0</v>
      </c>
      <c r="W764" s="0" t="str">
        <f aca="false">IF(OR(AND(M764=1,ISBLANK(V764)),AND(M764=0,NOT(ISBLANK(V764)))),"Yes","No")</f>
        <v>No</v>
      </c>
      <c r="X764" s="0" t="n">
        <v>71.6</v>
      </c>
      <c r="Y764" s="3" t="s">
        <v>30</v>
      </c>
      <c r="Z764" s="0" t="str">
        <f aca="false">IF(M764=1,P764,"")</f>
        <v/>
      </c>
    </row>
    <row r="765" customFormat="false" ht="15" hidden="false" customHeight="false" outlineLevel="0" collapsed="false">
      <c r="A765" s="0" t="s">
        <v>809</v>
      </c>
      <c r="B765" s="2" t="n">
        <v>45785</v>
      </c>
      <c r="C765" s="3" t="s">
        <v>736</v>
      </c>
      <c r="D765" s="3" t="s">
        <v>43</v>
      </c>
      <c r="E765" s="3" t="s">
        <v>35</v>
      </c>
      <c r="F765" s="3" t="s">
        <v>30</v>
      </c>
      <c r="G765" s="3" t="s">
        <v>52</v>
      </c>
      <c r="H765" s="3" t="s">
        <v>30</v>
      </c>
      <c r="I765" s="3" t="s">
        <v>32</v>
      </c>
      <c r="J765" s="0" t="n">
        <v>1</v>
      </c>
      <c r="K765" s="0" t="n">
        <v>1</v>
      </c>
      <c r="L765" s="0" t="n">
        <v>0</v>
      </c>
      <c r="M765" s="0" t="n">
        <v>0</v>
      </c>
      <c r="N765" s="0" t="str">
        <f aca="false">IF(OR(NOT(OR(J765=0,J765=1)),NOT(OR(K765=0,K765=1)),NOT(OR(L765=0,L765=1)),NOT(OR(M765=0,M765=1)),NOT(OR(U765=0,U765=1))),"Yes","No")</f>
        <v>No</v>
      </c>
      <c r="O765" s="0" t="str">
        <f aca="false">IF(OR(AND(M765=1,L765=0),AND(L765=1,K765=0),AND(K765=1,J765=0)),"Yes","No")</f>
        <v>No</v>
      </c>
      <c r="P765" s="0" t="n">
        <v>0</v>
      </c>
      <c r="Q765" s="0" t="str">
        <f aca="false">IF(OR(AND(M765=0,P765&gt;0),AND(M765=1,P765&lt;=0)),"Yes","No")</f>
        <v>No</v>
      </c>
      <c r="R765" s="0" t="str">
        <f aca="false">IF(AND(M765=1,P765&gt;calc_helpers!$B$5),"Yes","No")</f>
        <v>No</v>
      </c>
      <c r="S765" s="0" t="n">
        <v>0</v>
      </c>
      <c r="T765" s="0" t="str">
        <f aca="false">IF(S765&gt;0,"Yes","No")</f>
        <v>No</v>
      </c>
      <c r="U765" s="0" t="n">
        <v>0</v>
      </c>
      <c r="W765" s="0" t="str">
        <f aca="false">IF(OR(AND(M765=1,ISBLANK(V765)),AND(M765=0,NOT(ISBLANK(V765)))),"Yes","No")</f>
        <v>No</v>
      </c>
      <c r="X765" s="0" t="n">
        <v>55.8</v>
      </c>
      <c r="Y765" s="3" t="s">
        <v>30</v>
      </c>
      <c r="Z765" s="0" t="str">
        <f aca="false">IF(M765=1,P765,"")</f>
        <v/>
      </c>
    </row>
    <row r="766" customFormat="false" ht="15" hidden="false" customHeight="false" outlineLevel="0" collapsed="false">
      <c r="A766" s="0" t="s">
        <v>810</v>
      </c>
      <c r="B766" s="2" t="n">
        <v>45741</v>
      </c>
      <c r="C766" s="3" t="s">
        <v>736</v>
      </c>
      <c r="D766" s="3" t="s">
        <v>43</v>
      </c>
      <c r="E766" s="3" t="s">
        <v>29</v>
      </c>
      <c r="F766" s="3" t="s">
        <v>30</v>
      </c>
      <c r="G766" s="3" t="s">
        <v>36</v>
      </c>
      <c r="H766" s="3" t="s">
        <v>30</v>
      </c>
      <c r="I766" s="3" t="s">
        <v>32</v>
      </c>
      <c r="J766" s="0" t="n">
        <v>0</v>
      </c>
      <c r="K766" s="0" t="n">
        <v>0</v>
      </c>
      <c r="L766" s="0" t="n">
        <v>0</v>
      </c>
      <c r="M766" s="0" t="n">
        <v>0</v>
      </c>
      <c r="N766" s="0" t="str">
        <f aca="false">IF(OR(NOT(OR(J766=0,J766=1)),NOT(OR(K766=0,K766=1)),NOT(OR(L766=0,L766=1)),NOT(OR(M766=0,M766=1)),NOT(OR(U766=0,U766=1))),"Yes","No")</f>
        <v>No</v>
      </c>
      <c r="O766" s="0" t="str">
        <f aca="false">IF(OR(AND(M766=1,L766=0),AND(L766=1,K766=0),AND(K766=1,J766=0)),"Yes","No")</f>
        <v>No</v>
      </c>
      <c r="P766" s="0" t="n">
        <v>0</v>
      </c>
      <c r="Q766" s="0" t="str">
        <f aca="false">IF(OR(AND(M766=0,P766&gt;0),AND(M766=1,P766&lt;=0)),"Yes","No")</f>
        <v>No</v>
      </c>
      <c r="R766" s="0" t="str">
        <f aca="false">IF(AND(M766=1,P766&gt;calc_helpers!$B$5),"Yes","No")</f>
        <v>No</v>
      </c>
      <c r="S766" s="0" t="n">
        <v>1</v>
      </c>
      <c r="T766" s="0" t="str">
        <f aca="false">IF(S766&gt;0,"Yes","No")</f>
        <v>Yes</v>
      </c>
      <c r="U766" s="0" t="n">
        <v>0</v>
      </c>
      <c r="W766" s="0" t="str">
        <f aca="false">IF(OR(AND(M766=1,ISBLANK(V766)),AND(M766=0,NOT(ISBLANK(V766)))),"Yes","No")</f>
        <v>No</v>
      </c>
      <c r="X766" s="0" t="n">
        <v>60.1</v>
      </c>
      <c r="Y766" s="3" t="s">
        <v>30</v>
      </c>
      <c r="Z766" s="0" t="str">
        <f aca="false">IF(M766=1,P766,"")</f>
        <v/>
      </c>
    </row>
    <row r="767" customFormat="false" ht="15" hidden="false" customHeight="false" outlineLevel="0" collapsed="false">
      <c r="A767" s="0" t="s">
        <v>811</v>
      </c>
      <c r="B767" s="2" t="n">
        <v>45671</v>
      </c>
      <c r="C767" s="3" t="s">
        <v>736</v>
      </c>
      <c r="D767" s="3" t="s">
        <v>34</v>
      </c>
      <c r="E767" s="3" t="s">
        <v>167</v>
      </c>
      <c r="F767" s="3" t="s">
        <v>168</v>
      </c>
      <c r="G767" s="3" t="s">
        <v>31</v>
      </c>
      <c r="H767" s="3" t="s">
        <v>30</v>
      </c>
      <c r="I767" s="3" t="s">
        <v>32</v>
      </c>
      <c r="J767" s="0" t="n">
        <v>1</v>
      </c>
      <c r="K767" s="0" t="n">
        <v>1</v>
      </c>
      <c r="L767" s="0" t="n">
        <v>1</v>
      </c>
      <c r="M767" s="0" t="n">
        <v>0</v>
      </c>
      <c r="N767" s="0" t="str">
        <f aca="false">IF(OR(NOT(OR(J767=0,J767=1)),NOT(OR(K767=0,K767=1)),NOT(OR(L767=0,L767=1)),NOT(OR(M767=0,M767=1)),NOT(OR(U767=0,U767=1))),"Yes","No")</f>
        <v>No</v>
      </c>
      <c r="O767" s="0" t="str">
        <f aca="false">IF(OR(AND(M767=1,L767=0),AND(L767=1,K767=0),AND(K767=1,J767=0)),"Yes","No")</f>
        <v>No</v>
      </c>
      <c r="P767" s="0" t="n">
        <v>0</v>
      </c>
      <c r="Q767" s="0" t="str">
        <f aca="false">IF(OR(AND(M767=0,P767&gt;0),AND(M767=1,P767&lt;=0)),"Yes","No")</f>
        <v>No</v>
      </c>
      <c r="R767" s="0" t="str">
        <f aca="false">IF(AND(M767=1,P767&gt;calc_helpers!$B$5),"Yes","No")</f>
        <v>No</v>
      </c>
      <c r="S767" s="0" t="n">
        <v>1</v>
      </c>
      <c r="T767" s="0" t="str">
        <f aca="false">IF(S767&gt;0,"Yes","No")</f>
        <v>Yes</v>
      </c>
      <c r="U767" s="0" t="n">
        <v>0</v>
      </c>
      <c r="W767" s="0" t="str">
        <f aca="false">IF(OR(AND(M767=1,ISBLANK(V767)),AND(M767=0,NOT(ISBLANK(V767)))),"Yes","No")</f>
        <v>No</v>
      </c>
      <c r="X767" s="0" t="n">
        <v>59.3</v>
      </c>
      <c r="Y767" s="3" t="s">
        <v>30</v>
      </c>
      <c r="Z767" s="0" t="str">
        <f aca="false">IF(M767=1,P767,"")</f>
        <v/>
      </c>
    </row>
    <row r="768" customFormat="false" ht="15" hidden="false" customHeight="false" outlineLevel="0" collapsed="false">
      <c r="A768" s="0" t="s">
        <v>812</v>
      </c>
      <c r="B768" s="2" t="n">
        <v>45742</v>
      </c>
      <c r="C768" s="3" t="s">
        <v>736</v>
      </c>
      <c r="D768" s="3" t="s">
        <v>28</v>
      </c>
      <c r="E768" s="3" t="s">
        <v>35</v>
      </c>
      <c r="F768" s="3" t="s">
        <v>30</v>
      </c>
      <c r="G768" s="3" t="s">
        <v>36</v>
      </c>
      <c r="H768" s="3" t="s">
        <v>30</v>
      </c>
      <c r="I768" s="3" t="s">
        <v>37</v>
      </c>
      <c r="J768" s="0" t="n">
        <v>1</v>
      </c>
      <c r="K768" s="0" t="n">
        <v>1</v>
      </c>
      <c r="L768" s="0" t="n">
        <v>0</v>
      </c>
      <c r="M768" s="0" t="n">
        <v>0</v>
      </c>
      <c r="N768" s="0" t="str">
        <f aca="false">IF(OR(NOT(OR(J768=0,J768=1)),NOT(OR(K768=0,K768=1)),NOT(OR(L768=0,L768=1)),NOT(OR(M768=0,M768=1)),NOT(OR(U768=0,U768=1))),"Yes","No")</f>
        <v>No</v>
      </c>
      <c r="O768" s="0" t="str">
        <f aca="false">IF(OR(AND(M768=1,L768=0),AND(L768=1,K768=0),AND(K768=1,J768=0)),"Yes","No")</f>
        <v>No</v>
      </c>
      <c r="P768" s="0" t="n">
        <v>0</v>
      </c>
      <c r="Q768" s="0" t="str">
        <f aca="false">IF(OR(AND(M768=0,P768&gt;0),AND(M768=1,P768&lt;=0)),"Yes","No")</f>
        <v>No</v>
      </c>
      <c r="R768" s="0" t="str">
        <f aca="false">IF(AND(M768=1,P768&gt;calc_helpers!$B$5),"Yes","No")</f>
        <v>No</v>
      </c>
      <c r="S768" s="0" t="n">
        <v>2</v>
      </c>
      <c r="T768" s="0" t="str">
        <f aca="false">IF(S768&gt;0,"Yes","No")</f>
        <v>Yes</v>
      </c>
      <c r="U768" s="0" t="n">
        <v>0</v>
      </c>
      <c r="W768" s="0" t="str">
        <f aca="false">IF(OR(AND(M768=1,ISBLANK(V768)),AND(M768=0,NOT(ISBLANK(V768)))),"Yes","No")</f>
        <v>No</v>
      </c>
      <c r="X768" s="0" t="n">
        <v>49.3</v>
      </c>
      <c r="Y768" s="3" t="s">
        <v>30</v>
      </c>
      <c r="Z768" s="0" t="str">
        <f aca="false">IF(M768=1,P768,"")</f>
        <v/>
      </c>
    </row>
    <row r="769" customFormat="false" ht="15" hidden="false" customHeight="false" outlineLevel="0" collapsed="false">
      <c r="A769" s="0" t="s">
        <v>813</v>
      </c>
      <c r="B769" s="2" t="n">
        <v>45673</v>
      </c>
      <c r="C769" s="3" t="s">
        <v>736</v>
      </c>
      <c r="D769" s="3" t="s">
        <v>39</v>
      </c>
      <c r="E769" s="3" t="s">
        <v>35</v>
      </c>
      <c r="F769" s="3" t="s">
        <v>30</v>
      </c>
      <c r="G769" s="3" t="s">
        <v>50</v>
      </c>
      <c r="H769" s="3" t="s">
        <v>30</v>
      </c>
      <c r="I769" s="3" t="s">
        <v>37</v>
      </c>
      <c r="J769" s="0" t="n">
        <v>1</v>
      </c>
      <c r="K769" s="0" t="n">
        <v>0</v>
      </c>
      <c r="L769" s="0" t="n">
        <v>0</v>
      </c>
      <c r="M769" s="0" t="n">
        <v>0</v>
      </c>
      <c r="N769" s="0" t="str">
        <f aca="false">IF(OR(NOT(OR(J769=0,J769=1)),NOT(OR(K769=0,K769=1)),NOT(OR(L769=0,L769=1)),NOT(OR(M769=0,M769=1)),NOT(OR(U769=0,U769=1))),"Yes","No")</f>
        <v>No</v>
      </c>
      <c r="O769" s="0" t="str">
        <f aca="false">IF(OR(AND(M769=1,L769=0),AND(L769=1,K769=0),AND(K769=1,J769=0)),"Yes","No")</f>
        <v>No</v>
      </c>
      <c r="P769" s="0" t="n">
        <v>0</v>
      </c>
      <c r="Q769" s="0" t="str">
        <f aca="false">IF(OR(AND(M769=0,P769&gt;0),AND(M769=1,P769&lt;=0)),"Yes","No")</f>
        <v>No</v>
      </c>
      <c r="R769" s="0" t="str">
        <f aca="false">IF(AND(M769=1,P769&gt;calc_helpers!$B$5),"Yes","No")</f>
        <v>No</v>
      </c>
      <c r="S769" s="0" t="n">
        <v>0</v>
      </c>
      <c r="T769" s="0" t="str">
        <f aca="false">IF(S769&gt;0,"Yes","No")</f>
        <v>No</v>
      </c>
      <c r="U769" s="0" t="n">
        <v>0</v>
      </c>
      <c r="W769" s="0" t="str">
        <f aca="false">IF(OR(AND(M769=1,ISBLANK(V769)),AND(M769=0,NOT(ISBLANK(V769)))),"Yes","No")</f>
        <v>No</v>
      </c>
      <c r="X769" s="0" t="n">
        <v>75</v>
      </c>
      <c r="Y769" s="3" t="s">
        <v>30</v>
      </c>
      <c r="Z769" s="0" t="str">
        <f aca="false">IF(M769=1,P769,"")</f>
        <v/>
      </c>
    </row>
    <row r="770" customFormat="false" ht="15" hidden="false" customHeight="false" outlineLevel="0" collapsed="false">
      <c r="A770" s="0" t="s">
        <v>814</v>
      </c>
      <c r="B770" s="2" t="n">
        <v>45661</v>
      </c>
      <c r="C770" s="3" t="s">
        <v>736</v>
      </c>
      <c r="D770" s="3" t="s">
        <v>39</v>
      </c>
      <c r="E770" s="3" t="s">
        <v>35</v>
      </c>
      <c r="F770" s="3" t="s">
        <v>30</v>
      </c>
      <c r="G770" s="3" t="s">
        <v>52</v>
      </c>
      <c r="H770" s="3" t="s">
        <v>30</v>
      </c>
      <c r="I770" s="3" t="s">
        <v>37</v>
      </c>
      <c r="J770" s="0" t="n">
        <v>1</v>
      </c>
      <c r="K770" s="0" t="n">
        <v>0</v>
      </c>
      <c r="L770" s="0" t="n">
        <v>0</v>
      </c>
      <c r="M770" s="0" t="n">
        <v>0</v>
      </c>
      <c r="N770" s="0" t="str">
        <f aca="false">IF(OR(NOT(OR(J770=0,J770=1)),NOT(OR(K770=0,K770=1)),NOT(OR(L770=0,L770=1)),NOT(OR(M770=0,M770=1)),NOT(OR(U770=0,U770=1))),"Yes","No")</f>
        <v>No</v>
      </c>
      <c r="O770" s="0" t="str">
        <f aca="false">IF(OR(AND(M770=1,L770=0),AND(L770=1,K770=0),AND(K770=1,J770=0)),"Yes","No")</f>
        <v>No</v>
      </c>
      <c r="P770" s="0" t="n">
        <v>0</v>
      </c>
      <c r="Q770" s="0" t="str">
        <f aca="false">IF(OR(AND(M770=0,P770&gt;0),AND(M770=1,P770&lt;=0)),"Yes","No")</f>
        <v>No</v>
      </c>
      <c r="R770" s="0" t="str">
        <f aca="false">IF(AND(M770=1,P770&gt;calc_helpers!$B$5),"Yes","No")</f>
        <v>No</v>
      </c>
      <c r="S770" s="0" t="n">
        <v>0</v>
      </c>
      <c r="T770" s="0" t="str">
        <f aca="false">IF(S770&gt;0,"Yes","No")</f>
        <v>No</v>
      </c>
      <c r="U770" s="0" t="n">
        <v>0</v>
      </c>
      <c r="W770" s="0" t="str">
        <f aca="false">IF(OR(AND(M770=1,ISBLANK(V770)),AND(M770=0,NOT(ISBLANK(V770)))),"Yes","No")</f>
        <v>No</v>
      </c>
      <c r="X770" s="0" t="n">
        <v>70.2</v>
      </c>
      <c r="Y770" s="3" t="s">
        <v>30</v>
      </c>
      <c r="Z770" s="0" t="str">
        <f aca="false">IF(M770=1,P770,"")</f>
        <v/>
      </c>
    </row>
    <row r="771" customFormat="false" ht="15" hidden="false" customHeight="false" outlineLevel="0" collapsed="false">
      <c r="A771" s="0" t="s">
        <v>815</v>
      </c>
      <c r="B771" s="2" t="n">
        <v>45697</v>
      </c>
      <c r="C771" s="3" t="s">
        <v>736</v>
      </c>
      <c r="D771" s="3" t="s">
        <v>43</v>
      </c>
      <c r="E771" s="3" t="s">
        <v>29</v>
      </c>
      <c r="F771" s="3" t="s">
        <v>30</v>
      </c>
      <c r="G771" s="3" t="s">
        <v>36</v>
      </c>
      <c r="H771" s="3" t="s">
        <v>30</v>
      </c>
      <c r="I771" s="3" t="s">
        <v>41</v>
      </c>
      <c r="J771" s="0" t="n">
        <v>1</v>
      </c>
      <c r="K771" s="0" t="n">
        <v>1</v>
      </c>
      <c r="L771" s="0" t="n">
        <v>1</v>
      </c>
      <c r="M771" s="0" t="n">
        <v>0</v>
      </c>
      <c r="N771" s="0" t="str">
        <f aca="false">IF(OR(NOT(OR(J771=0,J771=1)),NOT(OR(K771=0,K771=1)),NOT(OR(L771=0,L771=1)),NOT(OR(M771=0,M771=1)),NOT(OR(U771=0,U771=1))),"Yes","No")</f>
        <v>No</v>
      </c>
      <c r="O771" s="0" t="str">
        <f aca="false">IF(OR(AND(M771=1,L771=0),AND(L771=1,K771=0),AND(K771=1,J771=0)),"Yes","No")</f>
        <v>No</v>
      </c>
      <c r="P771" s="0" t="n">
        <v>0</v>
      </c>
      <c r="Q771" s="0" t="str">
        <f aca="false">IF(OR(AND(M771=0,P771&gt;0),AND(M771=1,P771&lt;=0)),"Yes","No")</f>
        <v>No</v>
      </c>
      <c r="R771" s="0" t="str">
        <f aca="false">IF(AND(M771=1,P771&gt;calc_helpers!$B$5),"Yes","No")</f>
        <v>No</v>
      </c>
      <c r="S771" s="0" t="n">
        <v>0</v>
      </c>
      <c r="T771" s="0" t="str">
        <f aca="false">IF(S771&gt;0,"Yes","No")</f>
        <v>No</v>
      </c>
      <c r="U771" s="0" t="n">
        <v>0</v>
      </c>
      <c r="W771" s="0" t="str">
        <f aca="false">IF(OR(AND(M771=1,ISBLANK(V771)),AND(M771=0,NOT(ISBLANK(V771)))),"Yes","No")</f>
        <v>No</v>
      </c>
      <c r="X771" s="0" t="n">
        <v>56.6</v>
      </c>
      <c r="Y771" s="3" t="s">
        <v>30</v>
      </c>
      <c r="Z771" s="0" t="str">
        <f aca="false">IF(M771=1,P771,"")</f>
        <v/>
      </c>
    </row>
    <row r="772" customFormat="false" ht="15" hidden="false" customHeight="false" outlineLevel="0" collapsed="false">
      <c r="A772" s="0" t="s">
        <v>816</v>
      </c>
      <c r="B772" s="2" t="n">
        <v>45721</v>
      </c>
      <c r="C772" s="3" t="s">
        <v>736</v>
      </c>
      <c r="D772" s="3" t="s">
        <v>39</v>
      </c>
      <c r="E772" s="3" t="s">
        <v>29</v>
      </c>
      <c r="F772" s="3" t="s">
        <v>30</v>
      </c>
      <c r="G772" s="3" t="s">
        <v>36</v>
      </c>
      <c r="H772" s="3" t="s">
        <v>30</v>
      </c>
      <c r="I772" s="3" t="s">
        <v>37</v>
      </c>
      <c r="J772" s="0" t="n">
        <v>1</v>
      </c>
      <c r="K772" s="0" t="n">
        <v>0</v>
      </c>
      <c r="L772" s="0" t="n">
        <v>0</v>
      </c>
      <c r="M772" s="0" t="n">
        <v>0</v>
      </c>
      <c r="N772" s="0" t="str">
        <f aca="false">IF(OR(NOT(OR(J772=0,J772=1)),NOT(OR(K772=0,K772=1)),NOT(OR(L772=0,L772=1)),NOT(OR(M772=0,M772=1)),NOT(OR(U772=0,U772=1))),"Yes","No")</f>
        <v>No</v>
      </c>
      <c r="O772" s="0" t="str">
        <f aca="false">IF(OR(AND(M772=1,L772=0),AND(L772=1,K772=0),AND(K772=1,J772=0)),"Yes","No")</f>
        <v>No</v>
      </c>
      <c r="P772" s="0" t="n">
        <v>0</v>
      </c>
      <c r="Q772" s="0" t="str">
        <f aca="false">IF(OR(AND(M772=0,P772&gt;0),AND(M772=1,P772&lt;=0)),"Yes","No")</f>
        <v>No</v>
      </c>
      <c r="R772" s="0" t="str">
        <f aca="false">IF(AND(M772=1,P772&gt;calc_helpers!$B$5),"Yes","No")</f>
        <v>No</v>
      </c>
      <c r="S772" s="0" t="n">
        <v>0</v>
      </c>
      <c r="T772" s="0" t="str">
        <f aca="false">IF(S772&gt;0,"Yes","No")</f>
        <v>No</v>
      </c>
      <c r="U772" s="0" t="n">
        <v>0</v>
      </c>
      <c r="W772" s="0" t="str">
        <f aca="false">IF(OR(AND(M772=1,ISBLANK(V772)),AND(M772=0,NOT(ISBLANK(V772)))),"Yes","No")</f>
        <v>No</v>
      </c>
      <c r="X772" s="0" t="n">
        <v>65.4</v>
      </c>
      <c r="Y772" s="3" t="s">
        <v>30</v>
      </c>
      <c r="Z772" s="0" t="str">
        <f aca="false">IF(M772=1,P772,"")</f>
        <v/>
      </c>
    </row>
    <row r="773" customFormat="false" ht="15" hidden="false" customHeight="false" outlineLevel="0" collapsed="false">
      <c r="A773" s="0" t="s">
        <v>817</v>
      </c>
      <c r="B773" s="2" t="n">
        <v>45726</v>
      </c>
      <c r="C773" s="3" t="s">
        <v>736</v>
      </c>
      <c r="D773" s="3" t="s">
        <v>39</v>
      </c>
      <c r="E773" s="3" t="s">
        <v>35</v>
      </c>
      <c r="F773" s="3" t="s">
        <v>30</v>
      </c>
      <c r="G773" s="3" t="s">
        <v>50</v>
      </c>
      <c r="H773" s="3" t="s">
        <v>30</v>
      </c>
      <c r="I773" s="3" t="s">
        <v>32</v>
      </c>
      <c r="J773" s="0" t="n">
        <v>1</v>
      </c>
      <c r="K773" s="0" t="n">
        <v>0</v>
      </c>
      <c r="L773" s="0" t="n">
        <v>0</v>
      </c>
      <c r="M773" s="0" t="n">
        <v>0</v>
      </c>
      <c r="N773" s="0" t="str">
        <f aca="false">IF(OR(NOT(OR(J773=0,J773=1)),NOT(OR(K773=0,K773=1)),NOT(OR(L773=0,L773=1)),NOT(OR(M773=0,M773=1)),NOT(OR(U773=0,U773=1))),"Yes","No")</f>
        <v>No</v>
      </c>
      <c r="O773" s="0" t="str">
        <f aca="false">IF(OR(AND(M773=1,L773=0),AND(L773=1,K773=0),AND(K773=1,J773=0)),"Yes","No")</f>
        <v>No</v>
      </c>
      <c r="P773" s="0" t="n">
        <v>0</v>
      </c>
      <c r="Q773" s="0" t="str">
        <f aca="false">IF(OR(AND(M773=0,P773&gt;0),AND(M773=1,P773&lt;=0)),"Yes","No")</f>
        <v>No</v>
      </c>
      <c r="R773" s="0" t="str">
        <f aca="false">IF(AND(M773=1,P773&gt;calc_helpers!$B$5),"Yes","No")</f>
        <v>No</v>
      </c>
      <c r="S773" s="0" t="n">
        <v>0</v>
      </c>
      <c r="T773" s="0" t="str">
        <f aca="false">IF(S773&gt;0,"Yes","No")</f>
        <v>No</v>
      </c>
      <c r="U773" s="0" t="n">
        <v>0</v>
      </c>
      <c r="W773" s="0" t="str">
        <f aca="false">IF(OR(AND(M773=1,ISBLANK(V773)),AND(M773=0,NOT(ISBLANK(V773)))),"Yes","No")</f>
        <v>No</v>
      </c>
      <c r="X773" s="0" t="n">
        <v>47.6</v>
      </c>
      <c r="Y773" s="3" t="s">
        <v>30</v>
      </c>
      <c r="Z773" s="0" t="str">
        <f aca="false">IF(M773=1,P773,"")</f>
        <v/>
      </c>
    </row>
    <row r="774" customFormat="false" ht="15" hidden="false" customHeight="false" outlineLevel="0" collapsed="false">
      <c r="A774" s="0" t="s">
        <v>818</v>
      </c>
      <c r="B774" s="2" t="n">
        <v>45715</v>
      </c>
      <c r="C774" s="3" t="s">
        <v>736</v>
      </c>
      <c r="D774" s="3" t="s">
        <v>39</v>
      </c>
      <c r="E774" s="3" t="s">
        <v>29</v>
      </c>
      <c r="F774" s="3" t="s">
        <v>30</v>
      </c>
      <c r="G774" s="3" t="s">
        <v>40</v>
      </c>
      <c r="H774" s="3" t="s">
        <v>30</v>
      </c>
      <c r="I774" s="3" t="s">
        <v>37</v>
      </c>
      <c r="J774" s="0" t="n">
        <v>1</v>
      </c>
      <c r="K774" s="0" t="n">
        <v>0</v>
      </c>
      <c r="L774" s="0" t="n">
        <v>0</v>
      </c>
      <c r="M774" s="0" t="n">
        <v>0</v>
      </c>
      <c r="N774" s="0" t="str">
        <f aca="false">IF(OR(NOT(OR(J774=0,J774=1)),NOT(OR(K774=0,K774=1)),NOT(OR(L774=0,L774=1)),NOT(OR(M774=0,M774=1)),NOT(OR(U774=0,U774=1))),"Yes","No")</f>
        <v>No</v>
      </c>
      <c r="O774" s="0" t="str">
        <f aca="false">IF(OR(AND(M774=1,L774=0),AND(L774=1,K774=0),AND(K774=1,J774=0)),"Yes","No")</f>
        <v>No</v>
      </c>
      <c r="P774" s="0" t="n">
        <v>0</v>
      </c>
      <c r="Q774" s="0" t="str">
        <f aca="false">IF(OR(AND(M774=0,P774&gt;0),AND(M774=1,P774&lt;=0)),"Yes","No")</f>
        <v>No</v>
      </c>
      <c r="R774" s="0" t="str">
        <f aca="false">IF(AND(M774=1,P774&gt;calc_helpers!$B$5),"Yes","No")</f>
        <v>No</v>
      </c>
      <c r="S774" s="0" t="n">
        <v>0</v>
      </c>
      <c r="T774" s="0" t="str">
        <f aca="false">IF(S774&gt;0,"Yes","No")</f>
        <v>No</v>
      </c>
      <c r="U774" s="0" t="n">
        <v>0</v>
      </c>
      <c r="W774" s="0" t="str">
        <f aca="false">IF(OR(AND(M774=1,ISBLANK(V774)),AND(M774=0,NOT(ISBLANK(V774)))),"Yes","No")</f>
        <v>No</v>
      </c>
      <c r="X774" s="0" t="n">
        <v>56.7</v>
      </c>
      <c r="Y774" s="3" t="s">
        <v>30</v>
      </c>
      <c r="Z774" s="0" t="str">
        <f aca="false">IF(M774=1,P774,"")</f>
        <v/>
      </c>
    </row>
    <row r="775" customFormat="false" ht="15" hidden="false" customHeight="false" outlineLevel="0" collapsed="false">
      <c r="A775" s="0" t="s">
        <v>819</v>
      </c>
      <c r="B775" s="2" t="n">
        <v>45726</v>
      </c>
      <c r="C775" s="3" t="s">
        <v>736</v>
      </c>
      <c r="D775" s="3" t="s">
        <v>28</v>
      </c>
      <c r="E775" s="3" t="s">
        <v>29</v>
      </c>
      <c r="F775" s="3" t="s">
        <v>30</v>
      </c>
      <c r="G775" s="3" t="s">
        <v>50</v>
      </c>
      <c r="H775" s="3" t="s">
        <v>30</v>
      </c>
      <c r="I775" s="3" t="s">
        <v>32</v>
      </c>
      <c r="J775" s="0" t="n">
        <v>1</v>
      </c>
      <c r="K775" s="0" t="n">
        <v>1</v>
      </c>
      <c r="L775" s="0" t="n">
        <v>0</v>
      </c>
      <c r="M775" s="0" t="n">
        <v>0</v>
      </c>
      <c r="N775" s="0" t="str">
        <f aca="false">IF(OR(NOT(OR(J775=0,J775=1)),NOT(OR(K775=0,K775=1)),NOT(OR(L775=0,L775=1)),NOT(OR(M775=0,M775=1)),NOT(OR(U775=0,U775=1))),"Yes","No")</f>
        <v>No</v>
      </c>
      <c r="O775" s="0" t="str">
        <f aca="false">IF(OR(AND(M775=1,L775=0),AND(L775=1,K775=0),AND(K775=1,J775=0)),"Yes","No")</f>
        <v>No</v>
      </c>
      <c r="P775" s="0" t="n">
        <v>0</v>
      </c>
      <c r="Q775" s="0" t="str">
        <f aca="false">IF(OR(AND(M775=0,P775&gt;0),AND(M775=1,P775&lt;=0)),"Yes","No")</f>
        <v>No</v>
      </c>
      <c r="R775" s="0" t="str">
        <f aca="false">IF(AND(M775=1,P775&gt;calc_helpers!$B$5),"Yes","No")</f>
        <v>No</v>
      </c>
      <c r="S775" s="0" t="n">
        <v>0</v>
      </c>
      <c r="T775" s="0" t="str">
        <f aca="false">IF(S775&gt;0,"Yes","No")</f>
        <v>No</v>
      </c>
      <c r="U775" s="0" t="n">
        <v>0</v>
      </c>
      <c r="W775" s="0" t="str">
        <f aca="false">IF(OR(AND(M775=1,ISBLANK(V775)),AND(M775=0,NOT(ISBLANK(V775)))),"Yes","No")</f>
        <v>No</v>
      </c>
      <c r="X775" s="0" t="n">
        <v>71.4</v>
      </c>
      <c r="Y775" s="3" t="s">
        <v>30</v>
      </c>
      <c r="Z775" s="0" t="str">
        <f aca="false">IF(M775=1,P775,"")</f>
        <v/>
      </c>
    </row>
    <row r="776" customFormat="false" ht="15" hidden="false" customHeight="false" outlineLevel="0" collapsed="false">
      <c r="A776" s="0" t="s">
        <v>820</v>
      </c>
      <c r="B776" s="2" t="n">
        <v>45770</v>
      </c>
      <c r="C776" s="3" t="s">
        <v>736</v>
      </c>
      <c r="D776" s="3" t="s">
        <v>34</v>
      </c>
      <c r="E776" s="3" t="s">
        <v>35</v>
      </c>
      <c r="F776" s="3" t="s">
        <v>30</v>
      </c>
      <c r="G776" s="3" t="s">
        <v>52</v>
      </c>
      <c r="H776" s="3" t="s">
        <v>30</v>
      </c>
      <c r="I776" s="3" t="s">
        <v>37</v>
      </c>
      <c r="J776" s="0" t="n">
        <v>0</v>
      </c>
      <c r="K776" s="0" t="n">
        <v>0</v>
      </c>
      <c r="L776" s="0" t="n">
        <v>0</v>
      </c>
      <c r="M776" s="0" t="n">
        <v>0</v>
      </c>
      <c r="N776" s="0" t="str">
        <f aca="false">IF(OR(NOT(OR(J776=0,J776=1)),NOT(OR(K776=0,K776=1)),NOT(OR(L776=0,L776=1)),NOT(OR(M776=0,M776=1)),NOT(OR(U776=0,U776=1))),"Yes","No")</f>
        <v>No</v>
      </c>
      <c r="O776" s="0" t="str">
        <f aca="false">IF(OR(AND(M776=1,L776=0),AND(L776=1,K776=0),AND(K776=1,J776=0)),"Yes","No")</f>
        <v>No</v>
      </c>
      <c r="P776" s="0" t="n">
        <v>0</v>
      </c>
      <c r="Q776" s="0" t="str">
        <f aca="false">IF(OR(AND(M776=0,P776&gt;0),AND(M776=1,P776&lt;=0)),"Yes","No")</f>
        <v>No</v>
      </c>
      <c r="R776" s="0" t="str">
        <f aca="false">IF(AND(M776=1,P776&gt;calc_helpers!$B$5),"Yes","No")</f>
        <v>No</v>
      </c>
      <c r="S776" s="0" t="n">
        <v>2</v>
      </c>
      <c r="T776" s="0" t="str">
        <f aca="false">IF(S776&gt;0,"Yes","No")</f>
        <v>Yes</v>
      </c>
      <c r="U776" s="0" t="n">
        <v>0</v>
      </c>
      <c r="W776" s="0" t="str">
        <f aca="false">IF(OR(AND(M776=1,ISBLANK(V776)),AND(M776=0,NOT(ISBLANK(V776)))),"Yes","No")</f>
        <v>No</v>
      </c>
      <c r="X776" s="0" t="n">
        <v>60.5</v>
      </c>
      <c r="Y776" s="3" t="s">
        <v>30</v>
      </c>
      <c r="Z776" s="0" t="str">
        <f aca="false">IF(M776=1,P776,"")</f>
        <v/>
      </c>
    </row>
    <row r="777" customFormat="false" ht="15" hidden="false" customHeight="false" outlineLevel="0" collapsed="false">
      <c r="A777" s="0" t="s">
        <v>821</v>
      </c>
      <c r="B777" s="2" t="n">
        <v>45759</v>
      </c>
      <c r="C777" s="3" t="s">
        <v>736</v>
      </c>
      <c r="D777" s="3" t="s">
        <v>28</v>
      </c>
      <c r="E777" s="3" t="s">
        <v>29</v>
      </c>
      <c r="F777" s="3" t="s">
        <v>30</v>
      </c>
      <c r="G777" s="3" t="s">
        <v>40</v>
      </c>
      <c r="H777" s="3" t="s">
        <v>30</v>
      </c>
      <c r="I777" s="3" t="s">
        <v>37</v>
      </c>
      <c r="J777" s="0" t="n">
        <v>1</v>
      </c>
      <c r="K777" s="0" t="n">
        <v>0</v>
      </c>
      <c r="L777" s="0" t="n">
        <v>0</v>
      </c>
      <c r="M777" s="0" t="n">
        <v>0</v>
      </c>
      <c r="N777" s="0" t="str">
        <f aca="false">IF(OR(NOT(OR(J777=0,J777=1)),NOT(OR(K777=0,K777=1)),NOT(OR(L777=0,L777=1)),NOT(OR(M777=0,M777=1)),NOT(OR(U777=0,U777=1))),"Yes","No")</f>
        <v>No</v>
      </c>
      <c r="O777" s="0" t="str">
        <f aca="false">IF(OR(AND(M777=1,L777=0),AND(L777=1,K777=0),AND(K777=1,J777=0)),"Yes","No")</f>
        <v>No</v>
      </c>
      <c r="P777" s="0" t="n">
        <v>0</v>
      </c>
      <c r="Q777" s="0" t="str">
        <f aca="false">IF(OR(AND(M777=0,P777&gt;0),AND(M777=1,P777&lt;=0)),"Yes","No")</f>
        <v>No</v>
      </c>
      <c r="R777" s="0" t="str">
        <f aca="false">IF(AND(M777=1,P777&gt;calc_helpers!$B$5),"Yes","No")</f>
        <v>No</v>
      </c>
      <c r="S777" s="0" t="n">
        <v>0</v>
      </c>
      <c r="T777" s="0" t="str">
        <f aca="false">IF(S777&gt;0,"Yes","No")</f>
        <v>No</v>
      </c>
      <c r="U777" s="0" t="n">
        <v>0</v>
      </c>
      <c r="W777" s="0" t="str">
        <f aca="false">IF(OR(AND(M777=1,ISBLANK(V777)),AND(M777=0,NOT(ISBLANK(V777)))),"Yes","No")</f>
        <v>No</v>
      </c>
      <c r="X777" s="0" t="n">
        <v>46.7</v>
      </c>
      <c r="Y777" s="3" t="s">
        <v>30</v>
      </c>
      <c r="Z777" s="0" t="str">
        <f aca="false">IF(M777=1,P777,"")</f>
        <v/>
      </c>
    </row>
    <row r="778" customFormat="false" ht="15" hidden="false" customHeight="false" outlineLevel="0" collapsed="false">
      <c r="A778" s="0" t="s">
        <v>822</v>
      </c>
      <c r="B778" s="2" t="n">
        <v>45683</v>
      </c>
      <c r="C778" s="3" t="s">
        <v>736</v>
      </c>
      <c r="D778" s="3" t="s">
        <v>39</v>
      </c>
      <c r="E778" s="3" t="s">
        <v>29</v>
      </c>
      <c r="F778" s="3" t="s">
        <v>30</v>
      </c>
      <c r="G778" s="3" t="s">
        <v>50</v>
      </c>
      <c r="H778" s="3" t="s">
        <v>30</v>
      </c>
      <c r="I778" s="3" t="s">
        <v>37</v>
      </c>
      <c r="J778" s="0" t="n">
        <v>0</v>
      </c>
      <c r="K778" s="0" t="n">
        <v>0</v>
      </c>
      <c r="L778" s="0" t="n">
        <v>0</v>
      </c>
      <c r="M778" s="0" t="n">
        <v>0</v>
      </c>
      <c r="N778" s="0" t="str">
        <f aca="false">IF(OR(NOT(OR(J778=0,J778=1)),NOT(OR(K778=0,K778=1)),NOT(OR(L778=0,L778=1)),NOT(OR(M778=0,M778=1)),NOT(OR(U778=0,U778=1))),"Yes","No")</f>
        <v>No</v>
      </c>
      <c r="O778" s="0" t="str">
        <f aca="false">IF(OR(AND(M778=1,L778=0),AND(L778=1,K778=0),AND(K778=1,J778=0)),"Yes","No")</f>
        <v>No</v>
      </c>
      <c r="P778" s="0" t="n">
        <v>0</v>
      </c>
      <c r="Q778" s="0" t="str">
        <f aca="false">IF(OR(AND(M778=0,P778&gt;0),AND(M778=1,P778&lt;=0)),"Yes","No")</f>
        <v>No</v>
      </c>
      <c r="R778" s="0" t="str">
        <f aca="false">IF(AND(M778=1,P778&gt;calc_helpers!$B$5),"Yes","No")</f>
        <v>No</v>
      </c>
      <c r="S778" s="0" t="n">
        <v>0</v>
      </c>
      <c r="T778" s="0" t="str">
        <f aca="false">IF(S778&gt;0,"Yes","No")</f>
        <v>No</v>
      </c>
      <c r="U778" s="0" t="n">
        <v>0</v>
      </c>
      <c r="W778" s="0" t="str">
        <f aca="false">IF(OR(AND(M778=1,ISBLANK(V778)),AND(M778=0,NOT(ISBLANK(V778)))),"Yes","No")</f>
        <v>No</v>
      </c>
      <c r="X778" s="0" t="n">
        <v>61</v>
      </c>
      <c r="Y778" s="3" t="s">
        <v>30</v>
      </c>
      <c r="Z778" s="0" t="str">
        <f aca="false">IF(M778=1,P778,"")</f>
        <v/>
      </c>
    </row>
    <row r="779" customFormat="false" ht="15" hidden="false" customHeight="false" outlineLevel="0" collapsed="false">
      <c r="A779" s="0" t="s">
        <v>823</v>
      </c>
      <c r="B779" s="2" t="n">
        <v>45801</v>
      </c>
      <c r="C779" s="3" t="s">
        <v>736</v>
      </c>
      <c r="D779" s="3" t="s">
        <v>34</v>
      </c>
      <c r="E779" s="3" t="s">
        <v>45</v>
      </c>
      <c r="F779" s="3" t="s">
        <v>30</v>
      </c>
      <c r="G779" s="3" t="s">
        <v>40</v>
      </c>
      <c r="H779" s="3" t="s">
        <v>30</v>
      </c>
      <c r="I779" s="3" t="s">
        <v>37</v>
      </c>
      <c r="J779" s="0" t="n">
        <v>0</v>
      </c>
      <c r="K779" s="0" t="n">
        <v>0</v>
      </c>
      <c r="L779" s="0" t="n">
        <v>0</v>
      </c>
      <c r="M779" s="0" t="n">
        <v>0</v>
      </c>
      <c r="N779" s="0" t="str">
        <f aca="false">IF(OR(NOT(OR(J779=0,J779=1)),NOT(OR(K779=0,K779=1)),NOT(OR(L779=0,L779=1)),NOT(OR(M779=0,M779=1)),NOT(OR(U779=0,U779=1))),"Yes","No")</f>
        <v>No</v>
      </c>
      <c r="O779" s="0" t="str">
        <f aca="false">IF(OR(AND(M779=1,L779=0),AND(L779=1,K779=0),AND(K779=1,J779=0)),"Yes","No")</f>
        <v>No</v>
      </c>
      <c r="P779" s="0" t="n">
        <v>0</v>
      </c>
      <c r="Q779" s="0" t="str">
        <f aca="false">IF(OR(AND(M779=0,P779&gt;0),AND(M779=1,P779&lt;=0)),"Yes","No")</f>
        <v>No</v>
      </c>
      <c r="R779" s="0" t="str">
        <f aca="false">IF(AND(M779=1,P779&gt;calc_helpers!$B$5),"Yes","No")</f>
        <v>No</v>
      </c>
      <c r="S779" s="0" t="n">
        <v>0</v>
      </c>
      <c r="T779" s="0" t="str">
        <f aca="false">IF(S779&gt;0,"Yes","No")</f>
        <v>No</v>
      </c>
      <c r="U779" s="0" t="n">
        <v>0</v>
      </c>
      <c r="W779" s="0" t="str">
        <f aca="false">IF(OR(AND(M779=1,ISBLANK(V779)),AND(M779=0,NOT(ISBLANK(V779)))),"Yes","No")</f>
        <v>No</v>
      </c>
      <c r="X779" s="0" t="n">
        <v>60.9</v>
      </c>
      <c r="Y779" s="3" t="s">
        <v>30</v>
      </c>
      <c r="Z779" s="0" t="str">
        <f aca="false">IF(M779=1,P779,"")</f>
        <v/>
      </c>
    </row>
    <row r="780" customFormat="false" ht="15" hidden="false" customHeight="false" outlineLevel="0" collapsed="false">
      <c r="A780" s="0" t="s">
        <v>824</v>
      </c>
      <c r="B780" s="2" t="n">
        <v>45665</v>
      </c>
      <c r="C780" s="3" t="s">
        <v>736</v>
      </c>
      <c r="D780" s="3" t="s">
        <v>43</v>
      </c>
      <c r="E780" s="3" t="s">
        <v>35</v>
      </c>
      <c r="F780" s="3" t="s">
        <v>30</v>
      </c>
      <c r="G780" s="3" t="s">
        <v>36</v>
      </c>
      <c r="H780" s="3" t="s">
        <v>30</v>
      </c>
      <c r="I780" s="3" t="s">
        <v>37</v>
      </c>
      <c r="J780" s="0" t="n">
        <v>1</v>
      </c>
      <c r="K780" s="0" t="n">
        <v>0</v>
      </c>
      <c r="L780" s="0" t="n">
        <v>0</v>
      </c>
      <c r="M780" s="0" t="n">
        <v>0</v>
      </c>
      <c r="N780" s="0" t="str">
        <f aca="false">IF(OR(NOT(OR(J780=0,J780=1)),NOT(OR(K780=0,K780=1)),NOT(OR(L780=0,L780=1)),NOT(OR(M780=0,M780=1)),NOT(OR(U780=0,U780=1))),"Yes","No")</f>
        <v>No</v>
      </c>
      <c r="O780" s="0" t="str">
        <f aca="false">IF(OR(AND(M780=1,L780=0),AND(L780=1,K780=0),AND(K780=1,J780=0)),"Yes","No")</f>
        <v>No</v>
      </c>
      <c r="P780" s="0" t="n">
        <v>0</v>
      </c>
      <c r="Q780" s="0" t="str">
        <f aca="false">IF(OR(AND(M780=0,P780&gt;0),AND(M780=1,P780&lt;=0)),"Yes","No")</f>
        <v>No</v>
      </c>
      <c r="R780" s="0" t="str">
        <f aca="false">IF(AND(M780=1,P780&gt;calc_helpers!$B$5),"Yes","No")</f>
        <v>No</v>
      </c>
      <c r="S780" s="0" t="n">
        <v>0</v>
      </c>
      <c r="T780" s="0" t="str">
        <f aca="false">IF(S780&gt;0,"Yes","No")</f>
        <v>No</v>
      </c>
      <c r="U780" s="0" t="n">
        <v>0</v>
      </c>
      <c r="W780" s="0" t="str">
        <f aca="false">IF(OR(AND(M780=1,ISBLANK(V780)),AND(M780=0,NOT(ISBLANK(V780)))),"Yes","No")</f>
        <v>No</v>
      </c>
      <c r="X780" s="0" t="n">
        <v>67.1</v>
      </c>
      <c r="Y780" s="3" t="s">
        <v>30</v>
      </c>
      <c r="Z780" s="0" t="str">
        <f aca="false">IF(M780=1,P780,"")</f>
        <v/>
      </c>
    </row>
    <row r="781" customFormat="false" ht="15" hidden="false" customHeight="false" outlineLevel="0" collapsed="false">
      <c r="A781" s="0" t="s">
        <v>825</v>
      </c>
      <c r="B781" s="2" t="n">
        <v>45762</v>
      </c>
      <c r="C781" s="3" t="s">
        <v>736</v>
      </c>
      <c r="D781" s="3" t="s">
        <v>28</v>
      </c>
      <c r="E781" s="3" t="s">
        <v>35</v>
      </c>
      <c r="F781" s="3" t="s">
        <v>30</v>
      </c>
      <c r="G781" s="3" t="s">
        <v>50</v>
      </c>
      <c r="H781" s="3" t="s">
        <v>30</v>
      </c>
      <c r="I781" s="3" t="s">
        <v>37</v>
      </c>
      <c r="J781" s="0" t="n">
        <v>1</v>
      </c>
      <c r="K781" s="0" t="n">
        <v>1</v>
      </c>
      <c r="L781" s="0" t="n">
        <v>0</v>
      </c>
      <c r="M781" s="0" t="n">
        <v>0</v>
      </c>
      <c r="N781" s="0" t="str">
        <f aca="false">IF(OR(NOT(OR(J781=0,J781=1)),NOT(OR(K781=0,K781=1)),NOT(OR(L781=0,L781=1)),NOT(OR(M781=0,M781=1)),NOT(OR(U781=0,U781=1))),"Yes","No")</f>
        <v>No</v>
      </c>
      <c r="O781" s="0" t="str">
        <f aca="false">IF(OR(AND(M781=1,L781=0),AND(L781=1,K781=0),AND(K781=1,J781=0)),"Yes","No")</f>
        <v>No</v>
      </c>
      <c r="P781" s="0" t="n">
        <v>0</v>
      </c>
      <c r="Q781" s="0" t="str">
        <f aca="false">IF(OR(AND(M781=0,P781&gt;0),AND(M781=1,P781&lt;=0)),"Yes","No")</f>
        <v>No</v>
      </c>
      <c r="R781" s="0" t="str">
        <f aca="false">IF(AND(M781=1,P781&gt;calc_helpers!$B$5),"Yes","No")</f>
        <v>No</v>
      </c>
      <c r="S781" s="0" t="n">
        <v>0</v>
      </c>
      <c r="T781" s="0" t="str">
        <f aca="false">IF(S781&gt;0,"Yes","No")</f>
        <v>No</v>
      </c>
      <c r="U781" s="0" t="n">
        <v>0</v>
      </c>
      <c r="W781" s="0" t="str">
        <f aca="false">IF(OR(AND(M781=1,ISBLANK(V781)),AND(M781=0,NOT(ISBLANK(V781)))),"Yes","No")</f>
        <v>No</v>
      </c>
      <c r="X781" s="0" t="n">
        <v>59.6</v>
      </c>
      <c r="Y781" s="3" t="s">
        <v>30</v>
      </c>
      <c r="Z781" s="0" t="str">
        <f aca="false">IF(M781=1,P781,"")</f>
        <v/>
      </c>
    </row>
    <row r="782" customFormat="false" ht="15" hidden="false" customHeight="false" outlineLevel="0" collapsed="false">
      <c r="A782" s="0" t="s">
        <v>826</v>
      </c>
      <c r="B782" s="2" t="n">
        <v>45672</v>
      </c>
      <c r="C782" s="3" t="s">
        <v>736</v>
      </c>
      <c r="D782" s="3" t="s">
        <v>43</v>
      </c>
      <c r="E782" s="3" t="s">
        <v>29</v>
      </c>
      <c r="F782" s="3" t="s">
        <v>30</v>
      </c>
      <c r="G782" s="3" t="s">
        <v>40</v>
      </c>
      <c r="H782" s="3" t="s">
        <v>30</v>
      </c>
      <c r="I782" s="3" t="s">
        <v>37</v>
      </c>
      <c r="J782" s="0" t="n">
        <v>1</v>
      </c>
      <c r="K782" s="0" t="n">
        <v>0</v>
      </c>
      <c r="L782" s="0" t="n">
        <v>0</v>
      </c>
      <c r="M782" s="0" t="n">
        <v>0</v>
      </c>
      <c r="N782" s="0" t="str">
        <f aca="false">IF(OR(NOT(OR(J782=0,J782=1)),NOT(OR(K782=0,K782=1)),NOT(OR(L782=0,L782=1)),NOT(OR(M782=0,M782=1)),NOT(OR(U782=0,U782=1))),"Yes","No")</f>
        <v>No</v>
      </c>
      <c r="O782" s="0" t="str">
        <f aca="false">IF(OR(AND(M782=1,L782=0),AND(L782=1,K782=0),AND(K782=1,J782=0)),"Yes","No")</f>
        <v>No</v>
      </c>
      <c r="P782" s="0" t="n">
        <v>0</v>
      </c>
      <c r="Q782" s="0" t="str">
        <f aca="false">IF(OR(AND(M782=0,P782&gt;0),AND(M782=1,P782&lt;=0)),"Yes","No")</f>
        <v>No</v>
      </c>
      <c r="R782" s="0" t="str">
        <f aca="false">IF(AND(M782=1,P782&gt;calc_helpers!$B$5),"Yes","No")</f>
        <v>No</v>
      </c>
      <c r="S782" s="0" t="n">
        <v>0</v>
      </c>
      <c r="T782" s="0" t="str">
        <f aca="false">IF(S782&gt;0,"Yes","No")</f>
        <v>No</v>
      </c>
      <c r="U782" s="0" t="n">
        <v>0</v>
      </c>
      <c r="W782" s="0" t="str">
        <f aca="false">IF(OR(AND(M782=1,ISBLANK(V782)),AND(M782=0,NOT(ISBLANK(V782)))),"Yes","No")</f>
        <v>No</v>
      </c>
      <c r="X782" s="0" t="n">
        <v>83.8</v>
      </c>
      <c r="Y782" s="3" t="s">
        <v>30</v>
      </c>
      <c r="Z782" s="0" t="str">
        <f aca="false">IF(M782=1,P782,"")</f>
        <v/>
      </c>
    </row>
    <row r="783" customFormat="false" ht="15" hidden="false" customHeight="false" outlineLevel="0" collapsed="false">
      <c r="A783" s="0" t="s">
        <v>827</v>
      </c>
      <c r="B783" s="2" t="n">
        <v>45716</v>
      </c>
      <c r="C783" s="3" t="s">
        <v>736</v>
      </c>
      <c r="D783" s="3" t="s">
        <v>28</v>
      </c>
      <c r="E783" s="3" t="s">
        <v>35</v>
      </c>
      <c r="F783" s="3" t="s">
        <v>30</v>
      </c>
      <c r="G783" s="3" t="s">
        <v>36</v>
      </c>
      <c r="H783" s="3" t="s">
        <v>30</v>
      </c>
      <c r="I783" s="3" t="s">
        <v>32</v>
      </c>
      <c r="J783" s="0" t="n">
        <v>1</v>
      </c>
      <c r="K783" s="0" t="n">
        <v>1</v>
      </c>
      <c r="L783" s="0" t="n">
        <v>1</v>
      </c>
      <c r="M783" s="0" t="n">
        <v>0</v>
      </c>
      <c r="N783" s="0" t="str">
        <f aca="false">IF(OR(NOT(OR(J783=0,J783=1)),NOT(OR(K783=0,K783=1)),NOT(OR(L783=0,L783=1)),NOT(OR(M783=0,M783=1)),NOT(OR(U783=0,U783=1))),"Yes","No")</f>
        <v>No</v>
      </c>
      <c r="O783" s="0" t="str">
        <f aca="false">IF(OR(AND(M783=1,L783=0),AND(L783=1,K783=0),AND(K783=1,J783=0)),"Yes","No")</f>
        <v>No</v>
      </c>
      <c r="P783" s="0" t="n">
        <v>0</v>
      </c>
      <c r="Q783" s="0" t="str">
        <f aca="false">IF(OR(AND(M783=0,P783&gt;0),AND(M783=1,P783&lt;=0)),"Yes","No")</f>
        <v>No</v>
      </c>
      <c r="R783" s="0" t="str">
        <f aca="false">IF(AND(M783=1,P783&gt;calc_helpers!$B$5),"Yes","No")</f>
        <v>No</v>
      </c>
      <c r="S783" s="0" t="n">
        <v>0</v>
      </c>
      <c r="T783" s="0" t="str">
        <f aca="false">IF(S783&gt;0,"Yes","No")</f>
        <v>No</v>
      </c>
      <c r="U783" s="0" t="n">
        <v>0</v>
      </c>
      <c r="W783" s="0" t="str">
        <f aca="false">IF(OR(AND(M783=1,ISBLANK(V783)),AND(M783=0,NOT(ISBLANK(V783)))),"Yes","No")</f>
        <v>No</v>
      </c>
      <c r="X783" s="0" t="n">
        <v>70.8</v>
      </c>
      <c r="Y783" s="3" t="s">
        <v>30</v>
      </c>
      <c r="Z783" s="0" t="str">
        <f aca="false">IF(M783=1,P783,"")</f>
        <v/>
      </c>
    </row>
    <row r="784" customFormat="false" ht="15" hidden="false" customHeight="false" outlineLevel="0" collapsed="false">
      <c r="A784" s="0" t="s">
        <v>828</v>
      </c>
      <c r="B784" s="2" t="n">
        <v>45658</v>
      </c>
      <c r="C784" s="3" t="s">
        <v>736</v>
      </c>
      <c r="D784" s="3" t="s">
        <v>28</v>
      </c>
      <c r="E784" s="3" t="s">
        <v>45</v>
      </c>
      <c r="F784" s="3" t="s">
        <v>30</v>
      </c>
      <c r="G784" s="3" t="s">
        <v>36</v>
      </c>
      <c r="H784" s="3" t="s">
        <v>30</v>
      </c>
      <c r="I784" s="3" t="s">
        <v>32</v>
      </c>
      <c r="J784" s="0" t="n">
        <v>0</v>
      </c>
      <c r="K784" s="0" t="n">
        <v>0</v>
      </c>
      <c r="L784" s="0" t="n">
        <v>0</v>
      </c>
      <c r="M784" s="0" t="n">
        <v>0</v>
      </c>
      <c r="N784" s="0" t="str">
        <f aca="false">IF(OR(NOT(OR(J784=0,J784=1)),NOT(OR(K784=0,K784=1)),NOT(OR(L784=0,L784=1)),NOT(OR(M784=0,M784=1)),NOT(OR(U784=0,U784=1))),"Yes","No")</f>
        <v>No</v>
      </c>
      <c r="O784" s="0" t="str">
        <f aca="false">IF(OR(AND(M784=1,L784=0),AND(L784=1,K784=0),AND(K784=1,J784=0)),"Yes","No")</f>
        <v>No</v>
      </c>
      <c r="P784" s="0" t="n">
        <v>0</v>
      </c>
      <c r="Q784" s="0" t="str">
        <f aca="false">IF(OR(AND(M784=0,P784&gt;0),AND(M784=1,P784&lt;=0)),"Yes","No")</f>
        <v>No</v>
      </c>
      <c r="R784" s="0" t="str">
        <f aca="false">IF(AND(M784=1,P784&gt;calc_helpers!$B$5),"Yes","No")</f>
        <v>No</v>
      </c>
      <c r="S784" s="0" t="n">
        <v>0</v>
      </c>
      <c r="T784" s="0" t="str">
        <f aca="false">IF(S784&gt;0,"Yes","No")</f>
        <v>No</v>
      </c>
      <c r="U784" s="0" t="n">
        <v>0</v>
      </c>
      <c r="W784" s="0" t="str">
        <f aca="false">IF(OR(AND(M784=1,ISBLANK(V784)),AND(M784=0,NOT(ISBLANK(V784)))),"Yes","No")</f>
        <v>No</v>
      </c>
      <c r="X784" s="0" t="n">
        <v>65.9</v>
      </c>
      <c r="Y784" s="3" t="s">
        <v>30</v>
      </c>
      <c r="Z784" s="0" t="str">
        <f aca="false">IF(M784=1,P784,"")</f>
        <v/>
      </c>
    </row>
    <row r="785" customFormat="false" ht="15" hidden="false" customHeight="false" outlineLevel="0" collapsed="false">
      <c r="A785" s="0" t="s">
        <v>829</v>
      </c>
      <c r="B785" s="2" t="n">
        <v>45764</v>
      </c>
      <c r="C785" s="3" t="s">
        <v>736</v>
      </c>
      <c r="D785" s="3" t="s">
        <v>34</v>
      </c>
      <c r="E785" s="3" t="s">
        <v>35</v>
      </c>
      <c r="F785" s="3" t="s">
        <v>30</v>
      </c>
      <c r="G785" s="3" t="s">
        <v>50</v>
      </c>
      <c r="H785" s="3" t="s">
        <v>30</v>
      </c>
      <c r="I785" s="3" t="s">
        <v>37</v>
      </c>
      <c r="J785" s="0" t="n">
        <v>1</v>
      </c>
      <c r="K785" s="0" t="n">
        <v>0</v>
      </c>
      <c r="L785" s="0" t="n">
        <v>0</v>
      </c>
      <c r="M785" s="0" t="n">
        <v>0</v>
      </c>
      <c r="N785" s="0" t="str">
        <f aca="false">IF(OR(NOT(OR(J785=0,J785=1)),NOT(OR(K785=0,K785=1)),NOT(OR(L785=0,L785=1)),NOT(OR(M785=0,M785=1)),NOT(OR(U785=0,U785=1))),"Yes","No")</f>
        <v>No</v>
      </c>
      <c r="O785" s="0" t="str">
        <f aca="false">IF(OR(AND(M785=1,L785=0),AND(L785=1,K785=0),AND(K785=1,J785=0)),"Yes","No")</f>
        <v>No</v>
      </c>
      <c r="P785" s="0" t="n">
        <v>0</v>
      </c>
      <c r="Q785" s="0" t="str">
        <f aca="false">IF(OR(AND(M785=0,P785&gt;0),AND(M785=1,P785&lt;=0)),"Yes","No")</f>
        <v>No</v>
      </c>
      <c r="R785" s="0" t="str">
        <f aca="false">IF(AND(M785=1,P785&gt;calc_helpers!$B$5),"Yes","No")</f>
        <v>No</v>
      </c>
      <c r="S785" s="0" t="n">
        <v>0</v>
      </c>
      <c r="T785" s="0" t="str">
        <f aca="false">IF(S785&gt;0,"Yes","No")</f>
        <v>No</v>
      </c>
      <c r="U785" s="0" t="n">
        <v>0</v>
      </c>
      <c r="W785" s="0" t="str">
        <f aca="false">IF(OR(AND(M785=1,ISBLANK(V785)),AND(M785=0,NOT(ISBLANK(V785)))),"Yes","No")</f>
        <v>No</v>
      </c>
      <c r="X785" s="0" t="n">
        <v>58</v>
      </c>
      <c r="Y785" s="3" t="s">
        <v>30</v>
      </c>
      <c r="Z785" s="0" t="str">
        <f aca="false">IF(M785=1,P785,"")</f>
        <v/>
      </c>
    </row>
    <row r="786" customFormat="false" ht="15" hidden="false" customHeight="false" outlineLevel="0" collapsed="false">
      <c r="A786" s="0" t="s">
        <v>830</v>
      </c>
      <c r="B786" s="2" t="n">
        <v>45707</v>
      </c>
      <c r="C786" s="3" t="s">
        <v>736</v>
      </c>
      <c r="D786" s="3" t="s">
        <v>28</v>
      </c>
      <c r="E786" s="3" t="s">
        <v>35</v>
      </c>
      <c r="F786" s="3" t="s">
        <v>30</v>
      </c>
      <c r="G786" s="3" t="s">
        <v>31</v>
      </c>
      <c r="H786" s="3" t="s">
        <v>30</v>
      </c>
      <c r="I786" s="3" t="s">
        <v>32</v>
      </c>
      <c r="J786" s="0" t="n">
        <v>1</v>
      </c>
      <c r="K786" s="0" t="n">
        <v>1</v>
      </c>
      <c r="L786" s="0" t="n">
        <v>0</v>
      </c>
      <c r="M786" s="0" t="n">
        <v>0</v>
      </c>
      <c r="N786" s="0" t="str">
        <f aca="false">IF(OR(NOT(OR(J786=0,J786=1)),NOT(OR(K786=0,K786=1)),NOT(OR(L786=0,L786=1)),NOT(OR(M786=0,M786=1)),NOT(OR(U786=0,U786=1))),"Yes","No")</f>
        <v>No</v>
      </c>
      <c r="O786" s="0" t="str">
        <f aca="false">IF(OR(AND(M786=1,L786=0),AND(L786=1,K786=0),AND(K786=1,J786=0)),"Yes","No")</f>
        <v>No</v>
      </c>
      <c r="P786" s="0" t="n">
        <v>0</v>
      </c>
      <c r="Q786" s="0" t="str">
        <f aca="false">IF(OR(AND(M786=0,P786&gt;0),AND(M786=1,P786&lt;=0)),"Yes","No")</f>
        <v>No</v>
      </c>
      <c r="R786" s="0" t="str">
        <f aca="false">IF(AND(M786=1,P786&gt;calc_helpers!$B$5),"Yes","No")</f>
        <v>No</v>
      </c>
      <c r="S786" s="0" t="n">
        <v>0</v>
      </c>
      <c r="T786" s="0" t="str">
        <f aca="false">IF(S786&gt;0,"Yes","No")</f>
        <v>No</v>
      </c>
      <c r="U786" s="0" t="n">
        <v>0</v>
      </c>
      <c r="W786" s="0" t="str">
        <f aca="false">IF(OR(AND(M786=1,ISBLANK(V786)),AND(M786=0,NOT(ISBLANK(V786)))),"Yes","No")</f>
        <v>No</v>
      </c>
      <c r="X786" s="0" t="n">
        <v>80.3</v>
      </c>
      <c r="Y786" s="3" t="s">
        <v>30</v>
      </c>
      <c r="Z786" s="0" t="str">
        <f aca="false">IF(M786=1,P786,"")</f>
        <v/>
      </c>
    </row>
    <row r="787" customFormat="false" ht="15" hidden="false" customHeight="false" outlineLevel="0" collapsed="false">
      <c r="A787" s="0" t="s">
        <v>831</v>
      </c>
      <c r="B787" s="2" t="n">
        <v>45730</v>
      </c>
      <c r="C787" s="3" t="s">
        <v>736</v>
      </c>
      <c r="D787" s="3" t="s">
        <v>28</v>
      </c>
      <c r="E787" s="3" t="s">
        <v>29</v>
      </c>
      <c r="F787" s="3" t="s">
        <v>30</v>
      </c>
      <c r="G787" s="3" t="s">
        <v>36</v>
      </c>
      <c r="H787" s="3" t="s">
        <v>30</v>
      </c>
      <c r="I787" s="3" t="s">
        <v>37</v>
      </c>
      <c r="J787" s="0" t="n">
        <v>1</v>
      </c>
      <c r="K787" s="0" t="n">
        <v>0</v>
      </c>
      <c r="L787" s="0" t="n">
        <v>0</v>
      </c>
      <c r="M787" s="0" t="n">
        <v>0</v>
      </c>
      <c r="N787" s="0" t="str">
        <f aca="false">IF(OR(NOT(OR(J787=0,J787=1)),NOT(OR(K787=0,K787=1)),NOT(OR(L787=0,L787=1)),NOT(OR(M787=0,M787=1)),NOT(OR(U787=0,U787=1))),"Yes","No")</f>
        <v>No</v>
      </c>
      <c r="O787" s="0" t="str">
        <f aca="false">IF(OR(AND(M787=1,L787=0),AND(L787=1,K787=0),AND(K787=1,J787=0)),"Yes","No")</f>
        <v>No</v>
      </c>
      <c r="P787" s="0" t="n">
        <v>0</v>
      </c>
      <c r="Q787" s="0" t="str">
        <f aca="false">IF(OR(AND(M787=0,P787&gt;0),AND(M787=1,P787&lt;=0)),"Yes","No")</f>
        <v>No</v>
      </c>
      <c r="R787" s="0" t="str">
        <f aca="false">IF(AND(M787=1,P787&gt;calc_helpers!$B$5),"Yes","No")</f>
        <v>No</v>
      </c>
      <c r="S787" s="0" t="n">
        <v>0</v>
      </c>
      <c r="T787" s="0" t="str">
        <f aca="false">IF(S787&gt;0,"Yes","No")</f>
        <v>No</v>
      </c>
      <c r="U787" s="0" t="n">
        <v>0</v>
      </c>
      <c r="W787" s="0" t="str">
        <f aca="false">IF(OR(AND(M787=1,ISBLANK(V787)),AND(M787=0,NOT(ISBLANK(V787)))),"Yes","No")</f>
        <v>No</v>
      </c>
      <c r="X787" s="0" t="n">
        <v>55.7</v>
      </c>
      <c r="Y787" s="3" t="s">
        <v>30</v>
      </c>
      <c r="Z787" s="0" t="str">
        <f aca="false">IF(M787=1,P787,"")</f>
        <v/>
      </c>
    </row>
    <row r="788" customFormat="false" ht="15" hidden="false" customHeight="false" outlineLevel="0" collapsed="false">
      <c r="A788" s="0" t="s">
        <v>832</v>
      </c>
      <c r="B788" s="2" t="n">
        <v>45768</v>
      </c>
      <c r="C788" s="3" t="s">
        <v>736</v>
      </c>
      <c r="D788" s="3" t="s">
        <v>28</v>
      </c>
      <c r="E788" s="3" t="s">
        <v>35</v>
      </c>
      <c r="F788" s="3" t="s">
        <v>30</v>
      </c>
      <c r="G788" s="3" t="s">
        <v>36</v>
      </c>
      <c r="H788" s="3" t="s">
        <v>30</v>
      </c>
      <c r="I788" s="3" t="s">
        <v>37</v>
      </c>
      <c r="J788" s="0" t="n">
        <v>1</v>
      </c>
      <c r="K788" s="0" t="n">
        <v>1</v>
      </c>
      <c r="L788" s="0" t="n">
        <v>0</v>
      </c>
      <c r="M788" s="0" t="n">
        <v>0</v>
      </c>
      <c r="N788" s="0" t="str">
        <f aca="false">IF(OR(NOT(OR(J788=0,J788=1)),NOT(OR(K788=0,K788=1)),NOT(OR(L788=0,L788=1)),NOT(OR(M788=0,M788=1)),NOT(OR(U788=0,U788=1))),"Yes","No")</f>
        <v>No</v>
      </c>
      <c r="O788" s="0" t="str">
        <f aca="false">IF(OR(AND(M788=1,L788=0),AND(L788=1,K788=0),AND(K788=1,J788=0)),"Yes","No")</f>
        <v>No</v>
      </c>
      <c r="P788" s="0" t="n">
        <v>0</v>
      </c>
      <c r="Q788" s="0" t="str">
        <f aca="false">IF(OR(AND(M788=0,P788&gt;0),AND(M788=1,P788&lt;=0)),"Yes","No")</f>
        <v>No</v>
      </c>
      <c r="R788" s="0" t="str">
        <f aca="false">IF(AND(M788=1,P788&gt;calc_helpers!$B$5),"Yes","No")</f>
        <v>No</v>
      </c>
      <c r="S788" s="0" t="n">
        <v>0</v>
      </c>
      <c r="T788" s="0" t="str">
        <f aca="false">IF(S788&gt;0,"Yes","No")</f>
        <v>No</v>
      </c>
      <c r="U788" s="0" t="n">
        <v>0</v>
      </c>
      <c r="W788" s="0" t="str">
        <f aca="false">IF(OR(AND(M788=1,ISBLANK(V788)),AND(M788=0,NOT(ISBLANK(V788)))),"Yes","No")</f>
        <v>No</v>
      </c>
      <c r="X788" s="0" t="n">
        <v>84.9</v>
      </c>
      <c r="Y788" s="3" t="s">
        <v>30</v>
      </c>
      <c r="Z788" s="0" t="str">
        <f aca="false">IF(M788=1,P788,"")</f>
        <v/>
      </c>
    </row>
    <row r="789" customFormat="false" ht="15" hidden="false" customHeight="false" outlineLevel="0" collapsed="false">
      <c r="A789" s="0" t="s">
        <v>833</v>
      </c>
      <c r="B789" s="2" t="n">
        <v>45702</v>
      </c>
      <c r="C789" s="3" t="s">
        <v>736</v>
      </c>
      <c r="D789" s="3" t="s">
        <v>28</v>
      </c>
      <c r="E789" s="3" t="s">
        <v>35</v>
      </c>
      <c r="F789" s="3" t="s">
        <v>30</v>
      </c>
      <c r="G789" s="3" t="s">
        <v>36</v>
      </c>
      <c r="H789" s="3" t="s">
        <v>30</v>
      </c>
      <c r="I789" s="3" t="s">
        <v>37</v>
      </c>
      <c r="J789" s="0" t="n">
        <v>1</v>
      </c>
      <c r="K789" s="0" t="n">
        <v>0</v>
      </c>
      <c r="L789" s="0" t="n">
        <v>0</v>
      </c>
      <c r="M789" s="0" t="n">
        <v>0</v>
      </c>
      <c r="N789" s="0" t="str">
        <f aca="false">IF(OR(NOT(OR(J789=0,J789=1)),NOT(OR(K789=0,K789=1)),NOT(OR(L789=0,L789=1)),NOT(OR(M789=0,M789=1)),NOT(OR(U789=0,U789=1))),"Yes","No")</f>
        <v>No</v>
      </c>
      <c r="O789" s="0" t="str">
        <f aca="false">IF(OR(AND(M789=1,L789=0),AND(L789=1,K789=0),AND(K789=1,J789=0)),"Yes","No")</f>
        <v>No</v>
      </c>
      <c r="P789" s="0" t="n">
        <v>0</v>
      </c>
      <c r="Q789" s="0" t="str">
        <f aca="false">IF(OR(AND(M789=0,P789&gt;0),AND(M789=1,P789&lt;=0)),"Yes","No")</f>
        <v>No</v>
      </c>
      <c r="R789" s="0" t="str">
        <f aca="false">IF(AND(M789=1,P789&gt;calc_helpers!$B$5),"Yes","No")</f>
        <v>No</v>
      </c>
      <c r="S789" s="0" t="n">
        <v>0</v>
      </c>
      <c r="T789" s="0" t="str">
        <f aca="false">IF(S789&gt;0,"Yes","No")</f>
        <v>No</v>
      </c>
      <c r="U789" s="0" t="n">
        <v>0</v>
      </c>
      <c r="W789" s="0" t="str">
        <f aca="false">IF(OR(AND(M789=1,ISBLANK(V789)),AND(M789=0,NOT(ISBLANK(V789)))),"Yes","No")</f>
        <v>No</v>
      </c>
      <c r="X789" s="0" t="n">
        <v>63.3</v>
      </c>
      <c r="Y789" s="3" t="s">
        <v>30</v>
      </c>
      <c r="Z789" s="0" t="str">
        <f aca="false">IF(M789=1,P789,"")</f>
        <v/>
      </c>
    </row>
    <row r="790" customFormat="false" ht="15" hidden="false" customHeight="false" outlineLevel="0" collapsed="false">
      <c r="A790" s="0" t="s">
        <v>834</v>
      </c>
      <c r="B790" s="2" t="n">
        <v>45807</v>
      </c>
      <c r="C790" s="3" t="s">
        <v>736</v>
      </c>
      <c r="D790" s="3" t="s">
        <v>34</v>
      </c>
      <c r="E790" s="3" t="s">
        <v>35</v>
      </c>
      <c r="F790" s="3" t="s">
        <v>30</v>
      </c>
      <c r="G790" s="3" t="s">
        <v>36</v>
      </c>
      <c r="H790" s="3" t="s">
        <v>30</v>
      </c>
      <c r="I790" s="3" t="s">
        <v>37</v>
      </c>
      <c r="J790" s="0" t="n">
        <v>0</v>
      </c>
      <c r="K790" s="0" t="n">
        <v>0</v>
      </c>
      <c r="L790" s="0" t="n">
        <v>0</v>
      </c>
      <c r="M790" s="0" t="n">
        <v>0</v>
      </c>
      <c r="N790" s="0" t="str">
        <f aca="false">IF(OR(NOT(OR(J790=0,J790=1)),NOT(OR(K790=0,K790=1)),NOT(OR(L790=0,L790=1)),NOT(OR(M790=0,M790=1)),NOT(OR(U790=0,U790=1))),"Yes","No")</f>
        <v>No</v>
      </c>
      <c r="O790" s="0" t="str">
        <f aca="false">IF(OR(AND(M790=1,L790=0),AND(L790=1,K790=0),AND(K790=1,J790=0)),"Yes","No")</f>
        <v>No</v>
      </c>
      <c r="P790" s="0" t="n">
        <v>0</v>
      </c>
      <c r="Q790" s="0" t="str">
        <f aca="false">IF(OR(AND(M790=0,P790&gt;0),AND(M790=1,P790&lt;=0)),"Yes","No")</f>
        <v>No</v>
      </c>
      <c r="R790" s="0" t="str">
        <f aca="false">IF(AND(M790=1,P790&gt;calc_helpers!$B$5),"Yes","No")</f>
        <v>No</v>
      </c>
      <c r="S790" s="0" t="n">
        <v>0</v>
      </c>
      <c r="T790" s="0" t="str">
        <f aca="false">IF(S790&gt;0,"Yes","No")</f>
        <v>No</v>
      </c>
      <c r="U790" s="0" t="n">
        <v>0</v>
      </c>
      <c r="W790" s="0" t="str">
        <f aca="false">IF(OR(AND(M790=1,ISBLANK(V790)),AND(M790=0,NOT(ISBLANK(V790)))),"Yes","No")</f>
        <v>No</v>
      </c>
      <c r="X790" s="0" t="n">
        <v>53.1</v>
      </c>
      <c r="Y790" s="3" t="s">
        <v>30</v>
      </c>
      <c r="Z790" s="0" t="str">
        <f aca="false">IF(M790=1,P790,"")</f>
        <v/>
      </c>
    </row>
    <row r="791" customFormat="false" ht="15" hidden="false" customHeight="false" outlineLevel="0" collapsed="false">
      <c r="A791" s="0" t="s">
        <v>835</v>
      </c>
      <c r="B791" s="2" t="n">
        <v>45677</v>
      </c>
      <c r="C791" s="3" t="s">
        <v>736</v>
      </c>
      <c r="D791" s="3" t="s">
        <v>34</v>
      </c>
      <c r="E791" s="3" t="s">
        <v>35</v>
      </c>
      <c r="F791" s="3" t="s">
        <v>30</v>
      </c>
      <c r="G791" s="3" t="s">
        <v>36</v>
      </c>
      <c r="H791" s="3" t="s">
        <v>30</v>
      </c>
      <c r="I791" s="3" t="s">
        <v>37</v>
      </c>
      <c r="J791" s="0" t="n">
        <v>0</v>
      </c>
      <c r="K791" s="0" t="n">
        <v>0</v>
      </c>
      <c r="L791" s="0" t="n">
        <v>0</v>
      </c>
      <c r="M791" s="0" t="n">
        <v>0</v>
      </c>
      <c r="N791" s="0" t="str">
        <f aca="false">IF(OR(NOT(OR(J791=0,J791=1)),NOT(OR(K791=0,K791=1)),NOT(OR(L791=0,L791=1)),NOT(OR(M791=0,M791=1)),NOT(OR(U791=0,U791=1))),"Yes","No")</f>
        <v>No</v>
      </c>
      <c r="O791" s="0" t="str">
        <f aca="false">IF(OR(AND(M791=1,L791=0),AND(L791=1,K791=0),AND(K791=1,J791=0)),"Yes","No")</f>
        <v>No</v>
      </c>
      <c r="P791" s="0" t="n">
        <v>0</v>
      </c>
      <c r="Q791" s="0" t="str">
        <f aca="false">IF(OR(AND(M791=0,P791&gt;0),AND(M791=1,P791&lt;=0)),"Yes","No")</f>
        <v>No</v>
      </c>
      <c r="R791" s="0" t="str">
        <f aca="false">IF(AND(M791=1,P791&gt;calc_helpers!$B$5),"Yes","No")</f>
        <v>No</v>
      </c>
      <c r="S791" s="0" t="n">
        <v>0</v>
      </c>
      <c r="T791" s="0" t="str">
        <f aca="false">IF(S791&gt;0,"Yes","No")</f>
        <v>No</v>
      </c>
      <c r="U791" s="0" t="n">
        <v>0</v>
      </c>
      <c r="W791" s="0" t="str">
        <f aca="false">IF(OR(AND(M791=1,ISBLANK(V791)),AND(M791=0,NOT(ISBLANK(V791)))),"Yes","No")</f>
        <v>No</v>
      </c>
      <c r="X791" s="0" t="n">
        <v>66</v>
      </c>
      <c r="Y791" s="3" t="s">
        <v>30</v>
      </c>
      <c r="Z791" s="0" t="str">
        <f aca="false">IF(M791=1,P791,"")</f>
        <v/>
      </c>
    </row>
    <row r="792" customFormat="false" ht="15" hidden="false" customHeight="false" outlineLevel="0" collapsed="false">
      <c r="A792" s="0" t="s">
        <v>836</v>
      </c>
      <c r="B792" s="2" t="n">
        <v>45733</v>
      </c>
      <c r="C792" s="3" t="s">
        <v>736</v>
      </c>
      <c r="D792" s="3" t="s">
        <v>34</v>
      </c>
      <c r="E792" s="3" t="s">
        <v>35</v>
      </c>
      <c r="F792" s="3" t="s">
        <v>30</v>
      </c>
      <c r="G792" s="3" t="s">
        <v>52</v>
      </c>
      <c r="H792" s="3" t="s">
        <v>30</v>
      </c>
      <c r="I792" s="3" t="s">
        <v>41</v>
      </c>
      <c r="J792" s="0" t="n">
        <v>0</v>
      </c>
      <c r="K792" s="0" t="n">
        <v>0</v>
      </c>
      <c r="L792" s="0" t="n">
        <v>0</v>
      </c>
      <c r="M792" s="0" t="n">
        <v>0</v>
      </c>
      <c r="N792" s="0" t="str">
        <f aca="false">IF(OR(NOT(OR(J792=0,J792=1)),NOT(OR(K792=0,K792=1)),NOT(OR(L792=0,L792=1)),NOT(OR(M792=0,M792=1)),NOT(OR(U792=0,U792=1))),"Yes","No")</f>
        <v>No</v>
      </c>
      <c r="O792" s="0" t="str">
        <f aca="false">IF(OR(AND(M792=1,L792=0),AND(L792=1,K792=0),AND(K792=1,J792=0)),"Yes","No")</f>
        <v>No</v>
      </c>
      <c r="P792" s="0" t="n">
        <v>0</v>
      </c>
      <c r="Q792" s="0" t="str">
        <f aca="false">IF(OR(AND(M792=0,P792&gt;0),AND(M792=1,P792&lt;=0)),"Yes","No")</f>
        <v>No</v>
      </c>
      <c r="R792" s="0" t="str">
        <f aca="false">IF(AND(M792=1,P792&gt;calc_helpers!$B$5),"Yes","No")</f>
        <v>No</v>
      </c>
      <c r="S792" s="0" t="n">
        <v>0</v>
      </c>
      <c r="T792" s="0" t="str">
        <f aca="false">IF(S792&gt;0,"Yes","No")</f>
        <v>No</v>
      </c>
      <c r="U792" s="0" t="n">
        <v>0</v>
      </c>
      <c r="W792" s="0" t="str">
        <f aca="false">IF(OR(AND(M792=1,ISBLANK(V792)),AND(M792=0,NOT(ISBLANK(V792)))),"Yes","No")</f>
        <v>No</v>
      </c>
      <c r="X792" s="0" t="n">
        <v>54.7</v>
      </c>
      <c r="Y792" s="3" t="s">
        <v>30</v>
      </c>
      <c r="Z792" s="0" t="str">
        <f aca="false">IF(M792=1,P792,"")</f>
        <v/>
      </c>
    </row>
    <row r="793" customFormat="false" ht="15" hidden="false" customHeight="false" outlineLevel="0" collapsed="false">
      <c r="A793" s="0" t="s">
        <v>837</v>
      </c>
      <c r="B793" s="2" t="n">
        <v>45720</v>
      </c>
      <c r="C793" s="3" t="s">
        <v>736</v>
      </c>
      <c r="D793" s="3" t="s">
        <v>34</v>
      </c>
      <c r="E793" s="3" t="s">
        <v>35</v>
      </c>
      <c r="F793" s="3" t="s">
        <v>30</v>
      </c>
      <c r="G793" s="3" t="s">
        <v>52</v>
      </c>
      <c r="H793" s="3" t="s">
        <v>30</v>
      </c>
      <c r="I793" s="3" t="s">
        <v>37</v>
      </c>
      <c r="J793" s="0" t="n">
        <v>1</v>
      </c>
      <c r="K793" s="0" t="n">
        <v>1</v>
      </c>
      <c r="L793" s="0" t="n">
        <v>0</v>
      </c>
      <c r="M793" s="0" t="n">
        <v>0</v>
      </c>
      <c r="N793" s="0" t="str">
        <f aca="false">IF(OR(NOT(OR(J793=0,J793=1)),NOT(OR(K793=0,K793=1)),NOT(OR(L793=0,L793=1)),NOT(OR(M793=0,M793=1)),NOT(OR(U793=0,U793=1))),"Yes","No")</f>
        <v>No</v>
      </c>
      <c r="O793" s="0" t="str">
        <f aca="false">IF(OR(AND(M793=1,L793=0),AND(L793=1,K793=0),AND(K793=1,J793=0)),"Yes","No")</f>
        <v>No</v>
      </c>
      <c r="P793" s="0" t="n">
        <v>0</v>
      </c>
      <c r="Q793" s="0" t="str">
        <f aca="false">IF(OR(AND(M793=0,P793&gt;0),AND(M793=1,P793&lt;=0)),"Yes","No")</f>
        <v>No</v>
      </c>
      <c r="R793" s="0" t="str">
        <f aca="false">IF(AND(M793=1,P793&gt;calc_helpers!$B$5),"Yes","No")</f>
        <v>No</v>
      </c>
      <c r="S793" s="0" t="n">
        <v>1</v>
      </c>
      <c r="T793" s="0" t="str">
        <f aca="false">IF(S793&gt;0,"Yes","No")</f>
        <v>Yes</v>
      </c>
      <c r="U793" s="0" t="n">
        <v>0</v>
      </c>
      <c r="W793" s="0" t="str">
        <f aca="false">IF(OR(AND(M793=1,ISBLANK(V793)),AND(M793=0,NOT(ISBLANK(V793)))),"Yes","No")</f>
        <v>No</v>
      </c>
      <c r="X793" s="0" t="n">
        <v>41.2</v>
      </c>
      <c r="Y793" s="3" t="s">
        <v>30</v>
      </c>
      <c r="Z793" s="0" t="str">
        <f aca="false">IF(M793=1,P793,"")</f>
        <v/>
      </c>
    </row>
    <row r="794" customFormat="false" ht="15" hidden="false" customHeight="false" outlineLevel="0" collapsed="false">
      <c r="A794" s="0" t="s">
        <v>838</v>
      </c>
      <c r="B794" s="2" t="n">
        <v>45710</v>
      </c>
      <c r="C794" s="3" t="s">
        <v>736</v>
      </c>
      <c r="D794" s="3" t="s">
        <v>43</v>
      </c>
      <c r="E794" s="3" t="s">
        <v>35</v>
      </c>
      <c r="F794" s="3" t="s">
        <v>30</v>
      </c>
      <c r="G794" s="3" t="s">
        <v>36</v>
      </c>
      <c r="H794" s="3" t="s">
        <v>30</v>
      </c>
      <c r="I794" s="3" t="s">
        <v>41</v>
      </c>
      <c r="J794" s="0" t="n">
        <v>0</v>
      </c>
      <c r="K794" s="0" t="n">
        <v>0</v>
      </c>
      <c r="L794" s="0" t="n">
        <v>0</v>
      </c>
      <c r="M794" s="0" t="n">
        <v>0</v>
      </c>
      <c r="N794" s="0" t="str">
        <f aca="false">IF(OR(NOT(OR(J794=0,J794=1)),NOT(OR(K794=0,K794=1)),NOT(OR(L794=0,L794=1)),NOT(OR(M794=0,M794=1)),NOT(OR(U794=0,U794=1))),"Yes","No")</f>
        <v>No</v>
      </c>
      <c r="O794" s="0" t="str">
        <f aca="false">IF(OR(AND(M794=1,L794=0),AND(L794=1,K794=0),AND(K794=1,J794=0)),"Yes","No")</f>
        <v>No</v>
      </c>
      <c r="P794" s="0" t="n">
        <v>0</v>
      </c>
      <c r="Q794" s="0" t="str">
        <f aca="false">IF(OR(AND(M794=0,P794&gt;0),AND(M794=1,P794&lt;=0)),"Yes","No")</f>
        <v>No</v>
      </c>
      <c r="R794" s="0" t="str">
        <f aca="false">IF(AND(M794=1,P794&gt;calc_helpers!$B$5),"Yes","No")</f>
        <v>No</v>
      </c>
      <c r="S794" s="0" t="n">
        <v>0</v>
      </c>
      <c r="T794" s="0" t="str">
        <f aca="false">IF(S794&gt;0,"Yes","No")</f>
        <v>No</v>
      </c>
      <c r="U794" s="0" t="n">
        <v>0</v>
      </c>
      <c r="W794" s="0" t="str">
        <f aca="false">IF(OR(AND(M794=1,ISBLANK(V794)),AND(M794=0,NOT(ISBLANK(V794)))),"Yes","No")</f>
        <v>No</v>
      </c>
      <c r="X794" s="0" t="n">
        <v>66.7</v>
      </c>
      <c r="Y794" s="3" t="s">
        <v>30</v>
      </c>
      <c r="Z794" s="0" t="str">
        <f aca="false">IF(M794=1,P794,"")</f>
        <v/>
      </c>
    </row>
    <row r="795" customFormat="false" ht="15" hidden="false" customHeight="false" outlineLevel="0" collapsed="false">
      <c r="A795" s="0" t="s">
        <v>839</v>
      </c>
      <c r="B795" s="2" t="n">
        <v>45779</v>
      </c>
      <c r="C795" s="3" t="s">
        <v>736</v>
      </c>
      <c r="D795" s="3" t="s">
        <v>28</v>
      </c>
      <c r="E795" s="3" t="s">
        <v>35</v>
      </c>
      <c r="F795" s="3" t="s">
        <v>30</v>
      </c>
      <c r="G795" s="3" t="s">
        <v>40</v>
      </c>
      <c r="H795" s="3" t="s">
        <v>30</v>
      </c>
      <c r="I795" s="3" t="s">
        <v>41</v>
      </c>
      <c r="J795" s="0" t="n">
        <v>0</v>
      </c>
      <c r="K795" s="0" t="n">
        <v>0</v>
      </c>
      <c r="L795" s="0" t="n">
        <v>0</v>
      </c>
      <c r="M795" s="0" t="n">
        <v>0</v>
      </c>
      <c r="N795" s="0" t="str">
        <f aca="false">IF(OR(NOT(OR(J795=0,J795=1)),NOT(OR(K795=0,K795=1)),NOT(OR(L795=0,L795=1)),NOT(OR(M795=0,M795=1)),NOT(OR(U795=0,U795=1))),"Yes","No")</f>
        <v>No</v>
      </c>
      <c r="O795" s="0" t="str">
        <f aca="false">IF(OR(AND(M795=1,L795=0),AND(L795=1,K795=0),AND(K795=1,J795=0)),"Yes","No")</f>
        <v>No</v>
      </c>
      <c r="P795" s="0" t="n">
        <v>0</v>
      </c>
      <c r="Q795" s="0" t="str">
        <f aca="false">IF(OR(AND(M795=0,P795&gt;0),AND(M795=1,P795&lt;=0)),"Yes","No")</f>
        <v>No</v>
      </c>
      <c r="R795" s="0" t="str">
        <f aca="false">IF(AND(M795=1,P795&gt;calc_helpers!$B$5),"Yes","No")</f>
        <v>No</v>
      </c>
      <c r="S795" s="0" t="n">
        <v>0</v>
      </c>
      <c r="T795" s="0" t="str">
        <f aca="false">IF(S795&gt;0,"Yes","No")</f>
        <v>No</v>
      </c>
      <c r="U795" s="0" t="n">
        <v>0</v>
      </c>
      <c r="W795" s="0" t="str">
        <f aca="false">IF(OR(AND(M795=1,ISBLANK(V795)),AND(M795=0,NOT(ISBLANK(V795)))),"Yes","No")</f>
        <v>No</v>
      </c>
      <c r="X795" s="0" t="n">
        <v>39.4</v>
      </c>
      <c r="Y795" s="3" t="s">
        <v>30</v>
      </c>
      <c r="Z795" s="0" t="str">
        <f aca="false">IF(M795=1,P795,"")</f>
        <v/>
      </c>
    </row>
    <row r="796" customFormat="false" ht="15" hidden="false" customHeight="false" outlineLevel="0" collapsed="false">
      <c r="A796" s="0" t="s">
        <v>840</v>
      </c>
      <c r="B796" s="2" t="n">
        <v>45729</v>
      </c>
      <c r="C796" s="3" t="s">
        <v>736</v>
      </c>
      <c r="D796" s="3" t="s">
        <v>34</v>
      </c>
      <c r="E796" s="3" t="s">
        <v>29</v>
      </c>
      <c r="F796" s="3" t="s">
        <v>30</v>
      </c>
      <c r="G796" s="3" t="s">
        <v>36</v>
      </c>
      <c r="H796" s="3" t="s">
        <v>30</v>
      </c>
      <c r="I796" s="3" t="s">
        <v>41</v>
      </c>
      <c r="J796" s="0" t="n">
        <v>0</v>
      </c>
      <c r="K796" s="0" t="n">
        <v>0</v>
      </c>
      <c r="L796" s="0" t="n">
        <v>0</v>
      </c>
      <c r="M796" s="0" t="n">
        <v>0</v>
      </c>
      <c r="N796" s="0" t="str">
        <f aca="false">IF(OR(NOT(OR(J796=0,J796=1)),NOT(OR(K796=0,K796=1)),NOT(OR(L796=0,L796=1)),NOT(OR(M796=0,M796=1)),NOT(OR(U796=0,U796=1))),"Yes","No")</f>
        <v>No</v>
      </c>
      <c r="O796" s="0" t="str">
        <f aca="false">IF(OR(AND(M796=1,L796=0),AND(L796=1,K796=0),AND(K796=1,J796=0)),"Yes","No")</f>
        <v>No</v>
      </c>
      <c r="P796" s="0" t="n">
        <v>0</v>
      </c>
      <c r="Q796" s="0" t="str">
        <f aca="false">IF(OR(AND(M796=0,P796&gt;0),AND(M796=1,P796&lt;=0)),"Yes","No")</f>
        <v>No</v>
      </c>
      <c r="R796" s="0" t="str">
        <f aca="false">IF(AND(M796=1,P796&gt;calc_helpers!$B$5),"Yes","No")</f>
        <v>No</v>
      </c>
      <c r="S796" s="0" t="n">
        <v>3</v>
      </c>
      <c r="T796" s="0" t="str">
        <f aca="false">IF(S796&gt;0,"Yes","No")</f>
        <v>Yes</v>
      </c>
      <c r="U796" s="0" t="n">
        <v>0</v>
      </c>
      <c r="W796" s="0" t="str">
        <f aca="false">IF(OR(AND(M796=1,ISBLANK(V796)),AND(M796=0,NOT(ISBLANK(V796)))),"Yes","No")</f>
        <v>No</v>
      </c>
      <c r="X796" s="0" t="n">
        <v>67</v>
      </c>
      <c r="Y796" s="3" t="s">
        <v>30</v>
      </c>
      <c r="Z796" s="0" t="str">
        <f aca="false">IF(M796=1,P796,"")</f>
        <v/>
      </c>
    </row>
    <row r="797" customFormat="false" ht="15" hidden="false" customHeight="false" outlineLevel="0" collapsed="false">
      <c r="A797" s="0" t="s">
        <v>841</v>
      </c>
      <c r="B797" s="2" t="n">
        <v>45808</v>
      </c>
      <c r="C797" s="3" t="s">
        <v>736</v>
      </c>
      <c r="D797" s="3" t="s">
        <v>43</v>
      </c>
      <c r="E797" s="3" t="s">
        <v>35</v>
      </c>
      <c r="F797" s="3" t="s">
        <v>30</v>
      </c>
      <c r="G797" s="3" t="s">
        <v>36</v>
      </c>
      <c r="H797" s="3" t="s">
        <v>30</v>
      </c>
      <c r="I797" s="3" t="s">
        <v>32</v>
      </c>
      <c r="J797" s="0" t="n">
        <v>1</v>
      </c>
      <c r="K797" s="0" t="n">
        <v>0</v>
      </c>
      <c r="L797" s="0" t="n">
        <v>0</v>
      </c>
      <c r="M797" s="0" t="n">
        <v>0</v>
      </c>
      <c r="N797" s="0" t="str">
        <f aca="false">IF(OR(NOT(OR(J797=0,J797=1)),NOT(OR(K797=0,K797=1)),NOT(OR(L797=0,L797=1)),NOT(OR(M797=0,M797=1)),NOT(OR(U797=0,U797=1))),"Yes","No")</f>
        <v>No</v>
      </c>
      <c r="O797" s="0" t="str">
        <f aca="false">IF(OR(AND(M797=1,L797=0),AND(L797=1,K797=0),AND(K797=1,J797=0)),"Yes","No")</f>
        <v>No</v>
      </c>
      <c r="P797" s="0" t="n">
        <v>0</v>
      </c>
      <c r="Q797" s="0" t="str">
        <f aca="false">IF(OR(AND(M797=0,P797&gt;0),AND(M797=1,P797&lt;=0)),"Yes","No")</f>
        <v>No</v>
      </c>
      <c r="R797" s="0" t="str">
        <f aca="false">IF(AND(M797=1,P797&gt;calc_helpers!$B$5),"Yes","No")</f>
        <v>No</v>
      </c>
      <c r="S797" s="0" t="n">
        <v>0</v>
      </c>
      <c r="T797" s="0" t="str">
        <f aca="false">IF(S797&gt;0,"Yes","No")</f>
        <v>No</v>
      </c>
      <c r="U797" s="0" t="n">
        <v>0</v>
      </c>
      <c r="W797" s="0" t="str">
        <f aca="false">IF(OR(AND(M797=1,ISBLANK(V797)),AND(M797=0,NOT(ISBLANK(V797)))),"Yes","No")</f>
        <v>No</v>
      </c>
      <c r="X797" s="0" t="n">
        <v>50.4</v>
      </c>
      <c r="Y797" s="3" t="s">
        <v>30</v>
      </c>
      <c r="Z797" s="0" t="str">
        <f aca="false">IF(M797=1,P797,"")</f>
        <v/>
      </c>
    </row>
    <row r="798" customFormat="false" ht="15" hidden="false" customHeight="false" outlineLevel="0" collapsed="false">
      <c r="A798" s="0" t="s">
        <v>842</v>
      </c>
      <c r="B798" s="2" t="n">
        <v>45723</v>
      </c>
      <c r="C798" s="3" t="s">
        <v>736</v>
      </c>
      <c r="D798" s="3" t="s">
        <v>34</v>
      </c>
      <c r="E798" s="3" t="s">
        <v>29</v>
      </c>
      <c r="F798" s="3" t="s">
        <v>30</v>
      </c>
      <c r="G798" s="3" t="s">
        <v>52</v>
      </c>
      <c r="H798" s="3" t="s">
        <v>30</v>
      </c>
      <c r="I798" s="3" t="s">
        <v>37</v>
      </c>
      <c r="J798" s="0" t="n">
        <v>1</v>
      </c>
      <c r="K798" s="0" t="n">
        <v>0</v>
      </c>
      <c r="L798" s="0" t="n">
        <v>0</v>
      </c>
      <c r="M798" s="0" t="n">
        <v>0</v>
      </c>
      <c r="N798" s="0" t="str">
        <f aca="false">IF(OR(NOT(OR(J798=0,J798=1)),NOT(OR(K798=0,K798=1)),NOT(OR(L798=0,L798=1)),NOT(OR(M798=0,M798=1)),NOT(OR(U798=0,U798=1))),"Yes","No")</f>
        <v>No</v>
      </c>
      <c r="O798" s="0" t="str">
        <f aca="false">IF(OR(AND(M798=1,L798=0),AND(L798=1,K798=0),AND(K798=1,J798=0)),"Yes","No")</f>
        <v>No</v>
      </c>
      <c r="P798" s="0" t="n">
        <v>0</v>
      </c>
      <c r="Q798" s="0" t="str">
        <f aca="false">IF(OR(AND(M798=0,P798&gt;0),AND(M798=1,P798&lt;=0)),"Yes","No")</f>
        <v>No</v>
      </c>
      <c r="R798" s="0" t="str">
        <f aca="false">IF(AND(M798=1,P798&gt;calc_helpers!$B$5),"Yes","No")</f>
        <v>No</v>
      </c>
      <c r="S798" s="0" t="n">
        <v>0</v>
      </c>
      <c r="T798" s="0" t="str">
        <f aca="false">IF(S798&gt;0,"Yes","No")</f>
        <v>No</v>
      </c>
      <c r="U798" s="0" t="n">
        <v>0</v>
      </c>
      <c r="W798" s="0" t="str">
        <f aca="false">IF(OR(AND(M798=1,ISBLANK(V798)),AND(M798=0,NOT(ISBLANK(V798)))),"Yes","No")</f>
        <v>No</v>
      </c>
      <c r="X798" s="0" t="n">
        <v>53.8</v>
      </c>
      <c r="Y798" s="3" t="s">
        <v>30</v>
      </c>
      <c r="Z798" s="0" t="str">
        <f aca="false">IF(M798=1,P798,"")</f>
        <v/>
      </c>
    </row>
    <row r="799" customFormat="false" ht="15" hidden="false" customHeight="false" outlineLevel="0" collapsed="false">
      <c r="A799" s="0" t="s">
        <v>843</v>
      </c>
      <c r="B799" s="2" t="n">
        <v>45710</v>
      </c>
      <c r="C799" s="3" t="s">
        <v>736</v>
      </c>
      <c r="D799" s="3" t="s">
        <v>34</v>
      </c>
      <c r="E799" s="3" t="s">
        <v>35</v>
      </c>
      <c r="F799" s="3" t="s">
        <v>30</v>
      </c>
      <c r="G799" s="3" t="s">
        <v>40</v>
      </c>
      <c r="H799" s="3" t="s">
        <v>30</v>
      </c>
      <c r="I799" s="3" t="s">
        <v>32</v>
      </c>
      <c r="J799" s="0" t="n">
        <v>0</v>
      </c>
      <c r="K799" s="0" t="n">
        <v>0</v>
      </c>
      <c r="L799" s="0" t="n">
        <v>0</v>
      </c>
      <c r="M799" s="0" t="n">
        <v>0</v>
      </c>
      <c r="N799" s="0" t="str">
        <f aca="false">IF(OR(NOT(OR(J799=0,J799=1)),NOT(OR(K799=0,K799=1)),NOT(OR(L799=0,L799=1)),NOT(OR(M799=0,M799=1)),NOT(OR(U799=0,U799=1))),"Yes","No")</f>
        <v>No</v>
      </c>
      <c r="O799" s="0" t="str">
        <f aca="false">IF(OR(AND(M799=1,L799=0),AND(L799=1,K799=0),AND(K799=1,J799=0)),"Yes","No")</f>
        <v>No</v>
      </c>
      <c r="P799" s="0" t="n">
        <v>0</v>
      </c>
      <c r="Q799" s="0" t="str">
        <f aca="false">IF(OR(AND(M799=0,P799&gt;0),AND(M799=1,P799&lt;=0)),"Yes","No")</f>
        <v>No</v>
      </c>
      <c r="R799" s="0" t="str">
        <f aca="false">IF(AND(M799=1,P799&gt;calc_helpers!$B$5),"Yes","No")</f>
        <v>No</v>
      </c>
      <c r="S799" s="0" t="n">
        <v>1</v>
      </c>
      <c r="T799" s="0" t="str">
        <f aca="false">IF(S799&gt;0,"Yes","No")</f>
        <v>Yes</v>
      </c>
      <c r="U799" s="0" t="n">
        <v>0</v>
      </c>
      <c r="W799" s="0" t="str">
        <f aca="false">IF(OR(AND(M799=1,ISBLANK(V799)),AND(M799=0,NOT(ISBLANK(V799)))),"Yes","No")</f>
        <v>No</v>
      </c>
      <c r="X799" s="0" t="n">
        <v>82.7</v>
      </c>
      <c r="Y799" s="3" t="s">
        <v>30</v>
      </c>
      <c r="Z799" s="0" t="str">
        <f aca="false">IF(M799=1,P799,"")</f>
        <v/>
      </c>
    </row>
    <row r="800" customFormat="false" ht="15" hidden="false" customHeight="false" outlineLevel="0" collapsed="false">
      <c r="A800" s="0" t="s">
        <v>844</v>
      </c>
      <c r="B800" s="2" t="n">
        <v>45662</v>
      </c>
      <c r="C800" s="3" t="s">
        <v>736</v>
      </c>
      <c r="D800" s="3" t="s">
        <v>34</v>
      </c>
      <c r="E800" s="3" t="s">
        <v>29</v>
      </c>
      <c r="F800" s="3" t="s">
        <v>30</v>
      </c>
      <c r="G800" s="3" t="s">
        <v>40</v>
      </c>
      <c r="H800" s="3" t="s">
        <v>30</v>
      </c>
      <c r="I800" s="3" t="s">
        <v>37</v>
      </c>
      <c r="J800" s="0" t="n">
        <v>1</v>
      </c>
      <c r="K800" s="0" t="n">
        <v>1</v>
      </c>
      <c r="L800" s="0" t="n">
        <v>1</v>
      </c>
      <c r="M800" s="0" t="n">
        <v>0</v>
      </c>
      <c r="N800" s="0" t="str">
        <f aca="false">IF(OR(NOT(OR(J800=0,J800=1)),NOT(OR(K800=0,K800=1)),NOT(OR(L800=0,L800=1)),NOT(OR(M800=0,M800=1)),NOT(OR(U800=0,U800=1))),"Yes","No")</f>
        <v>No</v>
      </c>
      <c r="O800" s="0" t="str">
        <f aca="false">IF(OR(AND(M800=1,L800=0),AND(L800=1,K800=0),AND(K800=1,J800=0)),"Yes","No")</f>
        <v>No</v>
      </c>
      <c r="P800" s="0" t="n">
        <v>0</v>
      </c>
      <c r="Q800" s="0" t="str">
        <f aca="false">IF(OR(AND(M800=0,P800&gt;0),AND(M800=1,P800&lt;=0)),"Yes","No")</f>
        <v>No</v>
      </c>
      <c r="R800" s="0" t="str">
        <f aca="false">IF(AND(M800=1,P800&gt;calc_helpers!$B$5),"Yes","No")</f>
        <v>No</v>
      </c>
      <c r="S800" s="0" t="n">
        <v>0</v>
      </c>
      <c r="T800" s="0" t="str">
        <f aca="false">IF(S800&gt;0,"Yes","No")</f>
        <v>No</v>
      </c>
      <c r="U800" s="0" t="n">
        <v>0</v>
      </c>
      <c r="W800" s="0" t="str">
        <f aca="false">IF(OR(AND(M800=1,ISBLANK(V800)),AND(M800=0,NOT(ISBLANK(V800)))),"Yes","No")</f>
        <v>No</v>
      </c>
      <c r="X800" s="0" t="n">
        <v>63.9</v>
      </c>
      <c r="Y800" s="3" t="s">
        <v>30</v>
      </c>
      <c r="Z800" s="0" t="str">
        <f aca="false">IF(M800=1,P800,"")</f>
        <v/>
      </c>
    </row>
    <row r="801" customFormat="false" ht="15" hidden="false" customHeight="false" outlineLevel="0" collapsed="false">
      <c r="A801" s="0" t="s">
        <v>845</v>
      </c>
      <c r="B801" s="2" t="n">
        <v>45678</v>
      </c>
      <c r="C801" s="3" t="s">
        <v>736</v>
      </c>
      <c r="D801" s="3" t="s">
        <v>34</v>
      </c>
      <c r="E801" s="3" t="s">
        <v>35</v>
      </c>
      <c r="F801" s="3" t="s">
        <v>30</v>
      </c>
      <c r="G801" s="3" t="s">
        <v>50</v>
      </c>
      <c r="H801" s="3" t="s">
        <v>30</v>
      </c>
      <c r="I801" s="3" t="s">
        <v>37</v>
      </c>
      <c r="J801" s="0" t="n">
        <v>1</v>
      </c>
      <c r="K801" s="0" t="n">
        <v>0</v>
      </c>
      <c r="L801" s="0" t="n">
        <v>0</v>
      </c>
      <c r="M801" s="0" t="n">
        <v>0</v>
      </c>
      <c r="N801" s="0" t="str">
        <f aca="false">IF(OR(NOT(OR(J801=0,J801=1)),NOT(OR(K801=0,K801=1)),NOT(OR(L801=0,L801=1)),NOT(OR(M801=0,M801=1)),NOT(OR(U801=0,U801=1))),"Yes","No")</f>
        <v>No</v>
      </c>
      <c r="O801" s="0" t="str">
        <f aca="false">IF(OR(AND(M801=1,L801=0),AND(L801=1,K801=0),AND(K801=1,J801=0)),"Yes","No")</f>
        <v>No</v>
      </c>
      <c r="P801" s="0" t="n">
        <v>0</v>
      </c>
      <c r="Q801" s="0" t="str">
        <f aca="false">IF(OR(AND(M801=0,P801&gt;0),AND(M801=1,P801&lt;=0)),"Yes","No")</f>
        <v>No</v>
      </c>
      <c r="R801" s="0" t="str">
        <f aca="false">IF(AND(M801=1,P801&gt;calc_helpers!$B$5),"Yes","No")</f>
        <v>No</v>
      </c>
      <c r="S801" s="0" t="n">
        <v>0</v>
      </c>
      <c r="T801" s="0" t="str">
        <f aca="false">IF(S801&gt;0,"Yes","No")</f>
        <v>No</v>
      </c>
      <c r="U801" s="0" t="n">
        <v>0</v>
      </c>
      <c r="W801" s="0" t="str">
        <f aca="false">IF(OR(AND(M801=1,ISBLANK(V801)),AND(M801=0,NOT(ISBLANK(V801)))),"Yes","No")</f>
        <v>No</v>
      </c>
      <c r="X801" s="0" t="n">
        <v>61.9</v>
      </c>
      <c r="Y801" s="3" t="s">
        <v>30</v>
      </c>
      <c r="Z801" s="0" t="str">
        <f aca="false">IF(M801=1,P801,"")</f>
        <v/>
      </c>
    </row>
    <row r="802" customFormat="false" ht="15" hidden="false" customHeight="false" outlineLevel="0" collapsed="false">
      <c r="A802" s="0" t="s">
        <v>846</v>
      </c>
      <c r="B802" s="2" t="n">
        <v>45682</v>
      </c>
      <c r="C802" s="3" t="s">
        <v>736</v>
      </c>
      <c r="D802" s="3" t="s">
        <v>28</v>
      </c>
      <c r="E802" s="3" t="s">
        <v>29</v>
      </c>
      <c r="F802" s="3" t="s">
        <v>30</v>
      </c>
      <c r="G802" s="3" t="s">
        <v>52</v>
      </c>
      <c r="H802" s="3" t="s">
        <v>30</v>
      </c>
      <c r="I802" s="3" t="s">
        <v>37</v>
      </c>
      <c r="J802" s="0" t="n">
        <v>1</v>
      </c>
      <c r="K802" s="0" t="n">
        <v>1</v>
      </c>
      <c r="L802" s="0" t="n">
        <v>1</v>
      </c>
      <c r="M802" s="0" t="n">
        <v>0</v>
      </c>
      <c r="N802" s="0" t="str">
        <f aca="false">IF(OR(NOT(OR(J802=0,J802=1)),NOT(OR(K802=0,K802=1)),NOT(OR(L802=0,L802=1)),NOT(OR(M802=0,M802=1)),NOT(OR(U802=0,U802=1))),"Yes","No")</f>
        <v>No</v>
      </c>
      <c r="O802" s="0" t="str">
        <f aca="false">IF(OR(AND(M802=1,L802=0),AND(L802=1,K802=0),AND(K802=1,J802=0)),"Yes","No")</f>
        <v>No</v>
      </c>
      <c r="P802" s="0" t="n">
        <v>0</v>
      </c>
      <c r="Q802" s="0" t="str">
        <f aca="false">IF(OR(AND(M802=0,P802&gt;0),AND(M802=1,P802&lt;=0)),"Yes","No")</f>
        <v>No</v>
      </c>
      <c r="R802" s="0" t="str">
        <f aca="false">IF(AND(M802=1,P802&gt;calc_helpers!$B$5),"Yes","No")</f>
        <v>No</v>
      </c>
      <c r="S802" s="0" t="n">
        <v>0</v>
      </c>
      <c r="T802" s="0" t="str">
        <f aca="false">IF(S802&gt;0,"Yes","No")</f>
        <v>No</v>
      </c>
      <c r="U802" s="0" t="n">
        <v>0</v>
      </c>
      <c r="W802" s="0" t="str">
        <f aca="false">IF(OR(AND(M802=1,ISBLANK(V802)),AND(M802=0,NOT(ISBLANK(V802)))),"Yes","No")</f>
        <v>No</v>
      </c>
      <c r="X802" s="0" t="n">
        <v>75</v>
      </c>
      <c r="Y802" s="3" t="s">
        <v>30</v>
      </c>
      <c r="Z802" s="0" t="str">
        <f aca="false">IF(M802=1,P802,"")</f>
        <v/>
      </c>
    </row>
    <row r="803" customFormat="false" ht="15" hidden="false" customHeight="false" outlineLevel="0" collapsed="false">
      <c r="A803" s="0" t="s">
        <v>847</v>
      </c>
      <c r="B803" s="2" t="n">
        <v>45751</v>
      </c>
      <c r="C803" s="3" t="s">
        <v>736</v>
      </c>
      <c r="D803" s="3" t="s">
        <v>34</v>
      </c>
      <c r="E803" s="3" t="s">
        <v>35</v>
      </c>
      <c r="F803" s="3" t="s">
        <v>30</v>
      </c>
      <c r="G803" s="3" t="s">
        <v>40</v>
      </c>
      <c r="H803" s="3" t="s">
        <v>30</v>
      </c>
      <c r="I803" s="3" t="s">
        <v>32</v>
      </c>
      <c r="J803" s="0" t="n">
        <v>1</v>
      </c>
      <c r="K803" s="0" t="n">
        <v>1</v>
      </c>
      <c r="L803" s="0" t="n">
        <v>1</v>
      </c>
      <c r="M803" s="0" t="n">
        <v>0</v>
      </c>
      <c r="N803" s="0" t="str">
        <f aca="false">IF(OR(NOT(OR(J803=0,J803=1)),NOT(OR(K803=0,K803=1)),NOT(OR(L803=0,L803=1)),NOT(OR(M803=0,M803=1)),NOT(OR(U803=0,U803=1))),"Yes","No")</f>
        <v>No</v>
      </c>
      <c r="O803" s="0" t="str">
        <f aca="false">IF(OR(AND(M803=1,L803=0),AND(L803=1,K803=0),AND(K803=1,J803=0)),"Yes","No")</f>
        <v>No</v>
      </c>
      <c r="P803" s="0" t="n">
        <v>0</v>
      </c>
      <c r="Q803" s="0" t="str">
        <f aca="false">IF(OR(AND(M803=0,P803&gt;0),AND(M803=1,P803&lt;=0)),"Yes","No")</f>
        <v>No</v>
      </c>
      <c r="R803" s="0" t="str">
        <f aca="false">IF(AND(M803=1,P803&gt;calc_helpers!$B$5),"Yes","No")</f>
        <v>No</v>
      </c>
      <c r="S803" s="0" t="n">
        <v>0</v>
      </c>
      <c r="T803" s="0" t="str">
        <f aca="false">IF(S803&gt;0,"Yes","No")</f>
        <v>No</v>
      </c>
      <c r="U803" s="0" t="n">
        <v>0</v>
      </c>
      <c r="W803" s="0" t="str">
        <f aca="false">IF(OR(AND(M803=1,ISBLANK(V803)),AND(M803=0,NOT(ISBLANK(V803)))),"Yes","No")</f>
        <v>No</v>
      </c>
      <c r="X803" s="0" t="n">
        <v>43</v>
      </c>
      <c r="Y803" s="3" t="s">
        <v>30</v>
      </c>
      <c r="Z803" s="0" t="str">
        <f aca="false">IF(M803=1,P803,"")</f>
        <v/>
      </c>
    </row>
    <row r="804" customFormat="false" ht="15" hidden="false" customHeight="false" outlineLevel="0" collapsed="false">
      <c r="A804" s="0" t="s">
        <v>848</v>
      </c>
      <c r="B804" s="2" t="n">
        <v>45741</v>
      </c>
      <c r="C804" s="3" t="s">
        <v>736</v>
      </c>
      <c r="D804" s="3" t="s">
        <v>28</v>
      </c>
      <c r="E804" s="3" t="s">
        <v>29</v>
      </c>
      <c r="F804" s="3" t="s">
        <v>30</v>
      </c>
      <c r="G804" s="3" t="s">
        <v>52</v>
      </c>
      <c r="H804" s="3" t="s">
        <v>30</v>
      </c>
      <c r="I804" s="3" t="s">
        <v>41</v>
      </c>
      <c r="J804" s="0" t="n">
        <v>0</v>
      </c>
      <c r="K804" s="0" t="n">
        <v>0</v>
      </c>
      <c r="L804" s="0" t="n">
        <v>0</v>
      </c>
      <c r="M804" s="0" t="n">
        <v>0</v>
      </c>
      <c r="N804" s="0" t="str">
        <f aca="false">IF(OR(NOT(OR(J804=0,J804=1)),NOT(OR(K804=0,K804=1)),NOT(OR(L804=0,L804=1)),NOT(OR(M804=0,M804=1)),NOT(OR(U804=0,U804=1))),"Yes","No")</f>
        <v>No</v>
      </c>
      <c r="O804" s="0" t="str">
        <f aca="false">IF(OR(AND(M804=1,L804=0),AND(L804=1,K804=0),AND(K804=1,J804=0)),"Yes","No")</f>
        <v>No</v>
      </c>
      <c r="P804" s="0" t="n">
        <v>0</v>
      </c>
      <c r="Q804" s="0" t="str">
        <f aca="false">IF(OR(AND(M804=0,P804&gt;0),AND(M804=1,P804&lt;=0)),"Yes","No")</f>
        <v>No</v>
      </c>
      <c r="R804" s="0" t="str">
        <f aca="false">IF(AND(M804=1,P804&gt;calc_helpers!$B$5),"Yes","No")</f>
        <v>No</v>
      </c>
      <c r="S804" s="0" t="n">
        <v>0</v>
      </c>
      <c r="T804" s="0" t="str">
        <f aca="false">IF(S804&gt;0,"Yes","No")</f>
        <v>No</v>
      </c>
      <c r="U804" s="0" t="n">
        <v>0</v>
      </c>
      <c r="W804" s="0" t="str">
        <f aca="false">IF(OR(AND(M804=1,ISBLANK(V804)),AND(M804=0,NOT(ISBLANK(V804)))),"Yes","No")</f>
        <v>No</v>
      </c>
      <c r="X804" s="0" t="n">
        <v>54.3</v>
      </c>
      <c r="Y804" s="3" t="s">
        <v>30</v>
      </c>
      <c r="Z804" s="0" t="str">
        <f aca="false">IF(M804=1,P804,"")</f>
        <v/>
      </c>
    </row>
    <row r="805" customFormat="false" ht="15" hidden="false" customHeight="false" outlineLevel="0" collapsed="false">
      <c r="A805" s="0" t="s">
        <v>849</v>
      </c>
      <c r="B805" s="2" t="n">
        <v>45735</v>
      </c>
      <c r="C805" s="3" t="s">
        <v>736</v>
      </c>
      <c r="D805" s="3" t="s">
        <v>34</v>
      </c>
      <c r="E805" s="3" t="s">
        <v>35</v>
      </c>
      <c r="F805" s="3" t="s">
        <v>30</v>
      </c>
      <c r="G805" s="3" t="s">
        <v>52</v>
      </c>
      <c r="H805" s="3" t="s">
        <v>30</v>
      </c>
      <c r="I805" s="3" t="s">
        <v>37</v>
      </c>
      <c r="J805" s="0" t="n">
        <v>0</v>
      </c>
      <c r="K805" s="0" t="n">
        <v>0</v>
      </c>
      <c r="L805" s="0" t="n">
        <v>0</v>
      </c>
      <c r="M805" s="0" t="n">
        <v>0</v>
      </c>
      <c r="N805" s="0" t="str">
        <f aca="false">IF(OR(NOT(OR(J805=0,J805=1)),NOT(OR(K805=0,K805=1)),NOT(OR(L805=0,L805=1)),NOT(OR(M805=0,M805=1)),NOT(OR(U805=0,U805=1))),"Yes","No")</f>
        <v>No</v>
      </c>
      <c r="O805" s="0" t="str">
        <f aca="false">IF(OR(AND(M805=1,L805=0),AND(L805=1,K805=0),AND(K805=1,J805=0)),"Yes","No")</f>
        <v>No</v>
      </c>
      <c r="P805" s="0" t="n">
        <v>0</v>
      </c>
      <c r="Q805" s="0" t="str">
        <f aca="false">IF(OR(AND(M805=0,P805&gt;0),AND(M805=1,P805&lt;=0)),"Yes","No")</f>
        <v>No</v>
      </c>
      <c r="R805" s="0" t="str">
        <f aca="false">IF(AND(M805=1,P805&gt;calc_helpers!$B$5),"Yes","No")</f>
        <v>No</v>
      </c>
      <c r="S805" s="0" t="n">
        <v>2</v>
      </c>
      <c r="T805" s="0" t="str">
        <f aca="false">IF(S805&gt;0,"Yes","No")</f>
        <v>Yes</v>
      </c>
      <c r="U805" s="0" t="n">
        <v>0</v>
      </c>
      <c r="W805" s="0" t="str">
        <f aca="false">IF(OR(AND(M805=1,ISBLANK(V805)),AND(M805=0,NOT(ISBLANK(V805)))),"Yes","No")</f>
        <v>No</v>
      </c>
      <c r="X805" s="0" t="n">
        <v>44.3</v>
      </c>
      <c r="Y805" s="3" t="s">
        <v>30</v>
      </c>
      <c r="Z805" s="0" t="str">
        <f aca="false">IF(M805=1,P805,"")</f>
        <v/>
      </c>
    </row>
    <row r="806" customFormat="false" ht="15" hidden="false" customHeight="false" outlineLevel="0" collapsed="false">
      <c r="A806" s="0" t="s">
        <v>850</v>
      </c>
      <c r="B806" s="2" t="n">
        <v>45771</v>
      </c>
      <c r="C806" s="3" t="s">
        <v>736</v>
      </c>
      <c r="D806" s="3" t="s">
        <v>34</v>
      </c>
      <c r="E806" s="3" t="s">
        <v>29</v>
      </c>
      <c r="F806" s="3" t="s">
        <v>30</v>
      </c>
      <c r="G806" s="3" t="s">
        <v>36</v>
      </c>
      <c r="H806" s="3" t="s">
        <v>30</v>
      </c>
      <c r="I806" s="3" t="s">
        <v>37</v>
      </c>
      <c r="J806" s="0" t="n">
        <v>1</v>
      </c>
      <c r="K806" s="0" t="n">
        <v>1</v>
      </c>
      <c r="L806" s="0" t="n">
        <v>1</v>
      </c>
      <c r="M806" s="0" t="n">
        <v>1</v>
      </c>
      <c r="N806" s="0" t="str">
        <f aca="false">IF(OR(NOT(OR(J806=0,J806=1)),NOT(OR(K806=0,K806=1)),NOT(OR(L806=0,L806=1)),NOT(OR(M806=0,M806=1)),NOT(OR(U806=0,U806=1))),"Yes","No")</f>
        <v>No</v>
      </c>
      <c r="O806" s="0" t="str">
        <f aca="false">IF(OR(AND(M806=1,L806=0),AND(L806=1,K806=0),AND(K806=1,J806=0)),"Yes","No")</f>
        <v>No</v>
      </c>
      <c r="P806" s="0" t="n">
        <v>402.88</v>
      </c>
      <c r="Q806" s="0" t="str">
        <f aca="false">IF(OR(AND(M806=0,P806&gt;0),AND(M806=1,P806&lt;=0)),"Yes","No")</f>
        <v>No</v>
      </c>
      <c r="R806" s="0" t="str">
        <f aca="false">IF(AND(M806=1,P806&gt;calc_helpers!$B$5),"Yes","No")</f>
        <v>No</v>
      </c>
      <c r="S806" s="0" t="n">
        <v>0</v>
      </c>
      <c r="T806" s="0" t="str">
        <f aca="false">IF(S806&gt;0,"Yes","No")</f>
        <v>No</v>
      </c>
      <c r="U806" s="0" t="n">
        <v>0</v>
      </c>
      <c r="V806" s="0" t="n">
        <v>12</v>
      </c>
      <c r="W806" s="0" t="str">
        <f aca="false">IF(OR(AND(M806=1,ISBLANK(V806)),AND(M806=0,NOT(ISBLANK(V806)))),"Yes","No")</f>
        <v>No</v>
      </c>
      <c r="X806" s="0" t="n">
        <v>76</v>
      </c>
      <c r="Y806" s="3" t="s">
        <v>30</v>
      </c>
      <c r="Z806" s="3" t="n">
        <f aca="false">IF(M806=1,P806,"")</f>
        <v>402.88</v>
      </c>
    </row>
    <row r="807" customFormat="false" ht="15" hidden="false" customHeight="false" outlineLevel="0" collapsed="false">
      <c r="A807" s="0" t="s">
        <v>851</v>
      </c>
      <c r="B807" s="2" t="n">
        <v>45751</v>
      </c>
      <c r="C807" s="3" t="s">
        <v>736</v>
      </c>
      <c r="D807" s="3" t="s">
        <v>43</v>
      </c>
      <c r="E807" s="3" t="s">
        <v>45</v>
      </c>
      <c r="F807" s="3" t="s">
        <v>30</v>
      </c>
      <c r="G807" s="3" t="s">
        <v>36</v>
      </c>
      <c r="H807" s="3" t="s">
        <v>30</v>
      </c>
      <c r="I807" s="3" t="s">
        <v>37</v>
      </c>
      <c r="J807" s="0" t="n">
        <v>1</v>
      </c>
      <c r="K807" s="0" t="n">
        <v>0</v>
      </c>
      <c r="L807" s="0" t="n">
        <v>0</v>
      </c>
      <c r="M807" s="0" t="n">
        <v>0</v>
      </c>
      <c r="N807" s="0" t="str">
        <f aca="false">IF(OR(NOT(OR(J807=0,J807=1)),NOT(OR(K807=0,K807=1)),NOT(OR(L807=0,L807=1)),NOT(OR(M807=0,M807=1)),NOT(OR(U807=0,U807=1))),"Yes","No")</f>
        <v>No</v>
      </c>
      <c r="O807" s="0" t="str">
        <f aca="false">IF(OR(AND(M807=1,L807=0),AND(L807=1,K807=0),AND(K807=1,J807=0)),"Yes","No")</f>
        <v>No</v>
      </c>
      <c r="P807" s="0" t="n">
        <v>0</v>
      </c>
      <c r="Q807" s="0" t="str">
        <f aca="false">IF(OR(AND(M807=0,P807&gt;0),AND(M807=1,P807&lt;=0)),"Yes","No")</f>
        <v>No</v>
      </c>
      <c r="R807" s="0" t="str">
        <f aca="false">IF(AND(M807=1,P807&gt;calc_helpers!$B$5),"Yes","No")</f>
        <v>No</v>
      </c>
      <c r="S807" s="0" t="n">
        <v>2</v>
      </c>
      <c r="T807" s="0" t="str">
        <f aca="false">IF(S807&gt;0,"Yes","No")</f>
        <v>Yes</v>
      </c>
      <c r="U807" s="0" t="n">
        <v>0</v>
      </c>
      <c r="W807" s="0" t="str">
        <f aca="false">IF(OR(AND(M807=1,ISBLANK(V807)),AND(M807=0,NOT(ISBLANK(V807)))),"Yes","No")</f>
        <v>No</v>
      </c>
      <c r="X807" s="0" t="n">
        <v>65.3</v>
      </c>
      <c r="Y807" s="3" t="s">
        <v>30</v>
      </c>
      <c r="Z807" s="0" t="str">
        <f aca="false">IF(M807=1,P807,"")</f>
        <v/>
      </c>
    </row>
    <row r="808" customFormat="false" ht="15" hidden="false" customHeight="false" outlineLevel="0" collapsed="false">
      <c r="A808" s="0" t="s">
        <v>852</v>
      </c>
      <c r="B808" s="2" t="n">
        <v>45744</v>
      </c>
      <c r="C808" s="3" t="s">
        <v>736</v>
      </c>
      <c r="D808" s="3" t="s">
        <v>43</v>
      </c>
      <c r="E808" s="3" t="s">
        <v>29</v>
      </c>
      <c r="F808" s="3" t="s">
        <v>30</v>
      </c>
      <c r="G808" s="3" t="s">
        <v>40</v>
      </c>
      <c r="H808" s="3" t="s">
        <v>30</v>
      </c>
      <c r="I808" s="3" t="s">
        <v>41</v>
      </c>
      <c r="J808" s="0" t="n">
        <v>1</v>
      </c>
      <c r="K808" s="0" t="n">
        <v>0</v>
      </c>
      <c r="L808" s="0" t="n">
        <v>0</v>
      </c>
      <c r="M808" s="0" t="n">
        <v>0</v>
      </c>
      <c r="N808" s="0" t="str">
        <f aca="false">IF(OR(NOT(OR(J808=0,J808=1)),NOT(OR(K808=0,K808=1)),NOT(OR(L808=0,L808=1)),NOT(OR(M808=0,M808=1)),NOT(OR(U808=0,U808=1))),"Yes","No")</f>
        <v>No</v>
      </c>
      <c r="O808" s="0" t="str">
        <f aca="false">IF(OR(AND(M808=1,L808=0),AND(L808=1,K808=0),AND(K808=1,J808=0)),"Yes","No")</f>
        <v>No</v>
      </c>
      <c r="P808" s="0" t="n">
        <v>0</v>
      </c>
      <c r="Q808" s="0" t="str">
        <f aca="false">IF(OR(AND(M808=0,P808&gt;0),AND(M808=1,P808&lt;=0)),"Yes","No")</f>
        <v>No</v>
      </c>
      <c r="R808" s="0" t="str">
        <f aca="false">IF(AND(M808=1,P808&gt;calc_helpers!$B$5),"Yes","No")</f>
        <v>No</v>
      </c>
      <c r="S808" s="0" t="n">
        <v>0</v>
      </c>
      <c r="T808" s="0" t="str">
        <f aca="false">IF(S808&gt;0,"Yes","No")</f>
        <v>No</v>
      </c>
      <c r="U808" s="0" t="n">
        <v>0</v>
      </c>
      <c r="W808" s="0" t="str">
        <f aca="false">IF(OR(AND(M808=1,ISBLANK(V808)),AND(M808=0,NOT(ISBLANK(V808)))),"Yes","No")</f>
        <v>No</v>
      </c>
      <c r="X808" s="0" t="n">
        <v>71.2</v>
      </c>
      <c r="Y808" s="3" t="s">
        <v>30</v>
      </c>
      <c r="Z808" s="0" t="str">
        <f aca="false">IF(M808=1,P808,"")</f>
        <v/>
      </c>
    </row>
    <row r="809" customFormat="false" ht="15" hidden="false" customHeight="false" outlineLevel="0" collapsed="false">
      <c r="A809" s="0" t="s">
        <v>853</v>
      </c>
      <c r="B809" s="2" t="n">
        <v>45792</v>
      </c>
      <c r="C809" s="3" t="s">
        <v>736</v>
      </c>
      <c r="D809" s="3" t="s">
        <v>43</v>
      </c>
      <c r="E809" s="3" t="s">
        <v>45</v>
      </c>
      <c r="F809" s="3" t="s">
        <v>30</v>
      </c>
      <c r="G809" s="3" t="s">
        <v>40</v>
      </c>
      <c r="H809" s="3" t="s">
        <v>30</v>
      </c>
      <c r="I809" s="3" t="s">
        <v>37</v>
      </c>
      <c r="J809" s="0" t="n">
        <v>1</v>
      </c>
      <c r="K809" s="0" t="n">
        <v>0</v>
      </c>
      <c r="L809" s="0" t="n">
        <v>0</v>
      </c>
      <c r="M809" s="0" t="n">
        <v>0</v>
      </c>
      <c r="N809" s="0" t="str">
        <f aca="false">IF(OR(NOT(OR(J809=0,J809=1)),NOT(OR(K809=0,K809=1)),NOT(OR(L809=0,L809=1)),NOT(OR(M809=0,M809=1)),NOT(OR(U809=0,U809=1))),"Yes","No")</f>
        <v>No</v>
      </c>
      <c r="O809" s="0" t="str">
        <f aca="false">IF(OR(AND(M809=1,L809=0),AND(L809=1,K809=0),AND(K809=1,J809=0)),"Yes","No")</f>
        <v>No</v>
      </c>
      <c r="P809" s="0" t="n">
        <v>0</v>
      </c>
      <c r="Q809" s="0" t="str">
        <f aca="false">IF(OR(AND(M809=0,P809&gt;0),AND(M809=1,P809&lt;=0)),"Yes","No")</f>
        <v>No</v>
      </c>
      <c r="R809" s="0" t="str">
        <f aca="false">IF(AND(M809=1,P809&gt;calc_helpers!$B$5),"Yes","No")</f>
        <v>No</v>
      </c>
      <c r="S809" s="0" t="n">
        <v>0</v>
      </c>
      <c r="T809" s="0" t="str">
        <f aca="false">IF(S809&gt;0,"Yes","No")</f>
        <v>No</v>
      </c>
      <c r="U809" s="0" t="n">
        <v>0</v>
      </c>
      <c r="W809" s="0" t="str">
        <f aca="false">IF(OR(AND(M809=1,ISBLANK(V809)),AND(M809=0,NOT(ISBLANK(V809)))),"Yes","No")</f>
        <v>No</v>
      </c>
      <c r="X809" s="0" t="n">
        <v>77.9</v>
      </c>
      <c r="Y809" s="3" t="s">
        <v>30</v>
      </c>
      <c r="Z809" s="0" t="str">
        <f aca="false">IF(M809=1,P809,"")</f>
        <v/>
      </c>
    </row>
    <row r="810" customFormat="false" ht="15" hidden="false" customHeight="false" outlineLevel="0" collapsed="false">
      <c r="A810" s="0" t="s">
        <v>854</v>
      </c>
      <c r="B810" s="2" t="n">
        <v>45729</v>
      </c>
      <c r="C810" s="3" t="s">
        <v>736</v>
      </c>
      <c r="D810" s="3" t="s">
        <v>34</v>
      </c>
      <c r="E810" s="3" t="s">
        <v>35</v>
      </c>
      <c r="F810" s="3" t="s">
        <v>30</v>
      </c>
      <c r="G810" s="3" t="s">
        <v>40</v>
      </c>
      <c r="H810" s="3" t="s">
        <v>30</v>
      </c>
      <c r="I810" s="3" t="s">
        <v>37</v>
      </c>
      <c r="J810" s="0" t="n">
        <v>0</v>
      </c>
      <c r="K810" s="0" t="n">
        <v>0</v>
      </c>
      <c r="L810" s="0" t="n">
        <v>0</v>
      </c>
      <c r="M810" s="0" t="n">
        <v>0</v>
      </c>
      <c r="N810" s="0" t="str">
        <f aca="false">IF(OR(NOT(OR(J810=0,J810=1)),NOT(OR(K810=0,K810=1)),NOT(OR(L810=0,L810=1)),NOT(OR(M810=0,M810=1)),NOT(OR(U810=0,U810=1))),"Yes","No")</f>
        <v>No</v>
      </c>
      <c r="O810" s="0" t="str">
        <f aca="false">IF(OR(AND(M810=1,L810=0),AND(L810=1,K810=0),AND(K810=1,J810=0)),"Yes","No")</f>
        <v>No</v>
      </c>
      <c r="P810" s="0" t="n">
        <v>0</v>
      </c>
      <c r="Q810" s="0" t="str">
        <f aca="false">IF(OR(AND(M810=0,P810&gt;0),AND(M810=1,P810&lt;=0)),"Yes","No")</f>
        <v>No</v>
      </c>
      <c r="R810" s="0" t="str">
        <f aca="false">IF(AND(M810=1,P810&gt;calc_helpers!$B$5),"Yes","No")</f>
        <v>No</v>
      </c>
      <c r="S810" s="0" t="n">
        <v>0</v>
      </c>
      <c r="T810" s="0" t="str">
        <f aca="false">IF(S810&gt;0,"Yes","No")</f>
        <v>No</v>
      </c>
      <c r="U810" s="0" t="n">
        <v>0</v>
      </c>
      <c r="W810" s="0" t="str">
        <f aca="false">IF(OR(AND(M810=1,ISBLANK(V810)),AND(M810=0,NOT(ISBLANK(V810)))),"Yes","No")</f>
        <v>No</v>
      </c>
      <c r="X810" s="0" t="n">
        <v>48.6</v>
      </c>
      <c r="Y810" s="3" t="s">
        <v>30</v>
      </c>
      <c r="Z810" s="0" t="str">
        <f aca="false">IF(M810=1,P810,"")</f>
        <v/>
      </c>
    </row>
    <row r="811" customFormat="false" ht="15" hidden="false" customHeight="false" outlineLevel="0" collapsed="false">
      <c r="A811" s="0" t="s">
        <v>855</v>
      </c>
      <c r="B811" s="2" t="n">
        <v>45742</v>
      </c>
      <c r="C811" s="3" t="s">
        <v>736</v>
      </c>
      <c r="D811" s="3" t="s">
        <v>28</v>
      </c>
      <c r="E811" s="3" t="s">
        <v>35</v>
      </c>
      <c r="F811" s="3" t="s">
        <v>30</v>
      </c>
      <c r="G811" s="3" t="s">
        <v>52</v>
      </c>
      <c r="H811" s="3" t="s">
        <v>30</v>
      </c>
      <c r="I811" s="3" t="s">
        <v>41</v>
      </c>
      <c r="J811" s="0" t="n">
        <v>1</v>
      </c>
      <c r="K811" s="0" t="n">
        <v>0</v>
      </c>
      <c r="L811" s="0" t="n">
        <v>0</v>
      </c>
      <c r="M811" s="0" t="n">
        <v>0</v>
      </c>
      <c r="N811" s="0" t="str">
        <f aca="false">IF(OR(NOT(OR(J811=0,J811=1)),NOT(OR(K811=0,K811=1)),NOT(OR(L811=0,L811=1)),NOT(OR(M811=0,M811=1)),NOT(OR(U811=0,U811=1))),"Yes","No")</f>
        <v>No</v>
      </c>
      <c r="O811" s="0" t="str">
        <f aca="false">IF(OR(AND(M811=1,L811=0),AND(L811=1,K811=0),AND(K811=1,J811=0)),"Yes","No")</f>
        <v>No</v>
      </c>
      <c r="P811" s="0" t="n">
        <v>0</v>
      </c>
      <c r="Q811" s="0" t="str">
        <f aca="false">IF(OR(AND(M811=0,P811&gt;0),AND(M811=1,P811&lt;=0)),"Yes","No")</f>
        <v>No</v>
      </c>
      <c r="R811" s="0" t="str">
        <f aca="false">IF(AND(M811=1,P811&gt;calc_helpers!$B$5),"Yes","No")</f>
        <v>No</v>
      </c>
      <c r="S811" s="0" t="n">
        <v>0</v>
      </c>
      <c r="T811" s="0" t="str">
        <f aca="false">IF(S811&gt;0,"Yes","No")</f>
        <v>No</v>
      </c>
      <c r="U811" s="0" t="n">
        <v>0</v>
      </c>
      <c r="W811" s="0" t="str">
        <f aca="false">IF(OR(AND(M811=1,ISBLANK(V811)),AND(M811=0,NOT(ISBLANK(V811)))),"Yes","No")</f>
        <v>No</v>
      </c>
      <c r="X811" s="0" t="n">
        <v>61.9</v>
      </c>
      <c r="Y811" s="3" t="s">
        <v>30</v>
      </c>
      <c r="Z811" s="0" t="str">
        <f aca="false">IF(M811=1,P811,"")</f>
        <v/>
      </c>
    </row>
    <row r="812" customFormat="false" ht="15" hidden="false" customHeight="false" outlineLevel="0" collapsed="false">
      <c r="A812" s="0" t="s">
        <v>856</v>
      </c>
      <c r="B812" s="2" t="n">
        <v>45666</v>
      </c>
      <c r="C812" s="3" t="s">
        <v>736</v>
      </c>
      <c r="D812" s="3" t="s">
        <v>28</v>
      </c>
      <c r="E812" s="3" t="s">
        <v>35</v>
      </c>
      <c r="F812" s="3" t="s">
        <v>30</v>
      </c>
      <c r="G812" s="3" t="s">
        <v>52</v>
      </c>
      <c r="H812" s="3" t="s">
        <v>30</v>
      </c>
      <c r="I812" s="3" t="s">
        <v>32</v>
      </c>
      <c r="J812" s="0" t="n">
        <v>0</v>
      </c>
      <c r="K812" s="0" t="n">
        <v>0</v>
      </c>
      <c r="L812" s="0" t="n">
        <v>0</v>
      </c>
      <c r="M812" s="0" t="n">
        <v>0</v>
      </c>
      <c r="N812" s="0" t="str">
        <f aca="false">IF(OR(NOT(OR(J812=0,J812=1)),NOT(OR(K812=0,K812=1)),NOT(OR(L812=0,L812=1)),NOT(OR(M812=0,M812=1)),NOT(OR(U812=0,U812=1))),"Yes","No")</f>
        <v>No</v>
      </c>
      <c r="O812" s="0" t="str">
        <f aca="false">IF(OR(AND(M812=1,L812=0),AND(L812=1,K812=0),AND(K812=1,J812=0)),"Yes","No")</f>
        <v>No</v>
      </c>
      <c r="P812" s="0" t="n">
        <v>0</v>
      </c>
      <c r="Q812" s="0" t="str">
        <f aca="false">IF(OR(AND(M812=0,P812&gt;0),AND(M812=1,P812&lt;=0)),"Yes","No")</f>
        <v>No</v>
      </c>
      <c r="R812" s="0" t="str">
        <f aca="false">IF(AND(M812=1,P812&gt;calc_helpers!$B$5),"Yes","No")</f>
        <v>No</v>
      </c>
      <c r="S812" s="0" t="n">
        <v>1</v>
      </c>
      <c r="T812" s="0" t="str">
        <f aca="false">IF(S812&gt;0,"Yes","No")</f>
        <v>Yes</v>
      </c>
      <c r="U812" s="0" t="n">
        <v>0</v>
      </c>
      <c r="W812" s="0" t="str">
        <f aca="false">IF(OR(AND(M812=1,ISBLANK(V812)),AND(M812=0,NOT(ISBLANK(V812)))),"Yes","No")</f>
        <v>No</v>
      </c>
      <c r="X812" s="0" t="n">
        <v>58.7</v>
      </c>
      <c r="Y812" s="3" t="s">
        <v>30</v>
      </c>
      <c r="Z812" s="0" t="str">
        <f aca="false">IF(M812=1,P812,"")</f>
        <v/>
      </c>
    </row>
    <row r="813" customFormat="false" ht="15" hidden="false" customHeight="false" outlineLevel="0" collapsed="false">
      <c r="A813" s="0" t="s">
        <v>857</v>
      </c>
      <c r="B813" s="2" t="n">
        <v>45783</v>
      </c>
      <c r="C813" s="3" t="s">
        <v>736</v>
      </c>
      <c r="D813" s="3" t="s">
        <v>43</v>
      </c>
      <c r="E813" s="3" t="s">
        <v>29</v>
      </c>
      <c r="F813" s="3" t="s">
        <v>30</v>
      </c>
      <c r="G813" s="3" t="s">
        <v>40</v>
      </c>
      <c r="H813" s="3" t="s">
        <v>30</v>
      </c>
      <c r="I813" s="3" t="s">
        <v>37</v>
      </c>
      <c r="J813" s="0" t="n">
        <v>1</v>
      </c>
      <c r="K813" s="0" t="n">
        <v>0</v>
      </c>
      <c r="L813" s="0" t="n">
        <v>0</v>
      </c>
      <c r="M813" s="0" t="n">
        <v>0</v>
      </c>
      <c r="N813" s="0" t="str">
        <f aca="false">IF(OR(NOT(OR(J813=0,J813=1)),NOT(OR(K813=0,K813=1)),NOT(OR(L813=0,L813=1)),NOT(OR(M813=0,M813=1)),NOT(OR(U813=0,U813=1))),"Yes","No")</f>
        <v>No</v>
      </c>
      <c r="O813" s="0" t="str">
        <f aca="false">IF(OR(AND(M813=1,L813=0),AND(L813=1,K813=0),AND(K813=1,J813=0)),"Yes","No")</f>
        <v>No</v>
      </c>
      <c r="P813" s="0" t="n">
        <v>0</v>
      </c>
      <c r="Q813" s="0" t="str">
        <f aca="false">IF(OR(AND(M813=0,P813&gt;0),AND(M813=1,P813&lt;=0)),"Yes","No")</f>
        <v>No</v>
      </c>
      <c r="R813" s="0" t="str">
        <f aca="false">IF(AND(M813=1,P813&gt;calc_helpers!$B$5),"Yes","No")</f>
        <v>No</v>
      </c>
      <c r="S813" s="0" t="n">
        <v>0</v>
      </c>
      <c r="T813" s="0" t="str">
        <f aca="false">IF(S813&gt;0,"Yes","No")</f>
        <v>No</v>
      </c>
      <c r="U813" s="0" t="n">
        <v>0</v>
      </c>
      <c r="W813" s="0" t="str">
        <f aca="false">IF(OR(AND(M813=1,ISBLANK(V813)),AND(M813=0,NOT(ISBLANK(V813)))),"Yes","No")</f>
        <v>No</v>
      </c>
      <c r="X813" s="0" t="n">
        <v>69.6</v>
      </c>
      <c r="Y813" s="3" t="s">
        <v>30</v>
      </c>
      <c r="Z813" s="0" t="str">
        <f aca="false">IF(M813=1,P813,"")</f>
        <v/>
      </c>
    </row>
    <row r="814" customFormat="false" ht="15" hidden="false" customHeight="false" outlineLevel="0" collapsed="false">
      <c r="A814" s="0" t="s">
        <v>858</v>
      </c>
      <c r="B814" s="2" t="n">
        <v>45705</v>
      </c>
      <c r="C814" s="3" t="s">
        <v>736</v>
      </c>
      <c r="D814" s="3" t="s">
        <v>43</v>
      </c>
      <c r="E814" s="3" t="s">
        <v>35</v>
      </c>
      <c r="F814" s="3" t="s">
        <v>30</v>
      </c>
      <c r="G814" s="3" t="s">
        <v>36</v>
      </c>
      <c r="H814" s="3" t="s">
        <v>30</v>
      </c>
      <c r="I814" s="3" t="s">
        <v>37</v>
      </c>
      <c r="J814" s="0" t="n">
        <v>1</v>
      </c>
      <c r="K814" s="0" t="n">
        <v>0</v>
      </c>
      <c r="L814" s="0" t="n">
        <v>0</v>
      </c>
      <c r="M814" s="0" t="n">
        <v>0</v>
      </c>
      <c r="N814" s="0" t="str">
        <f aca="false">IF(OR(NOT(OR(J814=0,J814=1)),NOT(OR(K814=0,K814=1)),NOT(OR(L814=0,L814=1)),NOT(OR(M814=0,M814=1)),NOT(OR(U814=0,U814=1))),"Yes","No")</f>
        <v>No</v>
      </c>
      <c r="O814" s="0" t="str">
        <f aca="false">IF(OR(AND(M814=1,L814=0),AND(L814=1,K814=0),AND(K814=1,J814=0)),"Yes","No")</f>
        <v>No</v>
      </c>
      <c r="P814" s="0" t="n">
        <v>0</v>
      </c>
      <c r="Q814" s="0" t="str">
        <f aca="false">IF(OR(AND(M814=0,P814&gt;0),AND(M814=1,P814&lt;=0)),"Yes","No")</f>
        <v>No</v>
      </c>
      <c r="R814" s="0" t="str">
        <f aca="false">IF(AND(M814=1,P814&gt;calc_helpers!$B$5),"Yes","No")</f>
        <v>No</v>
      </c>
      <c r="S814" s="0" t="n">
        <v>0</v>
      </c>
      <c r="T814" s="0" t="str">
        <f aca="false">IF(S814&gt;0,"Yes","No")</f>
        <v>No</v>
      </c>
      <c r="U814" s="0" t="n">
        <v>0</v>
      </c>
      <c r="W814" s="0" t="str">
        <f aca="false">IF(OR(AND(M814=1,ISBLANK(V814)),AND(M814=0,NOT(ISBLANK(V814)))),"Yes","No")</f>
        <v>No</v>
      </c>
      <c r="X814" s="0" t="n">
        <v>51.5</v>
      </c>
      <c r="Y814" s="3" t="s">
        <v>30</v>
      </c>
      <c r="Z814" s="0" t="str">
        <f aca="false">IF(M814=1,P814,"")</f>
        <v/>
      </c>
    </row>
    <row r="815" customFormat="false" ht="15" hidden="false" customHeight="false" outlineLevel="0" collapsed="false">
      <c r="A815" s="0" t="s">
        <v>859</v>
      </c>
      <c r="B815" s="2" t="n">
        <v>45752</v>
      </c>
      <c r="C815" s="3" t="s">
        <v>736</v>
      </c>
      <c r="D815" s="3" t="s">
        <v>39</v>
      </c>
      <c r="E815" s="3" t="s">
        <v>35</v>
      </c>
      <c r="F815" s="3" t="s">
        <v>30</v>
      </c>
      <c r="G815" s="3" t="s">
        <v>40</v>
      </c>
      <c r="H815" s="3" t="s">
        <v>30</v>
      </c>
      <c r="I815" s="3" t="s">
        <v>37</v>
      </c>
      <c r="J815" s="0" t="n">
        <v>1</v>
      </c>
      <c r="K815" s="0" t="n">
        <v>1</v>
      </c>
      <c r="L815" s="0" t="n">
        <v>1</v>
      </c>
      <c r="M815" s="0" t="n">
        <v>1</v>
      </c>
      <c r="N815" s="0" t="str">
        <f aca="false">IF(OR(NOT(OR(J815=0,J815=1)),NOT(OR(K815=0,K815=1)),NOT(OR(L815=0,L815=1)),NOT(OR(M815=0,M815=1)),NOT(OR(U815=0,U815=1))),"Yes","No")</f>
        <v>No</v>
      </c>
      <c r="O815" s="0" t="str">
        <f aca="false">IF(OR(AND(M815=1,L815=0),AND(L815=1,K815=0),AND(K815=1,J815=0)),"Yes","No")</f>
        <v>No</v>
      </c>
      <c r="P815" s="0" t="n">
        <v>277.69</v>
      </c>
      <c r="Q815" s="0" t="str">
        <f aca="false">IF(OR(AND(M815=0,P815&gt;0),AND(M815=1,P815&lt;=0)),"Yes","No")</f>
        <v>No</v>
      </c>
      <c r="R815" s="0" t="str">
        <f aca="false">IF(AND(M815=1,P815&gt;calc_helpers!$B$5),"Yes","No")</f>
        <v>No</v>
      </c>
      <c r="S815" s="0" t="n">
        <v>3</v>
      </c>
      <c r="T815" s="0" t="str">
        <f aca="false">IF(S815&gt;0,"Yes","No")</f>
        <v>Yes</v>
      </c>
      <c r="U815" s="0" t="n">
        <v>0</v>
      </c>
      <c r="V815" s="0" t="n">
        <v>8</v>
      </c>
      <c r="W815" s="0" t="str">
        <f aca="false">IF(OR(AND(M815=1,ISBLANK(V815)),AND(M815=0,NOT(ISBLANK(V815)))),"Yes","No")</f>
        <v>No</v>
      </c>
      <c r="X815" s="0" t="n">
        <v>46</v>
      </c>
      <c r="Y815" s="3" t="s">
        <v>30</v>
      </c>
      <c r="Z815" s="3" t="n">
        <f aca="false">IF(M815=1,P815,"")</f>
        <v>277.69</v>
      </c>
    </row>
    <row r="816" customFormat="false" ht="15" hidden="false" customHeight="false" outlineLevel="0" collapsed="false">
      <c r="A816" s="0" t="s">
        <v>860</v>
      </c>
      <c r="B816" s="2" t="n">
        <v>45760</v>
      </c>
      <c r="C816" s="3" t="s">
        <v>736</v>
      </c>
      <c r="D816" s="3" t="s">
        <v>34</v>
      </c>
      <c r="E816" s="3" t="s">
        <v>45</v>
      </c>
      <c r="F816" s="3" t="s">
        <v>30</v>
      </c>
      <c r="G816" s="3" t="s">
        <v>36</v>
      </c>
      <c r="H816" s="3" t="s">
        <v>30</v>
      </c>
      <c r="I816" s="3" t="s">
        <v>37</v>
      </c>
      <c r="J816" s="0" t="n">
        <v>1</v>
      </c>
      <c r="K816" s="0" t="n">
        <v>0</v>
      </c>
      <c r="L816" s="0" t="n">
        <v>0</v>
      </c>
      <c r="M816" s="0" t="n">
        <v>0</v>
      </c>
      <c r="N816" s="0" t="str">
        <f aca="false">IF(OR(NOT(OR(J816=0,J816=1)),NOT(OR(K816=0,K816=1)),NOT(OR(L816=0,L816=1)),NOT(OR(M816=0,M816=1)),NOT(OR(U816=0,U816=1))),"Yes","No")</f>
        <v>No</v>
      </c>
      <c r="O816" s="0" t="str">
        <f aca="false">IF(OR(AND(M816=1,L816=0),AND(L816=1,K816=0),AND(K816=1,J816=0)),"Yes","No")</f>
        <v>No</v>
      </c>
      <c r="P816" s="0" t="n">
        <v>0</v>
      </c>
      <c r="Q816" s="0" t="str">
        <f aca="false">IF(OR(AND(M816=0,P816&gt;0),AND(M816=1,P816&lt;=0)),"Yes","No")</f>
        <v>No</v>
      </c>
      <c r="R816" s="0" t="str">
        <f aca="false">IF(AND(M816=1,P816&gt;calc_helpers!$B$5),"Yes","No")</f>
        <v>No</v>
      </c>
      <c r="S816" s="0" t="n">
        <v>0</v>
      </c>
      <c r="T816" s="0" t="str">
        <f aca="false">IF(S816&gt;0,"Yes","No")</f>
        <v>No</v>
      </c>
      <c r="U816" s="0" t="n">
        <v>0</v>
      </c>
      <c r="W816" s="0" t="str">
        <f aca="false">IF(OR(AND(M816=1,ISBLANK(V816)),AND(M816=0,NOT(ISBLANK(V816)))),"Yes","No")</f>
        <v>No</v>
      </c>
      <c r="X816" s="0" t="n">
        <v>81.7</v>
      </c>
      <c r="Y816" s="3" t="s">
        <v>30</v>
      </c>
      <c r="Z816" s="0" t="str">
        <f aca="false">IF(M816=1,P816,"")</f>
        <v/>
      </c>
    </row>
    <row r="817" customFormat="false" ht="15" hidden="false" customHeight="false" outlineLevel="0" collapsed="false">
      <c r="A817" s="0" t="s">
        <v>861</v>
      </c>
      <c r="B817" s="2" t="n">
        <v>45797</v>
      </c>
      <c r="C817" s="3" t="s">
        <v>736</v>
      </c>
      <c r="D817" s="3" t="s">
        <v>39</v>
      </c>
      <c r="E817" s="3" t="s">
        <v>29</v>
      </c>
      <c r="F817" s="3" t="s">
        <v>30</v>
      </c>
      <c r="G817" s="3" t="s">
        <v>50</v>
      </c>
      <c r="H817" s="3" t="s">
        <v>30</v>
      </c>
      <c r="I817" s="3" t="s">
        <v>37</v>
      </c>
      <c r="J817" s="0" t="n">
        <v>1</v>
      </c>
      <c r="K817" s="0" t="n">
        <v>0</v>
      </c>
      <c r="L817" s="0" t="n">
        <v>0</v>
      </c>
      <c r="M817" s="0" t="n">
        <v>0</v>
      </c>
      <c r="N817" s="0" t="str">
        <f aca="false">IF(OR(NOT(OR(J817=0,J817=1)),NOT(OR(K817=0,K817=1)),NOT(OR(L817=0,L817=1)),NOT(OR(M817=0,M817=1)),NOT(OR(U817=0,U817=1))),"Yes","No")</f>
        <v>No</v>
      </c>
      <c r="O817" s="0" t="str">
        <f aca="false">IF(OR(AND(M817=1,L817=0),AND(L817=1,K817=0),AND(K817=1,J817=0)),"Yes","No")</f>
        <v>No</v>
      </c>
      <c r="P817" s="0" t="n">
        <v>0</v>
      </c>
      <c r="Q817" s="0" t="str">
        <f aca="false">IF(OR(AND(M817=0,P817&gt;0),AND(M817=1,P817&lt;=0)),"Yes","No")</f>
        <v>No</v>
      </c>
      <c r="R817" s="0" t="str">
        <f aca="false">IF(AND(M817=1,P817&gt;calc_helpers!$B$5),"Yes","No")</f>
        <v>No</v>
      </c>
      <c r="S817" s="0" t="n">
        <v>0</v>
      </c>
      <c r="T817" s="0" t="str">
        <f aca="false">IF(S817&gt;0,"Yes","No")</f>
        <v>No</v>
      </c>
      <c r="U817" s="0" t="n">
        <v>0</v>
      </c>
      <c r="W817" s="0" t="str">
        <f aca="false">IF(OR(AND(M817=1,ISBLANK(V817)),AND(M817=0,NOT(ISBLANK(V817)))),"Yes","No")</f>
        <v>No</v>
      </c>
      <c r="X817" s="0" t="n">
        <v>48.3</v>
      </c>
      <c r="Y817" s="3" t="s">
        <v>30</v>
      </c>
      <c r="Z817" s="0" t="str">
        <f aca="false">IF(M817=1,P817,"")</f>
        <v/>
      </c>
    </row>
    <row r="818" customFormat="false" ht="15" hidden="false" customHeight="false" outlineLevel="0" collapsed="false">
      <c r="A818" s="0" t="s">
        <v>862</v>
      </c>
      <c r="B818" s="2" t="n">
        <v>45747</v>
      </c>
      <c r="C818" s="3" t="s">
        <v>736</v>
      </c>
      <c r="D818" s="3" t="s">
        <v>39</v>
      </c>
      <c r="E818" s="3" t="s">
        <v>35</v>
      </c>
      <c r="F818" s="3" t="s">
        <v>30</v>
      </c>
      <c r="G818" s="3" t="s">
        <v>31</v>
      </c>
      <c r="H818" s="3" t="s">
        <v>30</v>
      </c>
      <c r="I818" s="3" t="s">
        <v>37</v>
      </c>
      <c r="J818" s="0" t="n">
        <v>1</v>
      </c>
      <c r="K818" s="0" t="n">
        <v>1</v>
      </c>
      <c r="L818" s="0" t="n">
        <v>0</v>
      </c>
      <c r="M818" s="0" t="n">
        <v>0</v>
      </c>
      <c r="N818" s="0" t="str">
        <f aca="false">IF(OR(NOT(OR(J818=0,J818=1)),NOT(OR(K818=0,K818=1)),NOT(OR(L818=0,L818=1)),NOT(OR(M818=0,M818=1)),NOT(OR(U818=0,U818=1))),"Yes","No")</f>
        <v>No</v>
      </c>
      <c r="O818" s="0" t="str">
        <f aca="false">IF(OR(AND(M818=1,L818=0),AND(L818=1,K818=0),AND(K818=1,J818=0)),"Yes","No")</f>
        <v>No</v>
      </c>
      <c r="P818" s="0" t="n">
        <v>0</v>
      </c>
      <c r="Q818" s="0" t="str">
        <f aca="false">IF(OR(AND(M818=0,P818&gt;0),AND(M818=1,P818&lt;=0)),"Yes","No")</f>
        <v>No</v>
      </c>
      <c r="R818" s="0" t="str">
        <f aca="false">IF(AND(M818=1,P818&gt;calc_helpers!$B$5),"Yes","No")</f>
        <v>No</v>
      </c>
      <c r="S818" s="0" t="n">
        <v>0</v>
      </c>
      <c r="T818" s="0" t="str">
        <f aca="false">IF(S818&gt;0,"Yes","No")</f>
        <v>No</v>
      </c>
      <c r="U818" s="0" t="n">
        <v>0</v>
      </c>
      <c r="W818" s="0" t="str">
        <f aca="false">IF(OR(AND(M818=1,ISBLANK(V818)),AND(M818=0,NOT(ISBLANK(V818)))),"Yes","No")</f>
        <v>No</v>
      </c>
      <c r="X818" s="0" t="n">
        <v>85.6</v>
      </c>
      <c r="Y818" s="3" t="s">
        <v>30</v>
      </c>
      <c r="Z818" s="0" t="str">
        <f aca="false">IF(M818=1,P818,"")</f>
        <v/>
      </c>
    </row>
    <row r="819" customFormat="false" ht="15" hidden="false" customHeight="false" outlineLevel="0" collapsed="false">
      <c r="A819" s="0" t="s">
        <v>863</v>
      </c>
      <c r="B819" s="2" t="n">
        <v>45750</v>
      </c>
      <c r="C819" s="3" t="s">
        <v>736</v>
      </c>
      <c r="D819" s="3" t="s">
        <v>34</v>
      </c>
      <c r="E819" s="3" t="s">
        <v>45</v>
      </c>
      <c r="F819" s="3" t="s">
        <v>30</v>
      </c>
      <c r="G819" s="3" t="s">
        <v>40</v>
      </c>
      <c r="H819" s="3" t="s">
        <v>30</v>
      </c>
      <c r="I819" s="3" t="s">
        <v>32</v>
      </c>
      <c r="J819" s="0" t="n">
        <v>1</v>
      </c>
      <c r="K819" s="0" t="n">
        <v>0</v>
      </c>
      <c r="L819" s="0" t="n">
        <v>0</v>
      </c>
      <c r="M819" s="0" t="n">
        <v>0</v>
      </c>
      <c r="N819" s="0" t="str">
        <f aca="false">IF(OR(NOT(OR(J819=0,J819=1)),NOT(OR(K819=0,K819=1)),NOT(OR(L819=0,L819=1)),NOT(OR(M819=0,M819=1)),NOT(OR(U819=0,U819=1))),"Yes","No")</f>
        <v>No</v>
      </c>
      <c r="O819" s="0" t="str">
        <f aca="false">IF(OR(AND(M819=1,L819=0),AND(L819=1,K819=0),AND(K819=1,J819=0)),"Yes","No")</f>
        <v>No</v>
      </c>
      <c r="P819" s="0" t="n">
        <v>0</v>
      </c>
      <c r="Q819" s="0" t="str">
        <f aca="false">IF(OR(AND(M819=0,P819&gt;0),AND(M819=1,P819&lt;=0)),"Yes","No")</f>
        <v>No</v>
      </c>
      <c r="R819" s="0" t="str">
        <f aca="false">IF(AND(M819=1,P819&gt;calc_helpers!$B$5),"Yes","No")</f>
        <v>No</v>
      </c>
      <c r="S819" s="0" t="n">
        <v>0</v>
      </c>
      <c r="T819" s="0" t="str">
        <f aca="false">IF(S819&gt;0,"Yes","No")</f>
        <v>No</v>
      </c>
      <c r="U819" s="0" t="n">
        <v>0</v>
      </c>
      <c r="W819" s="0" t="str">
        <f aca="false">IF(OR(AND(M819=1,ISBLANK(V819)),AND(M819=0,NOT(ISBLANK(V819)))),"Yes","No")</f>
        <v>No</v>
      </c>
      <c r="X819" s="0" t="n">
        <v>53.8</v>
      </c>
      <c r="Y819" s="3" t="s">
        <v>30</v>
      </c>
      <c r="Z819" s="0" t="str">
        <f aca="false">IF(M819=1,P819,"")</f>
        <v/>
      </c>
    </row>
    <row r="820" customFormat="false" ht="15" hidden="false" customHeight="false" outlineLevel="0" collapsed="false">
      <c r="A820" s="0" t="s">
        <v>864</v>
      </c>
      <c r="B820" s="2" t="n">
        <v>45692</v>
      </c>
      <c r="C820" s="3" t="s">
        <v>736</v>
      </c>
      <c r="D820" s="3" t="s">
        <v>43</v>
      </c>
      <c r="E820" s="3" t="s">
        <v>35</v>
      </c>
      <c r="F820" s="3" t="s">
        <v>30</v>
      </c>
      <c r="G820" s="3" t="s">
        <v>36</v>
      </c>
      <c r="H820" s="3" t="s">
        <v>30</v>
      </c>
      <c r="I820" s="3" t="s">
        <v>37</v>
      </c>
      <c r="J820" s="0" t="n">
        <v>1</v>
      </c>
      <c r="K820" s="0" t="n">
        <v>1</v>
      </c>
      <c r="L820" s="0" t="n">
        <v>1</v>
      </c>
      <c r="M820" s="0" t="n">
        <v>1</v>
      </c>
      <c r="N820" s="0" t="str">
        <f aca="false">IF(OR(NOT(OR(J820=0,J820=1)),NOT(OR(K820=0,K820=1)),NOT(OR(L820=0,L820=1)),NOT(OR(M820=0,M820=1)),NOT(OR(U820=0,U820=1))),"Yes","No")</f>
        <v>No</v>
      </c>
      <c r="O820" s="0" t="str">
        <f aca="false">IF(OR(AND(M820=1,L820=0),AND(L820=1,K820=0),AND(K820=1,J820=0)),"Yes","No")</f>
        <v>No</v>
      </c>
      <c r="P820" s="0" t="n">
        <v>460.83</v>
      </c>
      <c r="Q820" s="0" t="str">
        <f aca="false">IF(OR(AND(M820=0,P820&gt;0),AND(M820=1,P820&lt;=0)),"Yes","No")</f>
        <v>No</v>
      </c>
      <c r="R820" s="0" t="str">
        <f aca="false">IF(AND(M820=1,P820&gt;calc_helpers!$B$5),"Yes","No")</f>
        <v>No</v>
      </c>
      <c r="S820" s="0" t="n">
        <v>2</v>
      </c>
      <c r="T820" s="0" t="str">
        <f aca="false">IF(S820&gt;0,"Yes","No")</f>
        <v>Yes</v>
      </c>
      <c r="U820" s="0" t="n">
        <v>0</v>
      </c>
      <c r="V820" s="0" t="n">
        <v>0</v>
      </c>
      <c r="W820" s="0" t="str">
        <f aca="false">IF(OR(AND(M820=1,ISBLANK(V820)),AND(M820=0,NOT(ISBLANK(V820)))),"Yes","No")</f>
        <v>No</v>
      </c>
      <c r="X820" s="0" t="n">
        <v>69.7</v>
      </c>
      <c r="Y820" s="3" t="s">
        <v>30</v>
      </c>
      <c r="Z820" s="3" t="n">
        <f aca="false">IF(M820=1,P820,"")</f>
        <v>460.83</v>
      </c>
    </row>
    <row r="821" customFormat="false" ht="15" hidden="false" customHeight="false" outlineLevel="0" collapsed="false">
      <c r="A821" s="0" t="s">
        <v>865</v>
      </c>
      <c r="B821" s="2" t="n">
        <v>45796</v>
      </c>
      <c r="C821" s="3" t="s">
        <v>736</v>
      </c>
      <c r="D821" s="3" t="s">
        <v>39</v>
      </c>
      <c r="E821" s="3" t="s">
        <v>35</v>
      </c>
      <c r="F821" s="3" t="s">
        <v>30</v>
      </c>
      <c r="G821" s="3" t="s">
        <v>36</v>
      </c>
      <c r="H821" s="3" t="s">
        <v>30</v>
      </c>
      <c r="I821" s="3" t="s">
        <v>37</v>
      </c>
      <c r="J821" s="0" t="n">
        <v>1</v>
      </c>
      <c r="K821" s="0" t="n">
        <v>0</v>
      </c>
      <c r="L821" s="0" t="n">
        <v>0</v>
      </c>
      <c r="M821" s="0" t="n">
        <v>0</v>
      </c>
      <c r="N821" s="0" t="str">
        <f aca="false">IF(OR(NOT(OR(J821=0,J821=1)),NOT(OR(K821=0,K821=1)),NOT(OR(L821=0,L821=1)),NOT(OR(M821=0,M821=1)),NOT(OR(U821=0,U821=1))),"Yes","No")</f>
        <v>No</v>
      </c>
      <c r="O821" s="0" t="str">
        <f aca="false">IF(OR(AND(M821=1,L821=0),AND(L821=1,K821=0),AND(K821=1,J821=0)),"Yes","No")</f>
        <v>No</v>
      </c>
      <c r="P821" s="0" t="n">
        <v>0</v>
      </c>
      <c r="Q821" s="0" t="str">
        <f aca="false">IF(OR(AND(M821=0,P821&gt;0),AND(M821=1,P821&lt;=0)),"Yes","No")</f>
        <v>No</v>
      </c>
      <c r="R821" s="0" t="str">
        <f aca="false">IF(AND(M821=1,P821&gt;calc_helpers!$B$5),"Yes","No")</f>
        <v>No</v>
      </c>
      <c r="S821" s="0" t="n">
        <v>0</v>
      </c>
      <c r="T821" s="0" t="str">
        <f aca="false">IF(S821&gt;0,"Yes","No")</f>
        <v>No</v>
      </c>
      <c r="U821" s="0" t="n">
        <v>0</v>
      </c>
      <c r="W821" s="0" t="str">
        <f aca="false">IF(OR(AND(M821=1,ISBLANK(V821)),AND(M821=0,NOT(ISBLANK(V821)))),"Yes","No")</f>
        <v>No</v>
      </c>
      <c r="X821" s="0" t="n">
        <v>74.8</v>
      </c>
      <c r="Y821" s="3" t="s">
        <v>30</v>
      </c>
      <c r="Z821" s="0" t="str">
        <f aca="false">IF(M821=1,P821,"")</f>
        <v/>
      </c>
    </row>
    <row r="822" customFormat="false" ht="15" hidden="false" customHeight="false" outlineLevel="0" collapsed="false">
      <c r="A822" s="0" t="s">
        <v>866</v>
      </c>
      <c r="B822" s="2" t="n">
        <v>45724</v>
      </c>
      <c r="C822" s="3" t="s">
        <v>736</v>
      </c>
      <c r="D822" s="3" t="s">
        <v>39</v>
      </c>
      <c r="E822" s="3" t="s">
        <v>29</v>
      </c>
      <c r="F822" s="3" t="s">
        <v>30</v>
      </c>
      <c r="G822" s="3" t="s">
        <v>40</v>
      </c>
      <c r="H822" s="3" t="s">
        <v>30</v>
      </c>
      <c r="I822" s="3" t="s">
        <v>32</v>
      </c>
      <c r="J822" s="0" t="n">
        <v>0</v>
      </c>
      <c r="K822" s="0" t="n">
        <v>0</v>
      </c>
      <c r="L822" s="0" t="n">
        <v>0</v>
      </c>
      <c r="M822" s="0" t="n">
        <v>0</v>
      </c>
      <c r="N822" s="0" t="str">
        <f aca="false">IF(OR(NOT(OR(J822=0,J822=1)),NOT(OR(K822=0,K822=1)),NOT(OR(L822=0,L822=1)),NOT(OR(M822=0,M822=1)),NOT(OR(U822=0,U822=1))),"Yes","No")</f>
        <v>No</v>
      </c>
      <c r="O822" s="0" t="str">
        <f aca="false">IF(OR(AND(M822=1,L822=0),AND(L822=1,K822=0),AND(K822=1,J822=0)),"Yes","No")</f>
        <v>No</v>
      </c>
      <c r="P822" s="0" t="n">
        <v>0</v>
      </c>
      <c r="Q822" s="0" t="str">
        <f aca="false">IF(OR(AND(M822=0,P822&gt;0),AND(M822=1,P822&lt;=0)),"Yes","No")</f>
        <v>No</v>
      </c>
      <c r="R822" s="0" t="str">
        <f aca="false">IF(AND(M822=1,P822&gt;calc_helpers!$B$5),"Yes","No")</f>
        <v>No</v>
      </c>
      <c r="S822" s="0" t="n">
        <v>0</v>
      </c>
      <c r="T822" s="0" t="str">
        <f aca="false">IF(S822&gt;0,"Yes","No")</f>
        <v>No</v>
      </c>
      <c r="U822" s="0" t="n">
        <v>0</v>
      </c>
      <c r="W822" s="0" t="str">
        <f aca="false">IF(OR(AND(M822=1,ISBLANK(V822)),AND(M822=0,NOT(ISBLANK(V822)))),"Yes","No")</f>
        <v>No</v>
      </c>
      <c r="X822" s="0" t="n">
        <v>87.9</v>
      </c>
      <c r="Y822" s="3" t="s">
        <v>30</v>
      </c>
      <c r="Z822" s="0" t="str">
        <f aca="false">IF(M822=1,P822,"")</f>
        <v/>
      </c>
    </row>
    <row r="823" customFormat="false" ht="15" hidden="false" customHeight="false" outlineLevel="0" collapsed="false">
      <c r="A823" s="0" t="s">
        <v>867</v>
      </c>
      <c r="B823" s="2" t="n">
        <v>45787</v>
      </c>
      <c r="C823" s="3" t="s">
        <v>736</v>
      </c>
      <c r="D823" s="3" t="s">
        <v>28</v>
      </c>
      <c r="E823" s="3" t="s">
        <v>35</v>
      </c>
      <c r="F823" s="3" t="s">
        <v>30</v>
      </c>
      <c r="G823" s="3" t="s">
        <v>52</v>
      </c>
      <c r="H823" s="3" t="s">
        <v>30</v>
      </c>
      <c r="I823" s="3" t="s">
        <v>32</v>
      </c>
      <c r="J823" s="0" t="n">
        <v>1</v>
      </c>
      <c r="K823" s="0" t="n">
        <v>0</v>
      </c>
      <c r="L823" s="0" t="n">
        <v>0</v>
      </c>
      <c r="M823" s="0" t="n">
        <v>0</v>
      </c>
      <c r="N823" s="0" t="str">
        <f aca="false">IF(OR(NOT(OR(J823=0,J823=1)),NOT(OR(K823=0,K823=1)),NOT(OR(L823=0,L823=1)),NOT(OR(M823=0,M823=1)),NOT(OR(U823=0,U823=1))),"Yes","No")</f>
        <v>No</v>
      </c>
      <c r="O823" s="0" t="str">
        <f aca="false">IF(OR(AND(M823=1,L823=0),AND(L823=1,K823=0),AND(K823=1,J823=0)),"Yes","No")</f>
        <v>No</v>
      </c>
      <c r="P823" s="0" t="n">
        <v>0</v>
      </c>
      <c r="Q823" s="0" t="str">
        <f aca="false">IF(OR(AND(M823=0,P823&gt;0),AND(M823=1,P823&lt;=0)),"Yes","No")</f>
        <v>No</v>
      </c>
      <c r="R823" s="0" t="str">
        <f aca="false">IF(AND(M823=1,P823&gt;calc_helpers!$B$5),"Yes","No")</f>
        <v>No</v>
      </c>
      <c r="S823" s="0" t="n">
        <v>1</v>
      </c>
      <c r="T823" s="0" t="str">
        <f aca="false">IF(S823&gt;0,"Yes","No")</f>
        <v>Yes</v>
      </c>
      <c r="U823" s="0" t="n">
        <v>0</v>
      </c>
      <c r="W823" s="0" t="str">
        <f aca="false">IF(OR(AND(M823=1,ISBLANK(V823)),AND(M823=0,NOT(ISBLANK(V823)))),"Yes","No")</f>
        <v>No</v>
      </c>
      <c r="X823" s="0" t="n">
        <v>49.1</v>
      </c>
      <c r="Y823" s="3" t="s">
        <v>30</v>
      </c>
      <c r="Z823" s="0" t="str">
        <f aca="false">IF(M823=1,P823,"")</f>
        <v/>
      </c>
    </row>
    <row r="824" customFormat="false" ht="15" hidden="false" customHeight="false" outlineLevel="0" collapsed="false">
      <c r="A824" s="0" t="s">
        <v>868</v>
      </c>
      <c r="B824" s="2" t="n">
        <v>45659</v>
      </c>
      <c r="C824" s="3" t="s">
        <v>736</v>
      </c>
      <c r="D824" s="3" t="s">
        <v>39</v>
      </c>
      <c r="E824" s="3" t="s">
        <v>29</v>
      </c>
      <c r="F824" s="3" t="s">
        <v>30</v>
      </c>
      <c r="G824" s="3" t="s">
        <v>52</v>
      </c>
      <c r="H824" s="3" t="s">
        <v>30</v>
      </c>
      <c r="I824" s="3" t="s">
        <v>32</v>
      </c>
      <c r="J824" s="0" t="n">
        <v>1</v>
      </c>
      <c r="K824" s="0" t="n">
        <v>0</v>
      </c>
      <c r="L824" s="0" t="n">
        <v>0</v>
      </c>
      <c r="M824" s="0" t="n">
        <v>0</v>
      </c>
      <c r="N824" s="0" t="str">
        <f aca="false">IF(OR(NOT(OR(J824=0,J824=1)),NOT(OR(K824=0,K824=1)),NOT(OR(L824=0,L824=1)),NOT(OR(M824=0,M824=1)),NOT(OR(U824=0,U824=1))),"Yes","No")</f>
        <v>No</v>
      </c>
      <c r="O824" s="0" t="str">
        <f aca="false">IF(OR(AND(M824=1,L824=0),AND(L824=1,K824=0),AND(K824=1,J824=0)),"Yes","No")</f>
        <v>No</v>
      </c>
      <c r="P824" s="0" t="n">
        <v>0</v>
      </c>
      <c r="Q824" s="0" t="str">
        <f aca="false">IF(OR(AND(M824=0,P824&gt;0),AND(M824=1,P824&lt;=0)),"Yes","No")</f>
        <v>No</v>
      </c>
      <c r="R824" s="0" t="str">
        <f aca="false">IF(AND(M824=1,P824&gt;calc_helpers!$B$5),"Yes","No")</f>
        <v>No</v>
      </c>
      <c r="S824" s="0" t="n">
        <v>2</v>
      </c>
      <c r="T824" s="0" t="str">
        <f aca="false">IF(S824&gt;0,"Yes","No")</f>
        <v>Yes</v>
      </c>
      <c r="U824" s="0" t="n">
        <v>0</v>
      </c>
      <c r="W824" s="0" t="str">
        <f aca="false">IF(OR(AND(M824=1,ISBLANK(V824)),AND(M824=0,NOT(ISBLANK(V824)))),"Yes","No")</f>
        <v>No</v>
      </c>
      <c r="X824" s="0" t="n">
        <v>73</v>
      </c>
      <c r="Y824" s="3" t="s">
        <v>30</v>
      </c>
      <c r="Z824" s="0" t="str">
        <f aca="false">IF(M824=1,P824,"")</f>
        <v/>
      </c>
    </row>
    <row r="825" customFormat="false" ht="15" hidden="false" customHeight="false" outlineLevel="0" collapsed="false">
      <c r="A825" s="0" t="s">
        <v>869</v>
      </c>
      <c r="B825" s="2" t="n">
        <v>45674</v>
      </c>
      <c r="C825" s="3" t="s">
        <v>736</v>
      </c>
      <c r="D825" s="3" t="s">
        <v>34</v>
      </c>
      <c r="E825" s="3" t="s">
        <v>35</v>
      </c>
      <c r="F825" s="3" t="s">
        <v>30</v>
      </c>
      <c r="G825" s="3" t="s">
        <v>36</v>
      </c>
      <c r="H825" s="3" t="s">
        <v>30</v>
      </c>
      <c r="I825" s="3" t="s">
        <v>32</v>
      </c>
      <c r="J825" s="0" t="n">
        <v>0</v>
      </c>
      <c r="K825" s="0" t="n">
        <v>0</v>
      </c>
      <c r="L825" s="0" t="n">
        <v>0</v>
      </c>
      <c r="M825" s="0" t="n">
        <v>0</v>
      </c>
      <c r="N825" s="0" t="str">
        <f aca="false">IF(OR(NOT(OR(J825=0,J825=1)),NOT(OR(K825=0,K825=1)),NOT(OR(L825=0,L825=1)),NOT(OR(M825=0,M825=1)),NOT(OR(U825=0,U825=1))),"Yes","No")</f>
        <v>No</v>
      </c>
      <c r="O825" s="0" t="str">
        <f aca="false">IF(OR(AND(M825=1,L825=0),AND(L825=1,K825=0),AND(K825=1,J825=0)),"Yes","No")</f>
        <v>No</v>
      </c>
      <c r="P825" s="0" t="n">
        <v>0</v>
      </c>
      <c r="Q825" s="0" t="str">
        <f aca="false">IF(OR(AND(M825=0,P825&gt;0),AND(M825=1,P825&lt;=0)),"Yes","No")</f>
        <v>No</v>
      </c>
      <c r="R825" s="0" t="str">
        <f aca="false">IF(AND(M825=1,P825&gt;calc_helpers!$B$5),"Yes","No")</f>
        <v>No</v>
      </c>
      <c r="S825" s="0" t="n">
        <v>0</v>
      </c>
      <c r="T825" s="0" t="str">
        <f aca="false">IF(S825&gt;0,"Yes","No")</f>
        <v>No</v>
      </c>
      <c r="U825" s="0" t="n">
        <v>0</v>
      </c>
      <c r="W825" s="0" t="str">
        <f aca="false">IF(OR(AND(M825=1,ISBLANK(V825)),AND(M825=0,NOT(ISBLANK(V825)))),"Yes","No")</f>
        <v>No</v>
      </c>
      <c r="X825" s="0" t="n">
        <v>79.5</v>
      </c>
      <c r="Y825" s="3" t="s">
        <v>30</v>
      </c>
      <c r="Z825" s="0" t="str">
        <f aca="false">IF(M825=1,P825,"")</f>
        <v/>
      </c>
    </row>
    <row r="826" customFormat="false" ht="15" hidden="false" customHeight="false" outlineLevel="0" collapsed="false">
      <c r="A826" s="0" t="s">
        <v>870</v>
      </c>
      <c r="B826" s="2" t="n">
        <v>45798</v>
      </c>
      <c r="C826" s="3" t="s">
        <v>736</v>
      </c>
      <c r="D826" s="3" t="s">
        <v>34</v>
      </c>
      <c r="E826" s="3" t="s">
        <v>35</v>
      </c>
      <c r="F826" s="3" t="s">
        <v>30</v>
      </c>
      <c r="G826" s="3" t="s">
        <v>50</v>
      </c>
      <c r="H826" s="3" t="s">
        <v>30</v>
      </c>
      <c r="I826" s="3" t="s">
        <v>32</v>
      </c>
      <c r="J826" s="0" t="n">
        <v>1</v>
      </c>
      <c r="K826" s="0" t="n">
        <v>1</v>
      </c>
      <c r="L826" s="0" t="n">
        <v>1</v>
      </c>
      <c r="M826" s="0" t="n">
        <v>1</v>
      </c>
      <c r="N826" s="0" t="str">
        <f aca="false">IF(OR(NOT(OR(J826=0,J826=1)),NOT(OR(K826=0,K826=1)),NOT(OR(L826=0,L826=1)),NOT(OR(M826=0,M826=1)),NOT(OR(U826=0,U826=1))),"Yes","No")</f>
        <v>No</v>
      </c>
      <c r="O826" s="0" t="str">
        <f aca="false">IF(OR(AND(M826=1,L826=0),AND(L826=1,K826=0),AND(K826=1,J826=0)),"Yes","No")</f>
        <v>No</v>
      </c>
      <c r="P826" s="0" t="n">
        <v>782.23</v>
      </c>
      <c r="Q826" s="0" t="str">
        <f aca="false">IF(OR(AND(M826=0,P826&gt;0),AND(M826=1,P826&lt;=0)),"Yes","No")</f>
        <v>No</v>
      </c>
      <c r="R826" s="0" t="str">
        <f aca="false">IF(AND(M826=1,P826&gt;calc_helpers!$B$5),"Yes","No")</f>
        <v>No</v>
      </c>
      <c r="S826" s="0" t="n">
        <v>1</v>
      </c>
      <c r="T826" s="0" t="str">
        <f aca="false">IF(S826&gt;0,"Yes","No")</f>
        <v>Yes</v>
      </c>
      <c r="U826" s="0" t="n">
        <v>0</v>
      </c>
      <c r="V826" s="0" t="n">
        <v>6</v>
      </c>
      <c r="W826" s="0" t="str">
        <f aca="false">IF(OR(AND(M826=1,ISBLANK(V826)),AND(M826=0,NOT(ISBLANK(V826)))),"Yes","No")</f>
        <v>No</v>
      </c>
      <c r="X826" s="0" t="n">
        <v>93.2</v>
      </c>
      <c r="Y826" s="3" t="s">
        <v>30</v>
      </c>
      <c r="Z826" s="3" t="n">
        <f aca="false">IF(M826=1,P826,"")</f>
        <v>782.23</v>
      </c>
    </row>
    <row r="827" customFormat="false" ht="15" hidden="false" customHeight="false" outlineLevel="0" collapsed="false">
      <c r="A827" s="0" t="s">
        <v>871</v>
      </c>
      <c r="B827" s="2" t="n">
        <v>45802</v>
      </c>
      <c r="C827" s="3" t="s">
        <v>736</v>
      </c>
      <c r="D827" s="3" t="s">
        <v>39</v>
      </c>
      <c r="E827" s="3" t="s">
        <v>29</v>
      </c>
      <c r="F827" s="3" t="s">
        <v>30</v>
      </c>
      <c r="G827" s="3" t="s">
        <v>50</v>
      </c>
      <c r="H827" s="3" t="s">
        <v>30</v>
      </c>
      <c r="I827" s="3" t="s">
        <v>37</v>
      </c>
      <c r="J827" s="0" t="n">
        <v>1</v>
      </c>
      <c r="K827" s="0" t="n">
        <v>0</v>
      </c>
      <c r="L827" s="0" t="n">
        <v>0</v>
      </c>
      <c r="M827" s="0" t="n">
        <v>0</v>
      </c>
      <c r="N827" s="0" t="str">
        <f aca="false">IF(OR(NOT(OR(J827=0,J827=1)),NOT(OR(K827=0,K827=1)),NOT(OR(L827=0,L827=1)),NOT(OR(M827=0,M827=1)),NOT(OR(U827=0,U827=1))),"Yes","No")</f>
        <v>No</v>
      </c>
      <c r="O827" s="0" t="str">
        <f aca="false">IF(OR(AND(M827=1,L827=0),AND(L827=1,K827=0),AND(K827=1,J827=0)),"Yes","No")</f>
        <v>No</v>
      </c>
      <c r="P827" s="0" t="n">
        <v>0</v>
      </c>
      <c r="Q827" s="0" t="str">
        <f aca="false">IF(OR(AND(M827=0,P827&gt;0),AND(M827=1,P827&lt;=0)),"Yes","No")</f>
        <v>No</v>
      </c>
      <c r="R827" s="0" t="str">
        <f aca="false">IF(AND(M827=1,P827&gt;calc_helpers!$B$5),"Yes","No")</f>
        <v>No</v>
      </c>
      <c r="S827" s="0" t="n">
        <v>3</v>
      </c>
      <c r="T827" s="0" t="str">
        <f aca="false">IF(S827&gt;0,"Yes","No")</f>
        <v>Yes</v>
      </c>
      <c r="U827" s="0" t="n">
        <v>0</v>
      </c>
      <c r="W827" s="0" t="str">
        <f aca="false">IF(OR(AND(M827=1,ISBLANK(V827)),AND(M827=0,NOT(ISBLANK(V827)))),"Yes","No")</f>
        <v>No</v>
      </c>
      <c r="X827" s="0" t="n">
        <v>77.5</v>
      </c>
      <c r="Y827" s="3" t="s">
        <v>30</v>
      </c>
      <c r="Z827" s="0" t="str">
        <f aca="false">IF(M827=1,P827,"")</f>
        <v/>
      </c>
    </row>
    <row r="828" customFormat="false" ht="15" hidden="false" customHeight="false" outlineLevel="0" collapsed="false">
      <c r="A828" s="0" t="s">
        <v>872</v>
      </c>
      <c r="B828" s="2" t="n">
        <v>45662</v>
      </c>
      <c r="C828" s="3" t="s">
        <v>736</v>
      </c>
      <c r="D828" s="3" t="s">
        <v>34</v>
      </c>
      <c r="E828" s="3" t="s">
        <v>35</v>
      </c>
      <c r="F828" s="3" t="s">
        <v>30</v>
      </c>
      <c r="G828" s="3" t="s">
        <v>31</v>
      </c>
      <c r="H828" s="3" t="s">
        <v>30</v>
      </c>
      <c r="I828" s="3" t="s">
        <v>32</v>
      </c>
      <c r="J828" s="0" t="n">
        <v>1</v>
      </c>
      <c r="K828" s="0" t="n">
        <v>0</v>
      </c>
      <c r="L828" s="0" t="n">
        <v>0</v>
      </c>
      <c r="M828" s="0" t="n">
        <v>0</v>
      </c>
      <c r="N828" s="0" t="str">
        <f aca="false">IF(OR(NOT(OR(J828=0,J828=1)),NOT(OR(K828=0,K828=1)),NOT(OR(L828=0,L828=1)),NOT(OR(M828=0,M828=1)),NOT(OR(U828=0,U828=1))),"Yes","No")</f>
        <v>No</v>
      </c>
      <c r="O828" s="0" t="str">
        <f aca="false">IF(OR(AND(M828=1,L828=0),AND(L828=1,K828=0),AND(K828=1,J828=0)),"Yes","No")</f>
        <v>No</v>
      </c>
      <c r="P828" s="0" t="n">
        <v>0</v>
      </c>
      <c r="Q828" s="0" t="str">
        <f aca="false">IF(OR(AND(M828=0,P828&gt;0),AND(M828=1,P828&lt;=0)),"Yes","No")</f>
        <v>No</v>
      </c>
      <c r="R828" s="0" t="str">
        <f aca="false">IF(AND(M828=1,P828&gt;calc_helpers!$B$5),"Yes","No")</f>
        <v>No</v>
      </c>
      <c r="S828" s="0" t="n">
        <v>0</v>
      </c>
      <c r="T828" s="0" t="str">
        <f aca="false">IF(S828&gt;0,"Yes","No")</f>
        <v>No</v>
      </c>
      <c r="U828" s="0" t="n">
        <v>0</v>
      </c>
      <c r="W828" s="0" t="str">
        <f aca="false">IF(OR(AND(M828=1,ISBLANK(V828)),AND(M828=0,NOT(ISBLANK(V828)))),"Yes","No")</f>
        <v>No</v>
      </c>
      <c r="X828" s="0" t="n">
        <v>61</v>
      </c>
      <c r="Y828" s="3" t="s">
        <v>30</v>
      </c>
      <c r="Z828" s="0" t="str">
        <f aca="false">IF(M828=1,P828,"")</f>
        <v/>
      </c>
    </row>
    <row r="829" customFormat="false" ht="15" hidden="false" customHeight="false" outlineLevel="0" collapsed="false">
      <c r="A829" s="0" t="s">
        <v>873</v>
      </c>
      <c r="B829" s="2" t="n">
        <v>45712</v>
      </c>
      <c r="C829" s="3" t="s">
        <v>736</v>
      </c>
      <c r="D829" s="3" t="s">
        <v>43</v>
      </c>
      <c r="E829" s="3" t="s">
        <v>29</v>
      </c>
      <c r="F829" s="3" t="s">
        <v>30</v>
      </c>
      <c r="G829" s="3" t="s">
        <v>36</v>
      </c>
      <c r="H829" s="3" t="s">
        <v>30</v>
      </c>
      <c r="I829" s="3" t="s">
        <v>37</v>
      </c>
      <c r="J829" s="0" t="n">
        <v>1</v>
      </c>
      <c r="K829" s="0" t="n">
        <v>1</v>
      </c>
      <c r="L829" s="0" t="n">
        <v>0</v>
      </c>
      <c r="M829" s="0" t="n">
        <v>0</v>
      </c>
      <c r="N829" s="0" t="str">
        <f aca="false">IF(OR(NOT(OR(J829=0,J829=1)),NOT(OR(K829=0,K829=1)),NOT(OR(L829=0,L829=1)),NOT(OR(M829=0,M829=1)),NOT(OR(U829=0,U829=1))),"Yes","No")</f>
        <v>No</v>
      </c>
      <c r="O829" s="0" t="str">
        <f aca="false">IF(OR(AND(M829=1,L829=0),AND(L829=1,K829=0),AND(K829=1,J829=0)),"Yes","No")</f>
        <v>No</v>
      </c>
      <c r="P829" s="0" t="n">
        <v>0</v>
      </c>
      <c r="Q829" s="0" t="str">
        <f aca="false">IF(OR(AND(M829=0,P829&gt;0),AND(M829=1,P829&lt;=0)),"Yes","No")</f>
        <v>No</v>
      </c>
      <c r="R829" s="0" t="str">
        <f aca="false">IF(AND(M829=1,P829&gt;calc_helpers!$B$5),"Yes","No")</f>
        <v>No</v>
      </c>
      <c r="S829" s="0" t="n">
        <v>0</v>
      </c>
      <c r="T829" s="0" t="str">
        <f aca="false">IF(S829&gt;0,"Yes","No")</f>
        <v>No</v>
      </c>
      <c r="U829" s="0" t="n">
        <v>0</v>
      </c>
      <c r="W829" s="0" t="str">
        <f aca="false">IF(OR(AND(M829=1,ISBLANK(V829)),AND(M829=0,NOT(ISBLANK(V829)))),"Yes","No")</f>
        <v>No</v>
      </c>
      <c r="X829" s="0" t="n">
        <v>64.9</v>
      </c>
      <c r="Y829" s="3" t="s">
        <v>30</v>
      </c>
      <c r="Z829" s="0" t="str">
        <f aca="false">IF(M829=1,P829,"")</f>
        <v/>
      </c>
    </row>
    <row r="830" customFormat="false" ht="15" hidden="false" customHeight="false" outlineLevel="0" collapsed="false">
      <c r="A830" s="0" t="s">
        <v>874</v>
      </c>
      <c r="B830" s="2" t="n">
        <v>45678</v>
      </c>
      <c r="C830" s="3" t="s">
        <v>736</v>
      </c>
      <c r="D830" s="3" t="s">
        <v>39</v>
      </c>
      <c r="E830" s="3" t="s">
        <v>35</v>
      </c>
      <c r="F830" s="3" t="s">
        <v>30</v>
      </c>
      <c r="G830" s="3" t="s">
        <v>40</v>
      </c>
      <c r="H830" s="3" t="s">
        <v>30</v>
      </c>
      <c r="I830" s="3" t="s">
        <v>32</v>
      </c>
      <c r="J830" s="0" t="n">
        <v>1</v>
      </c>
      <c r="K830" s="0" t="n">
        <v>0</v>
      </c>
      <c r="L830" s="0" t="n">
        <v>0</v>
      </c>
      <c r="M830" s="0" t="n">
        <v>0</v>
      </c>
      <c r="N830" s="0" t="str">
        <f aca="false">IF(OR(NOT(OR(J830=0,J830=1)),NOT(OR(K830=0,K830=1)),NOT(OR(L830=0,L830=1)),NOT(OR(M830=0,M830=1)),NOT(OR(U830=0,U830=1))),"Yes","No")</f>
        <v>No</v>
      </c>
      <c r="O830" s="0" t="str">
        <f aca="false">IF(OR(AND(M830=1,L830=0),AND(L830=1,K830=0),AND(K830=1,J830=0)),"Yes","No")</f>
        <v>No</v>
      </c>
      <c r="P830" s="0" t="n">
        <v>0</v>
      </c>
      <c r="Q830" s="0" t="str">
        <f aca="false">IF(OR(AND(M830=0,P830&gt;0),AND(M830=1,P830&lt;=0)),"Yes","No")</f>
        <v>No</v>
      </c>
      <c r="R830" s="0" t="str">
        <f aca="false">IF(AND(M830=1,P830&gt;calc_helpers!$B$5),"Yes","No")</f>
        <v>No</v>
      </c>
      <c r="S830" s="0" t="n">
        <v>0</v>
      </c>
      <c r="T830" s="0" t="str">
        <f aca="false">IF(S830&gt;0,"Yes","No")</f>
        <v>No</v>
      </c>
      <c r="U830" s="0" t="n">
        <v>0</v>
      </c>
      <c r="W830" s="0" t="str">
        <f aca="false">IF(OR(AND(M830=1,ISBLANK(V830)),AND(M830=0,NOT(ISBLANK(V830)))),"Yes","No")</f>
        <v>No</v>
      </c>
      <c r="X830" s="0" t="n">
        <v>87.5</v>
      </c>
      <c r="Y830" s="3" t="s">
        <v>30</v>
      </c>
      <c r="Z830" s="0" t="str">
        <f aca="false">IF(M830=1,P830,"")</f>
        <v/>
      </c>
    </row>
    <row r="831" customFormat="false" ht="15" hidden="false" customHeight="false" outlineLevel="0" collapsed="false">
      <c r="A831" s="0" t="s">
        <v>875</v>
      </c>
      <c r="B831" s="2" t="n">
        <v>45771</v>
      </c>
      <c r="C831" s="3" t="s">
        <v>736</v>
      </c>
      <c r="D831" s="3" t="s">
        <v>28</v>
      </c>
      <c r="E831" s="3" t="s">
        <v>35</v>
      </c>
      <c r="F831" s="3" t="s">
        <v>30</v>
      </c>
      <c r="G831" s="3" t="s">
        <v>36</v>
      </c>
      <c r="H831" s="3" t="s">
        <v>30</v>
      </c>
      <c r="I831" s="3" t="s">
        <v>32</v>
      </c>
      <c r="J831" s="0" t="n">
        <v>1</v>
      </c>
      <c r="K831" s="0" t="n">
        <v>1</v>
      </c>
      <c r="L831" s="0" t="n">
        <v>1</v>
      </c>
      <c r="M831" s="0" t="n">
        <v>1</v>
      </c>
      <c r="N831" s="0" t="str">
        <f aca="false">IF(OR(NOT(OR(J831=0,J831=1)),NOT(OR(K831=0,K831=1)),NOT(OR(L831=0,L831=1)),NOT(OR(M831=0,M831=1)),NOT(OR(U831=0,U831=1))),"Yes","No")</f>
        <v>No</v>
      </c>
      <c r="O831" s="0" t="str">
        <f aca="false">IF(OR(AND(M831=1,L831=0),AND(L831=1,K831=0),AND(K831=1,J831=0)),"Yes","No")</f>
        <v>No</v>
      </c>
      <c r="P831" s="0" t="n">
        <v>1171.99</v>
      </c>
      <c r="Q831" s="0" t="str">
        <f aca="false">IF(OR(AND(M831=0,P831&gt;0),AND(M831=1,P831&lt;=0)),"Yes","No")</f>
        <v>No</v>
      </c>
      <c r="R831" s="0" t="str">
        <f aca="false">IF(AND(M831=1,P831&gt;calc_helpers!$B$5),"Yes","No")</f>
        <v>No</v>
      </c>
      <c r="S831" s="0" t="n">
        <v>0</v>
      </c>
      <c r="T831" s="0" t="str">
        <f aca="false">IF(S831&gt;0,"Yes","No")</f>
        <v>No</v>
      </c>
      <c r="U831" s="0" t="n">
        <v>0</v>
      </c>
      <c r="V831" s="0" t="n">
        <v>5</v>
      </c>
      <c r="W831" s="0" t="str">
        <f aca="false">IF(OR(AND(M831=1,ISBLANK(V831)),AND(M831=0,NOT(ISBLANK(V831)))),"Yes","No")</f>
        <v>No</v>
      </c>
      <c r="X831" s="0" t="n">
        <v>80.6</v>
      </c>
      <c r="Y831" s="3" t="s">
        <v>30</v>
      </c>
      <c r="Z831" s="3" t="n">
        <f aca="false">IF(M831=1,P831,"")</f>
        <v>1171.99</v>
      </c>
    </row>
    <row r="832" customFormat="false" ht="15" hidden="false" customHeight="false" outlineLevel="0" collapsed="false">
      <c r="A832" s="0" t="s">
        <v>876</v>
      </c>
      <c r="B832" s="2" t="n">
        <v>45664</v>
      </c>
      <c r="C832" s="3" t="s">
        <v>736</v>
      </c>
      <c r="D832" s="3" t="s">
        <v>34</v>
      </c>
      <c r="E832" s="3" t="s">
        <v>29</v>
      </c>
      <c r="F832" s="3" t="s">
        <v>30</v>
      </c>
      <c r="G832" s="3" t="s">
        <v>36</v>
      </c>
      <c r="H832" s="3" t="s">
        <v>30</v>
      </c>
      <c r="I832" s="3" t="s">
        <v>37</v>
      </c>
      <c r="J832" s="0" t="n">
        <v>1</v>
      </c>
      <c r="K832" s="0" t="n">
        <v>0</v>
      </c>
      <c r="L832" s="0" t="n">
        <v>0</v>
      </c>
      <c r="M832" s="0" t="n">
        <v>0</v>
      </c>
      <c r="N832" s="0" t="str">
        <f aca="false">IF(OR(NOT(OR(J832=0,J832=1)),NOT(OR(K832=0,K832=1)),NOT(OR(L832=0,L832=1)),NOT(OR(M832=0,M832=1)),NOT(OR(U832=0,U832=1))),"Yes","No")</f>
        <v>No</v>
      </c>
      <c r="O832" s="0" t="str">
        <f aca="false">IF(OR(AND(M832=1,L832=0),AND(L832=1,K832=0),AND(K832=1,J832=0)),"Yes","No")</f>
        <v>No</v>
      </c>
      <c r="P832" s="0" t="n">
        <v>0</v>
      </c>
      <c r="Q832" s="0" t="str">
        <f aca="false">IF(OR(AND(M832=0,P832&gt;0),AND(M832=1,P832&lt;=0)),"Yes","No")</f>
        <v>No</v>
      </c>
      <c r="R832" s="0" t="str">
        <f aca="false">IF(AND(M832=1,P832&gt;calc_helpers!$B$5),"Yes","No")</f>
        <v>No</v>
      </c>
      <c r="S832" s="0" t="n">
        <v>0</v>
      </c>
      <c r="T832" s="0" t="str">
        <f aca="false">IF(S832&gt;0,"Yes","No")</f>
        <v>No</v>
      </c>
      <c r="U832" s="0" t="n">
        <v>0</v>
      </c>
      <c r="W832" s="0" t="str">
        <f aca="false">IF(OR(AND(M832=1,ISBLANK(V832)),AND(M832=0,NOT(ISBLANK(V832)))),"Yes","No")</f>
        <v>No</v>
      </c>
      <c r="X832" s="0" t="n">
        <v>66.9</v>
      </c>
      <c r="Y832" s="3" t="s">
        <v>30</v>
      </c>
      <c r="Z832" s="0" t="str">
        <f aca="false">IF(M832=1,P832,"")</f>
        <v/>
      </c>
    </row>
    <row r="833" customFormat="false" ht="15" hidden="false" customHeight="false" outlineLevel="0" collapsed="false">
      <c r="A833" s="0" t="s">
        <v>877</v>
      </c>
      <c r="B833" s="2" t="n">
        <v>45808</v>
      </c>
      <c r="C833" s="3" t="s">
        <v>736</v>
      </c>
      <c r="D833" s="3" t="s">
        <v>43</v>
      </c>
      <c r="E833" s="3" t="s">
        <v>45</v>
      </c>
      <c r="F833" s="3" t="s">
        <v>30</v>
      </c>
      <c r="G833" s="3" t="s">
        <v>36</v>
      </c>
      <c r="H833" s="3" t="s">
        <v>30</v>
      </c>
      <c r="I833" s="3" t="s">
        <v>32</v>
      </c>
      <c r="J833" s="0" t="n">
        <v>1</v>
      </c>
      <c r="K833" s="0" t="n">
        <v>1</v>
      </c>
      <c r="L833" s="0" t="n">
        <v>1</v>
      </c>
      <c r="M833" s="0" t="n">
        <v>0</v>
      </c>
      <c r="N833" s="0" t="str">
        <f aca="false">IF(OR(NOT(OR(J833=0,J833=1)),NOT(OR(K833=0,K833=1)),NOT(OR(L833=0,L833=1)),NOT(OR(M833=0,M833=1)),NOT(OR(U833=0,U833=1))),"Yes","No")</f>
        <v>No</v>
      </c>
      <c r="O833" s="0" t="str">
        <f aca="false">IF(OR(AND(M833=1,L833=0),AND(L833=1,K833=0),AND(K833=1,J833=0)),"Yes","No")</f>
        <v>No</v>
      </c>
      <c r="P833" s="0" t="n">
        <v>0</v>
      </c>
      <c r="Q833" s="0" t="str">
        <f aca="false">IF(OR(AND(M833=0,P833&gt;0),AND(M833=1,P833&lt;=0)),"Yes","No")</f>
        <v>No</v>
      </c>
      <c r="R833" s="0" t="str">
        <f aca="false">IF(AND(M833=1,P833&gt;calc_helpers!$B$5),"Yes","No")</f>
        <v>No</v>
      </c>
      <c r="S833" s="0" t="n">
        <v>0</v>
      </c>
      <c r="T833" s="0" t="str">
        <f aca="false">IF(S833&gt;0,"Yes","No")</f>
        <v>No</v>
      </c>
      <c r="U833" s="0" t="n">
        <v>0</v>
      </c>
      <c r="W833" s="0" t="str">
        <f aca="false">IF(OR(AND(M833=1,ISBLANK(V833)),AND(M833=0,NOT(ISBLANK(V833)))),"Yes","No")</f>
        <v>No</v>
      </c>
      <c r="X833" s="0" t="n">
        <v>58.8</v>
      </c>
      <c r="Y833" s="3" t="s">
        <v>30</v>
      </c>
      <c r="Z833" s="0" t="str">
        <f aca="false">IF(M833=1,P833,"")</f>
        <v/>
      </c>
    </row>
    <row r="834" customFormat="false" ht="15" hidden="false" customHeight="false" outlineLevel="0" collapsed="false">
      <c r="A834" s="0" t="s">
        <v>878</v>
      </c>
      <c r="B834" s="2" t="n">
        <v>45749</v>
      </c>
      <c r="C834" s="3" t="s">
        <v>736</v>
      </c>
      <c r="D834" s="3" t="s">
        <v>28</v>
      </c>
      <c r="E834" s="3" t="s">
        <v>29</v>
      </c>
      <c r="F834" s="3" t="s">
        <v>30</v>
      </c>
      <c r="G834" s="3" t="s">
        <v>36</v>
      </c>
      <c r="H834" s="3" t="s">
        <v>30</v>
      </c>
      <c r="I834" s="3" t="s">
        <v>32</v>
      </c>
      <c r="J834" s="0" t="n">
        <v>1</v>
      </c>
      <c r="K834" s="0" t="n">
        <v>1</v>
      </c>
      <c r="L834" s="0" t="n">
        <v>1</v>
      </c>
      <c r="M834" s="0" t="n">
        <v>1</v>
      </c>
      <c r="N834" s="0" t="str">
        <f aca="false">IF(OR(NOT(OR(J834=0,J834=1)),NOT(OR(K834=0,K834=1)),NOT(OR(L834=0,L834=1)),NOT(OR(M834=0,M834=1)),NOT(OR(U834=0,U834=1))),"Yes","No")</f>
        <v>No</v>
      </c>
      <c r="O834" s="0" t="str">
        <f aca="false">IF(OR(AND(M834=1,L834=0),AND(L834=1,K834=0),AND(K834=1,J834=0)),"Yes","No")</f>
        <v>No</v>
      </c>
      <c r="P834" s="0" t="n">
        <v>1010.4</v>
      </c>
      <c r="Q834" s="0" t="str">
        <f aca="false">IF(OR(AND(M834=0,P834&gt;0),AND(M834=1,P834&lt;=0)),"Yes","No")</f>
        <v>No</v>
      </c>
      <c r="R834" s="0" t="str">
        <f aca="false">IF(AND(M834=1,P834&gt;calc_helpers!$B$5),"Yes","No")</f>
        <v>No</v>
      </c>
      <c r="S834" s="0" t="n">
        <v>0</v>
      </c>
      <c r="T834" s="0" t="str">
        <f aca="false">IF(S834&gt;0,"Yes","No")</f>
        <v>No</v>
      </c>
      <c r="U834" s="0" t="n">
        <v>0</v>
      </c>
      <c r="V834" s="0" t="n">
        <v>4</v>
      </c>
      <c r="W834" s="0" t="str">
        <f aca="false">IF(OR(AND(M834=1,ISBLANK(V834)),AND(M834=0,NOT(ISBLANK(V834)))),"Yes","No")</f>
        <v>No</v>
      </c>
      <c r="X834" s="0" t="n">
        <v>42.9</v>
      </c>
      <c r="Y834" s="3" t="s">
        <v>30</v>
      </c>
      <c r="Z834" s="3" t="n">
        <f aca="false">IF(M834=1,P834,"")</f>
        <v>1010.4</v>
      </c>
    </row>
    <row r="835" customFormat="false" ht="15" hidden="false" customHeight="false" outlineLevel="0" collapsed="false">
      <c r="A835" s="0" t="s">
        <v>879</v>
      </c>
      <c r="B835" s="2" t="n">
        <v>45768</v>
      </c>
      <c r="C835" s="3" t="s">
        <v>736</v>
      </c>
      <c r="D835" s="3" t="s">
        <v>39</v>
      </c>
      <c r="E835" s="3" t="s">
        <v>35</v>
      </c>
      <c r="F835" s="3" t="s">
        <v>30</v>
      </c>
      <c r="G835" s="3" t="s">
        <v>36</v>
      </c>
      <c r="H835" s="3" t="s">
        <v>30</v>
      </c>
      <c r="I835" s="3" t="s">
        <v>37</v>
      </c>
      <c r="J835" s="0" t="n">
        <v>1</v>
      </c>
      <c r="K835" s="0" t="n">
        <v>1</v>
      </c>
      <c r="L835" s="0" t="n">
        <v>1</v>
      </c>
      <c r="M835" s="0" t="n">
        <v>0</v>
      </c>
      <c r="N835" s="0" t="str">
        <f aca="false">IF(OR(NOT(OR(J835=0,J835=1)),NOT(OR(K835=0,K835=1)),NOT(OR(L835=0,L835=1)),NOT(OR(M835=0,M835=1)),NOT(OR(U835=0,U835=1))),"Yes","No")</f>
        <v>No</v>
      </c>
      <c r="O835" s="0" t="str">
        <f aca="false">IF(OR(AND(M835=1,L835=0),AND(L835=1,K835=0),AND(K835=1,J835=0)),"Yes","No")</f>
        <v>No</v>
      </c>
      <c r="P835" s="0" t="n">
        <v>0</v>
      </c>
      <c r="Q835" s="0" t="str">
        <f aca="false">IF(OR(AND(M835=0,P835&gt;0),AND(M835=1,P835&lt;=0)),"Yes","No")</f>
        <v>No</v>
      </c>
      <c r="R835" s="0" t="str">
        <f aca="false">IF(AND(M835=1,P835&gt;calc_helpers!$B$5),"Yes","No")</f>
        <v>No</v>
      </c>
      <c r="S835" s="0" t="n">
        <v>1</v>
      </c>
      <c r="T835" s="0" t="str">
        <f aca="false">IF(S835&gt;0,"Yes","No")</f>
        <v>Yes</v>
      </c>
      <c r="U835" s="0" t="n">
        <v>0</v>
      </c>
      <c r="W835" s="0" t="str">
        <f aca="false">IF(OR(AND(M835=1,ISBLANK(V835)),AND(M835=0,NOT(ISBLANK(V835)))),"Yes","No")</f>
        <v>No</v>
      </c>
      <c r="X835" s="0" t="n">
        <v>60.2</v>
      </c>
      <c r="Y835" s="3" t="s">
        <v>30</v>
      </c>
      <c r="Z835" s="0" t="str">
        <f aca="false">IF(M835=1,P835,"")</f>
        <v/>
      </c>
    </row>
    <row r="836" customFormat="false" ht="15" hidden="false" customHeight="false" outlineLevel="0" collapsed="false">
      <c r="A836" s="0" t="s">
        <v>880</v>
      </c>
      <c r="B836" s="2" t="n">
        <v>45782</v>
      </c>
      <c r="C836" s="3" t="s">
        <v>736</v>
      </c>
      <c r="D836" s="3" t="s">
        <v>39</v>
      </c>
      <c r="E836" s="3" t="s">
        <v>35</v>
      </c>
      <c r="F836" s="3" t="s">
        <v>30</v>
      </c>
      <c r="G836" s="3" t="s">
        <v>40</v>
      </c>
      <c r="H836" s="3" t="s">
        <v>30</v>
      </c>
      <c r="I836" s="3" t="s">
        <v>32</v>
      </c>
      <c r="J836" s="0" t="n">
        <v>1</v>
      </c>
      <c r="K836" s="0" t="n">
        <v>0</v>
      </c>
      <c r="L836" s="0" t="n">
        <v>0</v>
      </c>
      <c r="M836" s="0" t="n">
        <v>0</v>
      </c>
      <c r="N836" s="0" t="str">
        <f aca="false">IF(OR(NOT(OR(J836=0,J836=1)),NOT(OR(K836=0,K836=1)),NOT(OR(L836=0,L836=1)),NOT(OR(M836=0,M836=1)),NOT(OR(U836=0,U836=1))),"Yes","No")</f>
        <v>No</v>
      </c>
      <c r="O836" s="0" t="str">
        <f aca="false">IF(OR(AND(M836=1,L836=0),AND(L836=1,K836=0),AND(K836=1,J836=0)),"Yes","No")</f>
        <v>No</v>
      </c>
      <c r="P836" s="0" t="n">
        <v>0</v>
      </c>
      <c r="Q836" s="0" t="str">
        <f aca="false">IF(OR(AND(M836=0,P836&gt;0),AND(M836=1,P836&lt;=0)),"Yes","No")</f>
        <v>No</v>
      </c>
      <c r="R836" s="0" t="str">
        <f aca="false">IF(AND(M836=1,P836&gt;calc_helpers!$B$5),"Yes","No")</f>
        <v>No</v>
      </c>
      <c r="S836" s="0" t="n">
        <v>0</v>
      </c>
      <c r="T836" s="0" t="str">
        <f aca="false">IF(S836&gt;0,"Yes","No")</f>
        <v>No</v>
      </c>
      <c r="U836" s="0" t="n">
        <v>0</v>
      </c>
      <c r="W836" s="0" t="str">
        <f aca="false">IF(OR(AND(M836=1,ISBLANK(V836)),AND(M836=0,NOT(ISBLANK(V836)))),"Yes","No")</f>
        <v>No</v>
      </c>
      <c r="X836" s="0" t="n">
        <v>42.7</v>
      </c>
      <c r="Y836" s="3" t="s">
        <v>30</v>
      </c>
      <c r="Z836" s="0" t="str">
        <f aca="false">IF(M836=1,P836,"")</f>
        <v/>
      </c>
    </row>
    <row r="837" customFormat="false" ht="15" hidden="false" customHeight="false" outlineLevel="0" collapsed="false">
      <c r="A837" s="0" t="s">
        <v>881</v>
      </c>
      <c r="B837" s="2" t="n">
        <v>45663</v>
      </c>
      <c r="C837" s="3" t="s">
        <v>736</v>
      </c>
      <c r="D837" s="3" t="s">
        <v>28</v>
      </c>
      <c r="E837" s="3" t="s">
        <v>29</v>
      </c>
      <c r="F837" s="3" t="s">
        <v>30</v>
      </c>
      <c r="G837" s="3" t="s">
        <v>52</v>
      </c>
      <c r="H837" s="3" t="s">
        <v>30</v>
      </c>
      <c r="I837" s="3" t="s">
        <v>37</v>
      </c>
      <c r="J837" s="0" t="n">
        <v>1</v>
      </c>
      <c r="K837" s="0" t="n">
        <v>1</v>
      </c>
      <c r="L837" s="0" t="n">
        <v>1</v>
      </c>
      <c r="M837" s="0" t="n">
        <v>1</v>
      </c>
      <c r="N837" s="0" t="str">
        <f aca="false">IF(OR(NOT(OR(J837=0,J837=1)),NOT(OR(K837=0,K837=1)),NOT(OR(L837=0,L837=1)),NOT(OR(M837=0,M837=1)),NOT(OR(U837=0,U837=1))),"Yes","No")</f>
        <v>No</v>
      </c>
      <c r="O837" s="0" t="str">
        <f aca="false">IF(OR(AND(M837=1,L837=0),AND(L837=1,K837=0),AND(K837=1,J837=0)),"Yes","No")</f>
        <v>No</v>
      </c>
      <c r="P837" s="0" t="n">
        <v>431.27</v>
      </c>
      <c r="Q837" s="0" t="str">
        <f aca="false">IF(OR(AND(M837=0,P837&gt;0),AND(M837=1,P837&lt;=0)),"Yes","No")</f>
        <v>No</v>
      </c>
      <c r="R837" s="0" t="str">
        <f aca="false">IF(AND(M837=1,P837&gt;calc_helpers!$B$5),"Yes","No")</f>
        <v>No</v>
      </c>
      <c r="S837" s="0" t="n">
        <v>0</v>
      </c>
      <c r="T837" s="0" t="str">
        <f aca="false">IF(S837&gt;0,"Yes","No")</f>
        <v>No</v>
      </c>
      <c r="U837" s="0" t="n">
        <v>0</v>
      </c>
      <c r="V837" s="0" t="n">
        <v>7</v>
      </c>
      <c r="W837" s="0" t="str">
        <f aca="false">IF(OR(AND(M837=1,ISBLANK(V837)),AND(M837=0,NOT(ISBLANK(V837)))),"Yes","No")</f>
        <v>No</v>
      </c>
      <c r="X837" s="0" t="n">
        <v>60.8</v>
      </c>
      <c r="Y837" s="3" t="s">
        <v>30</v>
      </c>
      <c r="Z837" s="3" t="n">
        <f aca="false">IF(M837=1,P837,"")</f>
        <v>431.27</v>
      </c>
    </row>
    <row r="838" customFormat="false" ht="15" hidden="false" customHeight="false" outlineLevel="0" collapsed="false">
      <c r="A838" s="0" t="s">
        <v>882</v>
      </c>
      <c r="B838" s="2" t="n">
        <v>45771</v>
      </c>
      <c r="C838" s="3" t="s">
        <v>736</v>
      </c>
      <c r="D838" s="3" t="s">
        <v>43</v>
      </c>
      <c r="E838" s="3" t="s">
        <v>35</v>
      </c>
      <c r="F838" s="3" t="s">
        <v>30</v>
      </c>
      <c r="G838" s="3" t="s">
        <v>50</v>
      </c>
      <c r="H838" s="3" t="s">
        <v>30</v>
      </c>
      <c r="I838" s="3" t="s">
        <v>37</v>
      </c>
      <c r="J838" s="0" t="n">
        <v>1</v>
      </c>
      <c r="K838" s="0" t="n">
        <v>1</v>
      </c>
      <c r="L838" s="0" t="n">
        <v>1</v>
      </c>
      <c r="M838" s="0" t="n">
        <v>1</v>
      </c>
      <c r="N838" s="0" t="str">
        <f aca="false">IF(OR(NOT(OR(J838=0,J838=1)),NOT(OR(K838=0,K838=1)),NOT(OR(L838=0,L838=1)),NOT(OR(M838=0,M838=1)),NOT(OR(U838=0,U838=1))),"Yes","No")</f>
        <v>No</v>
      </c>
      <c r="O838" s="0" t="str">
        <f aca="false">IF(OR(AND(M838=1,L838=0),AND(L838=1,K838=0),AND(K838=1,J838=0)),"Yes","No")</f>
        <v>No</v>
      </c>
      <c r="P838" s="0" t="n">
        <v>428.8</v>
      </c>
      <c r="Q838" s="0" t="str">
        <f aca="false">IF(OR(AND(M838=0,P838&gt;0),AND(M838=1,P838&lt;=0)),"Yes","No")</f>
        <v>No</v>
      </c>
      <c r="R838" s="0" t="str">
        <f aca="false">IF(AND(M838=1,P838&gt;calc_helpers!$B$5),"Yes","No")</f>
        <v>No</v>
      </c>
      <c r="S838" s="0" t="n">
        <v>0</v>
      </c>
      <c r="T838" s="0" t="str">
        <f aca="false">IF(S838&gt;0,"Yes","No")</f>
        <v>No</v>
      </c>
      <c r="U838" s="0" t="n">
        <v>0</v>
      </c>
      <c r="V838" s="0" t="n">
        <v>9</v>
      </c>
      <c r="W838" s="0" t="str">
        <f aca="false">IF(OR(AND(M838=1,ISBLANK(V838)),AND(M838=0,NOT(ISBLANK(V838)))),"Yes","No")</f>
        <v>No</v>
      </c>
      <c r="X838" s="0" t="n">
        <v>79.3</v>
      </c>
      <c r="Y838" s="3" t="s">
        <v>30</v>
      </c>
      <c r="Z838" s="3" t="n">
        <f aca="false">IF(M838=1,P838,"")</f>
        <v>428.8</v>
      </c>
    </row>
    <row r="839" customFormat="false" ht="15" hidden="false" customHeight="false" outlineLevel="0" collapsed="false">
      <c r="A839" s="0" t="s">
        <v>883</v>
      </c>
      <c r="B839" s="2" t="n">
        <v>45768</v>
      </c>
      <c r="C839" s="3" t="s">
        <v>736</v>
      </c>
      <c r="D839" s="3" t="s">
        <v>43</v>
      </c>
      <c r="E839" s="3" t="s">
        <v>35</v>
      </c>
      <c r="F839" s="3" t="s">
        <v>30</v>
      </c>
      <c r="G839" s="3" t="s">
        <v>36</v>
      </c>
      <c r="H839" s="3" t="s">
        <v>30</v>
      </c>
      <c r="I839" s="3" t="s">
        <v>32</v>
      </c>
      <c r="J839" s="0" t="n">
        <v>1</v>
      </c>
      <c r="K839" s="0" t="n">
        <v>0</v>
      </c>
      <c r="L839" s="0" t="n">
        <v>0</v>
      </c>
      <c r="M839" s="0" t="n">
        <v>0</v>
      </c>
      <c r="N839" s="0" t="str">
        <f aca="false">IF(OR(NOT(OR(J839=0,J839=1)),NOT(OR(K839=0,K839=1)),NOT(OR(L839=0,L839=1)),NOT(OR(M839=0,M839=1)),NOT(OR(U839=0,U839=1))),"Yes","No")</f>
        <v>No</v>
      </c>
      <c r="O839" s="0" t="str">
        <f aca="false">IF(OR(AND(M839=1,L839=0),AND(L839=1,K839=0),AND(K839=1,J839=0)),"Yes","No")</f>
        <v>No</v>
      </c>
      <c r="P839" s="0" t="n">
        <v>0</v>
      </c>
      <c r="Q839" s="0" t="str">
        <f aca="false">IF(OR(AND(M839=0,P839&gt;0),AND(M839=1,P839&lt;=0)),"Yes","No")</f>
        <v>No</v>
      </c>
      <c r="R839" s="0" t="str">
        <f aca="false">IF(AND(M839=1,P839&gt;calc_helpers!$B$5),"Yes","No")</f>
        <v>No</v>
      </c>
      <c r="S839" s="0" t="n">
        <v>1</v>
      </c>
      <c r="T839" s="0" t="str">
        <f aca="false">IF(S839&gt;0,"Yes","No")</f>
        <v>Yes</v>
      </c>
      <c r="U839" s="0" t="n">
        <v>0</v>
      </c>
      <c r="W839" s="0" t="str">
        <f aca="false">IF(OR(AND(M839=1,ISBLANK(V839)),AND(M839=0,NOT(ISBLANK(V839)))),"Yes","No")</f>
        <v>No</v>
      </c>
      <c r="X839" s="0" t="n">
        <v>88.6</v>
      </c>
      <c r="Y839" s="3" t="s">
        <v>30</v>
      </c>
      <c r="Z839" s="0" t="str">
        <f aca="false">IF(M839=1,P839,"")</f>
        <v/>
      </c>
    </row>
    <row r="840" customFormat="false" ht="15" hidden="false" customHeight="false" outlineLevel="0" collapsed="false">
      <c r="A840" s="0" t="s">
        <v>884</v>
      </c>
      <c r="B840" s="2" t="n">
        <v>45697</v>
      </c>
      <c r="C840" s="3" t="s">
        <v>736</v>
      </c>
      <c r="D840" s="3" t="s">
        <v>34</v>
      </c>
      <c r="E840" s="3" t="s">
        <v>35</v>
      </c>
      <c r="F840" s="3" t="s">
        <v>30</v>
      </c>
      <c r="G840" s="3" t="s">
        <v>36</v>
      </c>
      <c r="H840" s="3" t="s">
        <v>30</v>
      </c>
      <c r="I840" s="3" t="s">
        <v>32</v>
      </c>
      <c r="J840" s="0" t="n">
        <v>1</v>
      </c>
      <c r="K840" s="0" t="n">
        <v>1</v>
      </c>
      <c r="L840" s="0" t="n">
        <v>1</v>
      </c>
      <c r="M840" s="0" t="n">
        <v>0</v>
      </c>
      <c r="N840" s="0" t="str">
        <f aca="false">IF(OR(NOT(OR(J840=0,J840=1)),NOT(OR(K840=0,K840=1)),NOT(OR(L840=0,L840=1)),NOT(OR(M840=0,M840=1)),NOT(OR(U840=0,U840=1))),"Yes","No")</f>
        <v>No</v>
      </c>
      <c r="O840" s="0" t="str">
        <f aca="false">IF(OR(AND(M840=1,L840=0),AND(L840=1,K840=0),AND(K840=1,J840=0)),"Yes","No")</f>
        <v>No</v>
      </c>
      <c r="P840" s="0" t="n">
        <v>0</v>
      </c>
      <c r="Q840" s="0" t="str">
        <f aca="false">IF(OR(AND(M840=0,P840&gt;0),AND(M840=1,P840&lt;=0)),"Yes","No")</f>
        <v>No</v>
      </c>
      <c r="R840" s="0" t="str">
        <f aca="false">IF(AND(M840=1,P840&gt;calc_helpers!$B$5),"Yes","No")</f>
        <v>No</v>
      </c>
      <c r="S840" s="0" t="n">
        <v>0</v>
      </c>
      <c r="T840" s="0" t="str">
        <f aca="false">IF(S840&gt;0,"Yes","No")</f>
        <v>No</v>
      </c>
      <c r="U840" s="0" t="n">
        <v>0</v>
      </c>
      <c r="W840" s="0" t="str">
        <f aca="false">IF(OR(AND(M840=1,ISBLANK(V840)),AND(M840=0,NOT(ISBLANK(V840)))),"Yes","No")</f>
        <v>No</v>
      </c>
      <c r="X840" s="0" t="n">
        <v>63.1</v>
      </c>
      <c r="Y840" s="3" t="s">
        <v>30</v>
      </c>
      <c r="Z840" s="0" t="str">
        <f aca="false">IF(M840=1,P840,"")</f>
        <v/>
      </c>
    </row>
    <row r="841" customFormat="false" ht="15" hidden="false" customHeight="false" outlineLevel="0" collapsed="false">
      <c r="A841" s="0" t="s">
        <v>885</v>
      </c>
      <c r="B841" s="2" t="n">
        <v>45666</v>
      </c>
      <c r="C841" s="3" t="s">
        <v>736</v>
      </c>
      <c r="D841" s="3" t="s">
        <v>39</v>
      </c>
      <c r="E841" s="3" t="s">
        <v>35</v>
      </c>
      <c r="F841" s="3" t="s">
        <v>30</v>
      </c>
      <c r="G841" s="3" t="s">
        <v>36</v>
      </c>
      <c r="H841" s="3" t="s">
        <v>30</v>
      </c>
      <c r="I841" s="3" t="s">
        <v>41</v>
      </c>
      <c r="J841" s="0" t="n">
        <v>1</v>
      </c>
      <c r="K841" s="0" t="n">
        <v>0</v>
      </c>
      <c r="L841" s="0" t="n">
        <v>0</v>
      </c>
      <c r="M841" s="0" t="n">
        <v>0</v>
      </c>
      <c r="N841" s="0" t="str">
        <f aca="false">IF(OR(NOT(OR(J841=0,J841=1)),NOT(OR(K841=0,K841=1)),NOT(OR(L841=0,L841=1)),NOT(OR(M841=0,M841=1)),NOT(OR(U841=0,U841=1))),"Yes","No")</f>
        <v>No</v>
      </c>
      <c r="O841" s="0" t="str">
        <f aca="false">IF(OR(AND(M841=1,L841=0),AND(L841=1,K841=0),AND(K841=1,J841=0)),"Yes","No")</f>
        <v>No</v>
      </c>
      <c r="P841" s="0" t="n">
        <v>0</v>
      </c>
      <c r="Q841" s="0" t="str">
        <f aca="false">IF(OR(AND(M841=0,P841&gt;0),AND(M841=1,P841&lt;=0)),"Yes","No")</f>
        <v>No</v>
      </c>
      <c r="R841" s="0" t="str">
        <f aca="false">IF(AND(M841=1,P841&gt;calc_helpers!$B$5),"Yes","No")</f>
        <v>No</v>
      </c>
      <c r="S841" s="0" t="n">
        <v>0</v>
      </c>
      <c r="T841" s="0" t="str">
        <f aca="false">IF(S841&gt;0,"Yes","No")</f>
        <v>No</v>
      </c>
      <c r="U841" s="0" t="n">
        <v>0</v>
      </c>
      <c r="W841" s="0" t="str">
        <f aca="false">IF(OR(AND(M841=1,ISBLANK(V841)),AND(M841=0,NOT(ISBLANK(V841)))),"Yes","No")</f>
        <v>No</v>
      </c>
      <c r="X841" s="0" t="n">
        <v>39.7</v>
      </c>
      <c r="Y841" s="3" t="s">
        <v>30</v>
      </c>
      <c r="Z841" s="0" t="str">
        <f aca="false">IF(M841=1,P841,"")</f>
        <v/>
      </c>
    </row>
    <row r="842" customFormat="false" ht="15" hidden="false" customHeight="false" outlineLevel="0" collapsed="false">
      <c r="A842" s="0" t="s">
        <v>886</v>
      </c>
      <c r="B842" s="2" t="n">
        <v>45704</v>
      </c>
      <c r="C842" s="3" t="s">
        <v>736</v>
      </c>
      <c r="D842" s="3" t="s">
        <v>28</v>
      </c>
      <c r="E842" s="3" t="s">
        <v>35</v>
      </c>
      <c r="F842" s="3" t="s">
        <v>30</v>
      </c>
      <c r="G842" s="3" t="s">
        <v>40</v>
      </c>
      <c r="H842" s="3" t="s">
        <v>30</v>
      </c>
      <c r="I842" s="3" t="s">
        <v>32</v>
      </c>
      <c r="J842" s="0" t="n">
        <v>0</v>
      </c>
      <c r="K842" s="0" t="n">
        <v>0</v>
      </c>
      <c r="L842" s="0" t="n">
        <v>0</v>
      </c>
      <c r="M842" s="0" t="n">
        <v>0</v>
      </c>
      <c r="N842" s="0" t="str">
        <f aca="false">IF(OR(NOT(OR(J842=0,J842=1)),NOT(OR(K842=0,K842=1)),NOT(OR(L842=0,L842=1)),NOT(OR(M842=0,M842=1)),NOT(OR(U842=0,U842=1))),"Yes","No")</f>
        <v>No</v>
      </c>
      <c r="O842" s="0" t="str">
        <f aca="false">IF(OR(AND(M842=1,L842=0),AND(L842=1,K842=0),AND(K842=1,J842=0)),"Yes","No")</f>
        <v>No</v>
      </c>
      <c r="P842" s="0" t="n">
        <v>0</v>
      </c>
      <c r="Q842" s="0" t="str">
        <f aca="false">IF(OR(AND(M842=0,P842&gt;0),AND(M842=1,P842&lt;=0)),"Yes","No")</f>
        <v>No</v>
      </c>
      <c r="R842" s="0" t="str">
        <f aca="false">IF(AND(M842=1,P842&gt;calc_helpers!$B$5),"Yes","No")</f>
        <v>No</v>
      </c>
      <c r="S842" s="0" t="n">
        <v>0</v>
      </c>
      <c r="T842" s="0" t="str">
        <f aca="false">IF(S842&gt;0,"Yes","No")</f>
        <v>No</v>
      </c>
      <c r="U842" s="0" t="n">
        <v>0</v>
      </c>
      <c r="W842" s="0" t="str">
        <f aca="false">IF(OR(AND(M842=1,ISBLANK(V842)),AND(M842=0,NOT(ISBLANK(V842)))),"Yes","No")</f>
        <v>No</v>
      </c>
      <c r="X842" s="0" t="n">
        <v>67.2</v>
      </c>
      <c r="Y842" s="3" t="s">
        <v>30</v>
      </c>
      <c r="Z842" s="0" t="str">
        <f aca="false">IF(M842=1,P842,"")</f>
        <v/>
      </c>
    </row>
    <row r="843" customFormat="false" ht="15" hidden="false" customHeight="false" outlineLevel="0" collapsed="false">
      <c r="A843" s="0" t="s">
        <v>887</v>
      </c>
      <c r="B843" s="2" t="n">
        <v>45709</v>
      </c>
      <c r="C843" s="3" t="s">
        <v>736</v>
      </c>
      <c r="D843" s="3" t="s">
        <v>43</v>
      </c>
      <c r="E843" s="3" t="s">
        <v>35</v>
      </c>
      <c r="F843" s="3" t="s">
        <v>30</v>
      </c>
      <c r="G843" s="3" t="s">
        <v>36</v>
      </c>
      <c r="H843" s="3" t="s">
        <v>30</v>
      </c>
      <c r="I843" s="3" t="s">
        <v>37</v>
      </c>
      <c r="J843" s="0" t="n">
        <v>1</v>
      </c>
      <c r="K843" s="0" t="n">
        <v>1</v>
      </c>
      <c r="L843" s="0" t="n">
        <v>1</v>
      </c>
      <c r="M843" s="0" t="n">
        <v>0</v>
      </c>
      <c r="N843" s="0" t="str">
        <f aca="false">IF(OR(NOT(OR(J843=0,J843=1)),NOT(OR(K843=0,K843=1)),NOT(OR(L843=0,L843=1)),NOT(OR(M843=0,M843=1)),NOT(OR(U843=0,U843=1))),"Yes","No")</f>
        <v>No</v>
      </c>
      <c r="O843" s="0" t="str">
        <f aca="false">IF(OR(AND(M843=1,L843=0),AND(L843=1,K843=0),AND(K843=1,J843=0)),"Yes","No")</f>
        <v>No</v>
      </c>
      <c r="P843" s="0" t="n">
        <v>0</v>
      </c>
      <c r="Q843" s="0" t="str">
        <f aca="false">IF(OR(AND(M843=0,P843&gt;0),AND(M843=1,P843&lt;=0)),"Yes","No")</f>
        <v>No</v>
      </c>
      <c r="R843" s="0" t="str">
        <f aca="false">IF(AND(M843=1,P843&gt;calc_helpers!$B$5),"Yes","No")</f>
        <v>No</v>
      </c>
      <c r="S843" s="0" t="n">
        <v>0</v>
      </c>
      <c r="T843" s="0" t="str">
        <f aca="false">IF(S843&gt;0,"Yes","No")</f>
        <v>No</v>
      </c>
      <c r="U843" s="0" t="n">
        <v>0</v>
      </c>
      <c r="W843" s="0" t="str">
        <f aca="false">IF(OR(AND(M843=1,ISBLANK(V843)),AND(M843=0,NOT(ISBLANK(V843)))),"Yes","No")</f>
        <v>No</v>
      </c>
      <c r="X843" s="0" t="n">
        <v>62.3</v>
      </c>
      <c r="Y843" s="3" t="s">
        <v>30</v>
      </c>
      <c r="Z843" s="0" t="str">
        <f aca="false">IF(M843=1,P843,"")</f>
        <v/>
      </c>
    </row>
    <row r="844" customFormat="false" ht="15" hidden="false" customHeight="false" outlineLevel="0" collapsed="false">
      <c r="A844" s="0" t="s">
        <v>888</v>
      </c>
      <c r="B844" s="2" t="n">
        <v>45696</v>
      </c>
      <c r="C844" s="3" t="s">
        <v>736</v>
      </c>
      <c r="D844" s="3" t="s">
        <v>43</v>
      </c>
      <c r="E844" s="3" t="s">
        <v>35</v>
      </c>
      <c r="F844" s="3" t="s">
        <v>30</v>
      </c>
      <c r="G844" s="3" t="s">
        <v>36</v>
      </c>
      <c r="H844" s="3" t="s">
        <v>30</v>
      </c>
      <c r="I844" s="3" t="s">
        <v>41</v>
      </c>
      <c r="J844" s="0" t="n">
        <v>1</v>
      </c>
      <c r="K844" s="0" t="n">
        <v>0</v>
      </c>
      <c r="L844" s="0" t="n">
        <v>0</v>
      </c>
      <c r="M844" s="0" t="n">
        <v>0</v>
      </c>
      <c r="N844" s="0" t="str">
        <f aca="false">IF(OR(NOT(OR(J844=0,J844=1)),NOT(OR(K844=0,K844=1)),NOT(OR(L844=0,L844=1)),NOT(OR(M844=0,M844=1)),NOT(OR(U844=0,U844=1))),"Yes","No")</f>
        <v>No</v>
      </c>
      <c r="O844" s="0" t="str">
        <f aca="false">IF(OR(AND(M844=1,L844=0),AND(L844=1,K844=0),AND(K844=1,J844=0)),"Yes","No")</f>
        <v>No</v>
      </c>
      <c r="P844" s="0" t="n">
        <v>0</v>
      </c>
      <c r="Q844" s="0" t="str">
        <f aca="false">IF(OR(AND(M844=0,P844&gt;0),AND(M844=1,P844&lt;=0)),"Yes","No")</f>
        <v>No</v>
      </c>
      <c r="R844" s="0" t="str">
        <f aca="false">IF(AND(M844=1,P844&gt;calc_helpers!$B$5),"Yes","No")</f>
        <v>No</v>
      </c>
      <c r="S844" s="0" t="n">
        <v>0</v>
      </c>
      <c r="T844" s="0" t="str">
        <f aca="false">IF(S844&gt;0,"Yes","No")</f>
        <v>No</v>
      </c>
      <c r="U844" s="0" t="n">
        <v>0</v>
      </c>
      <c r="W844" s="0" t="str">
        <f aca="false">IF(OR(AND(M844=1,ISBLANK(V844)),AND(M844=0,NOT(ISBLANK(V844)))),"Yes","No")</f>
        <v>No</v>
      </c>
      <c r="Y844" s="3" t="s">
        <v>168</v>
      </c>
      <c r="Z844" s="0" t="str">
        <f aca="false">IF(M844=1,P844,"")</f>
        <v/>
      </c>
    </row>
    <row r="845" customFormat="false" ht="15" hidden="false" customHeight="false" outlineLevel="0" collapsed="false">
      <c r="A845" s="0" t="s">
        <v>889</v>
      </c>
      <c r="B845" s="2" t="n">
        <v>45679</v>
      </c>
      <c r="C845" s="3" t="s">
        <v>736</v>
      </c>
      <c r="D845" s="3" t="s">
        <v>43</v>
      </c>
      <c r="E845" s="3" t="s">
        <v>35</v>
      </c>
      <c r="F845" s="3" t="s">
        <v>30</v>
      </c>
      <c r="G845" s="3" t="s">
        <v>40</v>
      </c>
      <c r="H845" s="3" t="s">
        <v>30</v>
      </c>
      <c r="I845" s="3" t="s">
        <v>41</v>
      </c>
      <c r="J845" s="0" t="n">
        <v>0</v>
      </c>
      <c r="K845" s="0" t="n">
        <v>0</v>
      </c>
      <c r="L845" s="0" t="n">
        <v>0</v>
      </c>
      <c r="M845" s="0" t="n">
        <v>0</v>
      </c>
      <c r="N845" s="0" t="str">
        <f aca="false">IF(OR(NOT(OR(J845=0,J845=1)),NOT(OR(K845=0,K845=1)),NOT(OR(L845=0,L845=1)),NOT(OR(M845=0,M845=1)),NOT(OR(U845=0,U845=1))),"Yes","No")</f>
        <v>No</v>
      </c>
      <c r="O845" s="0" t="str">
        <f aca="false">IF(OR(AND(M845=1,L845=0),AND(L845=1,K845=0),AND(K845=1,J845=0)),"Yes","No")</f>
        <v>No</v>
      </c>
      <c r="P845" s="0" t="n">
        <v>0</v>
      </c>
      <c r="Q845" s="0" t="str">
        <f aca="false">IF(OR(AND(M845=0,P845&gt;0),AND(M845=1,P845&lt;=0)),"Yes","No")</f>
        <v>No</v>
      </c>
      <c r="R845" s="0" t="str">
        <f aca="false">IF(AND(M845=1,P845&gt;calc_helpers!$B$5),"Yes","No")</f>
        <v>No</v>
      </c>
      <c r="S845" s="0" t="n">
        <v>0</v>
      </c>
      <c r="T845" s="0" t="str">
        <f aca="false">IF(S845&gt;0,"Yes","No")</f>
        <v>No</v>
      </c>
      <c r="U845" s="0" t="n">
        <v>0</v>
      </c>
      <c r="W845" s="0" t="str">
        <f aca="false">IF(OR(AND(M845=1,ISBLANK(V845)),AND(M845=0,NOT(ISBLANK(V845)))),"Yes","No")</f>
        <v>No</v>
      </c>
      <c r="X845" s="0" t="n">
        <v>60.7</v>
      </c>
      <c r="Y845" s="3" t="s">
        <v>30</v>
      </c>
      <c r="Z845" s="0" t="str">
        <f aca="false">IF(M845=1,P845,"")</f>
        <v/>
      </c>
    </row>
    <row r="846" customFormat="false" ht="15" hidden="false" customHeight="false" outlineLevel="0" collapsed="false">
      <c r="A846" s="0" t="s">
        <v>890</v>
      </c>
      <c r="B846" s="2" t="n">
        <v>45748</v>
      </c>
      <c r="C846" s="3" t="s">
        <v>736</v>
      </c>
      <c r="D846" s="3" t="s">
        <v>34</v>
      </c>
      <c r="E846" s="3" t="s">
        <v>35</v>
      </c>
      <c r="F846" s="3" t="s">
        <v>30</v>
      </c>
      <c r="G846" s="3" t="s">
        <v>36</v>
      </c>
      <c r="H846" s="3" t="s">
        <v>30</v>
      </c>
      <c r="I846" s="3" t="s">
        <v>32</v>
      </c>
      <c r="J846" s="0" t="n">
        <v>1</v>
      </c>
      <c r="K846" s="0" t="n">
        <v>0</v>
      </c>
      <c r="L846" s="0" t="n">
        <v>0</v>
      </c>
      <c r="M846" s="0" t="n">
        <v>0</v>
      </c>
      <c r="N846" s="0" t="str">
        <f aca="false">IF(OR(NOT(OR(J846=0,J846=1)),NOT(OR(K846=0,K846=1)),NOT(OR(L846=0,L846=1)),NOT(OR(M846=0,M846=1)),NOT(OR(U846=0,U846=1))),"Yes","No")</f>
        <v>No</v>
      </c>
      <c r="O846" s="0" t="str">
        <f aca="false">IF(OR(AND(M846=1,L846=0),AND(L846=1,K846=0),AND(K846=1,J846=0)),"Yes","No")</f>
        <v>No</v>
      </c>
      <c r="P846" s="0" t="n">
        <v>0</v>
      </c>
      <c r="Q846" s="0" t="str">
        <f aca="false">IF(OR(AND(M846=0,P846&gt;0),AND(M846=1,P846&lt;=0)),"Yes","No")</f>
        <v>No</v>
      </c>
      <c r="R846" s="0" t="str">
        <f aca="false">IF(AND(M846=1,P846&gt;calc_helpers!$B$5),"Yes","No")</f>
        <v>No</v>
      </c>
      <c r="S846" s="0" t="n">
        <v>0</v>
      </c>
      <c r="T846" s="0" t="str">
        <f aca="false">IF(S846&gt;0,"Yes","No")</f>
        <v>No</v>
      </c>
      <c r="U846" s="0" t="n">
        <v>0</v>
      </c>
      <c r="W846" s="0" t="str">
        <f aca="false">IF(OR(AND(M846=1,ISBLANK(V846)),AND(M846=0,NOT(ISBLANK(V846)))),"Yes","No")</f>
        <v>No</v>
      </c>
      <c r="X846" s="0" t="n">
        <v>61.5</v>
      </c>
      <c r="Y846" s="3" t="s">
        <v>30</v>
      </c>
      <c r="Z846" s="0" t="str">
        <f aca="false">IF(M846=1,P846,"")</f>
        <v/>
      </c>
    </row>
    <row r="847" customFormat="false" ht="15" hidden="false" customHeight="false" outlineLevel="0" collapsed="false">
      <c r="A847" s="0" t="s">
        <v>891</v>
      </c>
      <c r="B847" s="2" t="n">
        <v>45678</v>
      </c>
      <c r="C847" s="3" t="s">
        <v>736</v>
      </c>
      <c r="D847" s="3" t="s">
        <v>28</v>
      </c>
      <c r="E847" s="3" t="s">
        <v>35</v>
      </c>
      <c r="F847" s="3" t="s">
        <v>30</v>
      </c>
      <c r="G847" s="3" t="s">
        <v>40</v>
      </c>
      <c r="H847" s="3" t="s">
        <v>30</v>
      </c>
      <c r="I847" s="3" t="s">
        <v>32</v>
      </c>
      <c r="J847" s="0" t="n">
        <v>1</v>
      </c>
      <c r="K847" s="0" t="n">
        <v>0</v>
      </c>
      <c r="L847" s="0" t="n">
        <v>0</v>
      </c>
      <c r="M847" s="0" t="n">
        <v>0</v>
      </c>
      <c r="N847" s="0" t="str">
        <f aca="false">IF(OR(NOT(OR(J847=0,J847=1)),NOT(OR(K847=0,K847=1)),NOT(OR(L847=0,L847=1)),NOT(OR(M847=0,M847=1)),NOT(OR(U847=0,U847=1))),"Yes","No")</f>
        <v>No</v>
      </c>
      <c r="O847" s="0" t="str">
        <f aca="false">IF(OR(AND(M847=1,L847=0),AND(L847=1,K847=0),AND(K847=1,J847=0)),"Yes","No")</f>
        <v>No</v>
      </c>
      <c r="P847" s="0" t="n">
        <v>0</v>
      </c>
      <c r="Q847" s="0" t="str">
        <f aca="false">IF(OR(AND(M847=0,P847&gt;0),AND(M847=1,P847&lt;=0)),"Yes","No")</f>
        <v>No</v>
      </c>
      <c r="R847" s="0" t="str">
        <f aca="false">IF(AND(M847=1,P847&gt;calc_helpers!$B$5),"Yes","No")</f>
        <v>No</v>
      </c>
      <c r="S847" s="0" t="n">
        <v>0</v>
      </c>
      <c r="T847" s="0" t="str">
        <f aca="false">IF(S847&gt;0,"Yes","No")</f>
        <v>No</v>
      </c>
      <c r="U847" s="0" t="n">
        <v>0</v>
      </c>
      <c r="W847" s="0" t="str">
        <f aca="false">IF(OR(AND(M847=1,ISBLANK(V847)),AND(M847=0,NOT(ISBLANK(V847)))),"Yes","No")</f>
        <v>No</v>
      </c>
      <c r="X847" s="0" t="n">
        <v>75</v>
      </c>
      <c r="Y847" s="3" t="s">
        <v>30</v>
      </c>
      <c r="Z847" s="0" t="str">
        <f aca="false">IF(M847=1,P847,"")</f>
        <v/>
      </c>
    </row>
    <row r="848" customFormat="false" ht="15" hidden="false" customHeight="false" outlineLevel="0" collapsed="false">
      <c r="A848" s="0" t="s">
        <v>892</v>
      </c>
      <c r="B848" s="2" t="n">
        <v>45659</v>
      </c>
      <c r="C848" s="3" t="s">
        <v>736</v>
      </c>
      <c r="D848" s="3" t="s">
        <v>39</v>
      </c>
      <c r="E848" s="3" t="s">
        <v>29</v>
      </c>
      <c r="F848" s="3" t="s">
        <v>30</v>
      </c>
      <c r="G848" s="3" t="s">
        <v>36</v>
      </c>
      <c r="H848" s="3" t="s">
        <v>30</v>
      </c>
      <c r="I848" s="3" t="s">
        <v>37</v>
      </c>
      <c r="J848" s="0" t="n">
        <v>1</v>
      </c>
      <c r="K848" s="0" t="n">
        <v>1</v>
      </c>
      <c r="L848" s="0" t="n">
        <v>0</v>
      </c>
      <c r="M848" s="0" t="n">
        <v>0</v>
      </c>
      <c r="N848" s="0" t="str">
        <f aca="false">IF(OR(NOT(OR(J848=0,J848=1)),NOT(OR(K848=0,K848=1)),NOT(OR(L848=0,L848=1)),NOT(OR(M848=0,M848=1)),NOT(OR(U848=0,U848=1))),"Yes","No")</f>
        <v>No</v>
      </c>
      <c r="O848" s="0" t="str">
        <f aca="false">IF(OR(AND(M848=1,L848=0),AND(L848=1,K848=0),AND(K848=1,J848=0)),"Yes","No")</f>
        <v>No</v>
      </c>
      <c r="P848" s="0" t="n">
        <v>0</v>
      </c>
      <c r="Q848" s="0" t="str">
        <f aca="false">IF(OR(AND(M848=0,P848&gt;0),AND(M848=1,P848&lt;=0)),"Yes","No")</f>
        <v>No</v>
      </c>
      <c r="R848" s="0" t="str">
        <f aca="false">IF(AND(M848=1,P848&gt;calc_helpers!$B$5),"Yes","No")</f>
        <v>No</v>
      </c>
      <c r="S848" s="0" t="n">
        <v>0</v>
      </c>
      <c r="T848" s="0" t="str">
        <f aca="false">IF(S848&gt;0,"Yes","No")</f>
        <v>No</v>
      </c>
      <c r="U848" s="0" t="n">
        <v>0</v>
      </c>
      <c r="W848" s="0" t="str">
        <f aca="false">IF(OR(AND(M848=1,ISBLANK(V848)),AND(M848=0,NOT(ISBLANK(V848)))),"Yes","No")</f>
        <v>No</v>
      </c>
      <c r="X848" s="0" t="n">
        <v>51.9</v>
      </c>
      <c r="Y848" s="3" t="s">
        <v>30</v>
      </c>
      <c r="Z848" s="0" t="str">
        <f aca="false">IF(M848=1,P848,"")</f>
        <v/>
      </c>
    </row>
    <row r="849" customFormat="false" ht="15" hidden="false" customHeight="false" outlineLevel="0" collapsed="false">
      <c r="A849" s="0" t="s">
        <v>893</v>
      </c>
      <c r="B849" s="2" t="n">
        <v>45789</v>
      </c>
      <c r="C849" s="3" t="s">
        <v>736</v>
      </c>
      <c r="D849" s="3" t="s">
        <v>43</v>
      </c>
      <c r="E849" s="3" t="s">
        <v>29</v>
      </c>
      <c r="F849" s="3" t="s">
        <v>30</v>
      </c>
      <c r="G849" s="3" t="s">
        <v>40</v>
      </c>
      <c r="H849" s="3" t="s">
        <v>30</v>
      </c>
      <c r="I849" s="3" t="s">
        <v>37</v>
      </c>
      <c r="J849" s="0" t="n">
        <v>0</v>
      </c>
      <c r="K849" s="0" t="n">
        <v>0</v>
      </c>
      <c r="L849" s="0" t="n">
        <v>0</v>
      </c>
      <c r="M849" s="0" t="n">
        <v>0</v>
      </c>
      <c r="N849" s="0" t="str">
        <f aca="false">IF(OR(NOT(OR(J849=0,J849=1)),NOT(OR(K849=0,K849=1)),NOT(OR(L849=0,L849=1)),NOT(OR(M849=0,M849=1)),NOT(OR(U849=0,U849=1))),"Yes","No")</f>
        <v>No</v>
      </c>
      <c r="O849" s="0" t="str">
        <f aca="false">IF(OR(AND(M849=1,L849=0),AND(L849=1,K849=0),AND(K849=1,J849=0)),"Yes","No")</f>
        <v>No</v>
      </c>
      <c r="P849" s="0" t="n">
        <v>0</v>
      </c>
      <c r="Q849" s="0" t="str">
        <f aca="false">IF(OR(AND(M849=0,P849&gt;0),AND(M849=1,P849&lt;=0)),"Yes","No")</f>
        <v>No</v>
      </c>
      <c r="R849" s="0" t="str">
        <f aca="false">IF(AND(M849=1,P849&gt;calc_helpers!$B$5),"Yes","No")</f>
        <v>No</v>
      </c>
      <c r="S849" s="0" t="n">
        <v>0</v>
      </c>
      <c r="T849" s="0" t="str">
        <f aca="false">IF(S849&gt;0,"Yes","No")</f>
        <v>No</v>
      </c>
      <c r="U849" s="0" t="n">
        <v>0</v>
      </c>
      <c r="W849" s="0" t="str">
        <f aca="false">IF(OR(AND(M849=1,ISBLANK(V849)),AND(M849=0,NOT(ISBLANK(V849)))),"Yes","No")</f>
        <v>No</v>
      </c>
      <c r="X849" s="0" t="n">
        <v>34.5</v>
      </c>
      <c r="Y849" s="3" t="s">
        <v>30</v>
      </c>
      <c r="Z849" s="0" t="str">
        <f aca="false">IF(M849=1,P849,"")</f>
        <v/>
      </c>
    </row>
    <row r="850" customFormat="false" ht="15" hidden="false" customHeight="false" outlineLevel="0" collapsed="false">
      <c r="A850" s="0" t="s">
        <v>894</v>
      </c>
      <c r="B850" s="2" t="n">
        <v>45721</v>
      </c>
      <c r="C850" s="3" t="s">
        <v>736</v>
      </c>
      <c r="D850" s="3" t="s">
        <v>43</v>
      </c>
      <c r="E850" s="3" t="s">
        <v>35</v>
      </c>
      <c r="F850" s="3" t="s">
        <v>30</v>
      </c>
      <c r="G850" s="3" t="s">
        <v>52</v>
      </c>
      <c r="H850" s="3" t="s">
        <v>30</v>
      </c>
      <c r="I850" s="3" t="s">
        <v>32</v>
      </c>
      <c r="J850" s="0" t="n">
        <v>0</v>
      </c>
      <c r="K850" s="0" t="n">
        <v>0</v>
      </c>
      <c r="L850" s="0" t="n">
        <v>0</v>
      </c>
      <c r="M850" s="0" t="n">
        <v>0</v>
      </c>
      <c r="N850" s="0" t="str">
        <f aca="false">IF(OR(NOT(OR(J850=0,J850=1)),NOT(OR(K850=0,K850=1)),NOT(OR(L850=0,L850=1)),NOT(OR(M850=0,M850=1)),NOT(OR(U850=0,U850=1))),"Yes","No")</f>
        <v>No</v>
      </c>
      <c r="O850" s="0" t="str">
        <f aca="false">IF(OR(AND(M850=1,L850=0),AND(L850=1,K850=0),AND(K850=1,J850=0)),"Yes","No")</f>
        <v>No</v>
      </c>
      <c r="P850" s="0" t="n">
        <v>0</v>
      </c>
      <c r="Q850" s="0" t="str">
        <f aca="false">IF(OR(AND(M850=0,P850&gt;0),AND(M850=1,P850&lt;=0)),"Yes","No")</f>
        <v>No</v>
      </c>
      <c r="R850" s="0" t="str">
        <f aca="false">IF(AND(M850=1,P850&gt;calc_helpers!$B$5),"Yes","No")</f>
        <v>No</v>
      </c>
      <c r="S850" s="0" t="n">
        <v>0</v>
      </c>
      <c r="T850" s="0" t="str">
        <f aca="false">IF(S850&gt;0,"Yes","No")</f>
        <v>No</v>
      </c>
      <c r="U850" s="0" t="n">
        <v>0</v>
      </c>
      <c r="W850" s="0" t="str">
        <f aca="false">IF(OR(AND(M850=1,ISBLANK(V850)),AND(M850=0,NOT(ISBLANK(V850)))),"Yes","No")</f>
        <v>No</v>
      </c>
      <c r="X850" s="0" t="n">
        <v>54.5</v>
      </c>
      <c r="Y850" s="3" t="s">
        <v>30</v>
      </c>
      <c r="Z850" s="0" t="str">
        <f aca="false">IF(M850=1,P850,"")</f>
        <v/>
      </c>
    </row>
    <row r="851" customFormat="false" ht="15" hidden="false" customHeight="false" outlineLevel="0" collapsed="false">
      <c r="A851" s="0" t="s">
        <v>895</v>
      </c>
      <c r="B851" s="2" t="n">
        <v>45681</v>
      </c>
      <c r="C851" s="3" t="s">
        <v>736</v>
      </c>
      <c r="D851" s="3" t="s">
        <v>39</v>
      </c>
      <c r="E851" s="3" t="s">
        <v>35</v>
      </c>
      <c r="F851" s="3" t="s">
        <v>30</v>
      </c>
      <c r="G851" s="3" t="s">
        <v>36</v>
      </c>
      <c r="H851" s="3" t="s">
        <v>30</v>
      </c>
      <c r="I851" s="3" t="s">
        <v>37</v>
      </c>
      <c r="J851" s="0" t="n">
        <v>0</v>
      </c>
      <c r="K851" s="0" t="n">
        <v>0</v>
      </c>
      <c r="L851" s="0" t="n">
        <v>0</v>
      </c>
      <c r="M851" s="0" t="n">
        <v>0</v>
      </c>
      <c r="N851" s="0" t="str">
        <f aca="false">IF(OR(NOT(OR(J851=0,J851=1)),NOT(OR(K851=0,K851=1)),NOT(OR(L851=0,L851=1)),NOT(OR(M851=0,M851=1)),NOT(OR(U851=0,U851=1))),"Yes","No")</f>
        <v>No</v>
      </c>
      <c r="O851" s="0" t="str">
        <f aca="false">IF(OR(AND(M851=1,L851=0),AND(L851=1,K851=0),AND(K851=1,J851=0)),"Yes","No")</f>
        <v>No</v>
      </c>
      <c r="P851" s="0" t="n">
        <v>0</v>
      </c>
      <c r="Q851" s="0" t="str">
        <f aca="false">IF(OR(AND(M851=0,P851&gt;0),AND(M851=1,P851&lt;=0)),"Yes","No")</f>
        <v>No</v>
      </c>
      <c r="R851" s="0" t="str">
        <f aca="false">IF(AND(M851=1,P851&gt;calc_helpers!$B$5),"Yes","No")</f>
        <v>No</v>
      </c>
      <c r="S851" s="0" t="n">
        <v>0</v>
      </c>
      <c r="T851" s="0" t="str">
        <f aca="false">IF(S851&gt;0,"Yes","No")</f>
        <v>No</v>
      </c>
      <c r="U851" s="0" t="n">
        <v>0</v>
      </c>
      <c r="W851" s="0" t="str">
        <f aca="false">IF(OR(AND(M851=1,ISBLANK(V851)),AND(M851=0,NOT(ISBLANK(V851)))),"Yes","No")</f>
        <v>No</v>
      </c>
      <c r="X851" s="0" t="n">
        <v>46</v>
      </c>
      <c r="Y851" s="3" t="s">
        <v>30</v>
      </c>
      <c r="Z851" s="0" t="str">
        <f aca="false">IF(M851=1,P851,"")</f>
        <v/>
      </c>
    </row>
    <row r="852" customFormat="false" ht="15" hidden="false" customHeight="false" outlineLevel="0" collapsed="false">
      <c r="A852" s="0" t="s">
        <v>896</v>
      </c>
      <c r="B852" s="2" t="n">
        <v>45688</v>
      </c>
      <c r="C852" s="3" t="s">
        <v>736</v>
      </c>
      <c r="D852" s="3" t="s">
        <v>39</v>
      </c>
      <c r="E852" s="3" t="s">
        <v>29</v>
      </c>
      <c r="F852" s="3" t="s">
        <v>30</v>
      </c>
      <c r="G852" s="3" t="s">
        <v>31</v>
      </c>
      <c r="H852" s="3" t="s">
        <v>30</v>
      </c>
      <c r="I852" s="3" t="s">
        <v>37</v>
      </c>
      <c r="J852" s="0" t="n">
        <v>1</v>
      </c>
      <c r="K852" s="0" t="n">
        <v>1</v>
      </c>
      <c r="L852" s="0" t="n">
        <v>1</v>
      </c>
      <c r="M852" s="0" t="n">
        <v>0</v>
      </c>
      <c r="N852" s="0" t="str">
        <f aca="false">IF(OR(NOT(OR(J852=0,J852=1)),NOT(OR(K852=0,K852=1)),NOT(OR(L852=0,L852=1)),NOT(OR(M852=0,M852=1)),NOT(OR(U852=0,U852=1))),"Yes","No")</f>
        <v>No</v>
      </c>
      <c r="O852" s="0" t="str">
        <f aca="false">IF(OR(AND(M852=1,L852=0),AND(L852=1,K852=0),AND(K852=1,J852=0)),"Yes","No")</f>
        <v>No</v>
      </c>
      <c r="P852" s="0" t="n">
        <v>0</v>
      </c>
      <c r="Q852" s="0" t="str">
        <f aca="false">IF(OR(AND(M852=0,P852&gt;0),AND(M852=1,P852&lt;=0)),"Yes","No")</f>
        <v>No</v>
      </c>
      <c r="R852" s="0" t="str">
        <f aca="false">IF(AND(M852=1,P852&gt;calc_helpers!$B$5),"Yes","No")</f>
        <v>No</v>
      </c>
      <c r="S852" s="0" t="n">
        <v>0</v>
      </c>
      <c r="T852" s="0" t="str">
        <f aca="false">IF(S852&gt;0,"Yes","No")</f>
        <v>No</v>
      </c>
      <c r="U852" s="0" t="n">
        <v>0</v>
      </c>
      <c r="W852" s="0" t="str">
        <f aca="false">IF(OR(AND(M852=1,ISBLANK(V852)),AND(M852=0,NOT(ISBLANK(V852)))),"Yes","No")</f>
        <v>No</v>
      </c>
      <c r="X852" s="0" t="n">
        <v>88.4</v>
      </c>
      <c r="Y852" s="3" t="s">
        <v>30</v>
      </c>
      <c r="Z852" s="0" t="str">
        <f aca="false">IF(M852=1,P852,"")</f>
        <v/>
      </c>
    </row>
    <row r="853" customFormat="false" ht="15" hidden="false" customHeight="false" outlineLevel="0" collapsed="false">
      <c r="A853" s="0" t="s">
        <v>897</v>
      </c>
      <c r="B853" s="2" t="n">
        <v>45681</v>
      </c>
      <c r="C853" s="3" t="s">
        <v>736</v>
      </c>
      <c r="D853" s="3" t="s">
        <v>28</v>
      </c>
      <c r="E853" s="3" t="s">
        <v>45</v>
      </c>
      <c r="F853" s="3" t="s">
        <v>30</v>
      </c>
      <c r="G853" s="3" t="s">
        <v>36</v>
      </c>
      <c r="H853" s="3" t="s">
        <v>30</v>
      </c>
      <c r="I853" s="3" t="s">
        <v>32</v>
      </c>
      <c r="J853" s="0" t="n">
        <v>1</v>
      </c>
      <c r="K853" s="0" t="n">
        <v>0</v>
      </c>
      <c r="L853" s="0" t="n">
        <v>0</v>
      </c>
      <c r="M853" s="0" t="n">
        <v>0</v>
      </c>
      <c r="N853" s="0" t="str">
        <f aca="false">IF(OR(NOT(OR(J853=0,J853=1)),NOT(OR(K853=0,K853=1)),NOT(OR(L853=0,L853=1)),NOT(OR(M853=0,M853=1)),NOT(OR(U853=0,U853=1))),"Yes","No")</f>
        <v>No</v>
      </c>
      <c r="O853" s="0" t="str">
        <f aca="false">IF(OR(AND(M853=1,L853=0),AND(L853=1,K853=0),AND(K853=1,J853=0)),"Yes","No")</f>
        <v>No</v>
      </c>
      <c r="P853" s="0" t="n">
        <v>0</v>
      </c>
      <c r="Q853" s="0" t="str">
        <f aca="false">IF(OR(AND(M853=0,P853&gt;0),AND(M853=1,P853&lt;=0)),"Yes","No")</f>
        <v>No</v>
      </c>
      <c r="R853" s="0" t="str">
        <f aca="false">IF(AND(M853=1,P853&gt;calc_helpers!$B$5),"Yes","No")</f>
        <v>No</v>
      </c>
      <c r="S853" s="0" t="n">
        <v>0</v>
      </c>
      <c r="T853" s="0" t="str">
        <f aca="false">IF(S853&gt;0,"Yes","No")</f>
        <v>No</v>
      </c>
      <c r="U853" s="0" t="n">
        <v>0</v>
      </c>
      <c r="W853" s="0" t="str">
        <f aca="false">IF(OR(AND(M853=1,ISBLANK(V853)),AND(M853=0,NOT(ISBLANK(V853)))),"Yes","No")</f>
        <v>No</v>
      </c>
      <c r="X853" s="0" t="n">
        <v>69.5</v>
      </c>
      <c r="Y853" s="3" t="s">
        <v>30</v>
      </c>
      <c r="Z853" s="0" t="str">
        <f aca="false">IF(M853=1,P853,"")</f>
        <v/>
      </c>
    </row>
    <row r="854" customFormat="false" ht="15" hidden="false" customHeight="false" outlineLevel="0" collapsed="false">
      <c r="A854" s="0" t="s">
        <v>898</v>
      </c>
      <c r="B854" s="2" t="n">
        <v>45702</v>
      </c>
      <c r="C854" s="3" t="s">
        <v>736</v>
      </c>
      <c r="D854" s="3" t="s">
        <v>28</v>
      </c>
      <c r="E854" s="3" t="s">
        <v>29</v>
      </c>
      <c r="F854" s="3" t="s">
        <v>30</v>
      </c>
      <c r="G854" s="3" t="s">
        <v>50</v>
      </c>
      <c r="H854" s="3" t="s">
        <v>30</v>
      </c>
      <c r="I854" s="3" t="s">
        <v>32</v>
      </c>
      <c r="J854" s="0" t="n">
        <v>1</v>
      </c>
      <c r="K854" s="0" t="n">
        <v>1</v>
      </c>
      <c r="L854" s="0" t="n">
        <v>1</v>
      </c>
      <c r="M854" s="0" t="n">
        <v>0</v>
      </c>
      <c r="N854" s="0" t="str">
        <f aca="false">IF(OR(NOT(OR(J854=0,J854=1)),NOT(OR(K854=0,K854=1)),NOT(OR(L854=0,L854=1)),NOT(OR(M854=0,M854=1)),NOT(OR(U854=0,U854=1))),"Yes","No")</f>
        <v>No</v>
      </c>
      <c r="O854" s="0" t="str">
        <f aca="false">IF(OR(AND(M854=1,L854=0),AND(L854=1,K854=0),AND(K854=1,J854=0)),"Yes","No")</f>
        <v>No</v>
      </c>
      <c r="P854" s="0" t="n">
        <v>0</v>
      </c>
      <c r="Q854" s="0" t="str">
        <f aca="false">IF(OR(AND(M854=0,P854&gt;0),AND(M854=1,P854&lt;=0)),"Yes","No")</f>
        <v>No</v>
      </c>
      <c r="R854" s="0" t="str">
        <f aca="false">IF(AND(M854=1,P854&gt;calc_helpers!$B$5),"Yes","No")</f>
        <v>No</v>
      </c>
      <c r="S854" s="0" t="n">
        <v>0</v>
      </c>
      <c r="T854" s="0" t="str">
        <f aca="false">IF(S854&gt;0,"Yes","No")</f>
        <v>No</v>
      </c>
      <c r="U854" s="0" t="n">
        <v>0</v>
      </c>
      <c r="W854" s="0" t="str">
        <f aca="false">IF(OR(AND(M854=1,ISBLANK(V854)),AND(M854=0,NOT(ISBLANK(V854)))),"Yes","No")</f>
        <v>No</v>
      </c>
      <c r="X854" s="0" t="n">
        <v>74.2</v>
      </c>
      <c r="Y854" s="3" t="s">
        <v>30</v>
      </c>
      <c r="Z854" s="0" t="str">
        <f aca="false">IF(M854=1,P854,"")</f>
        <v/>
      </c>
    </row>
    <row r="855" customFormat="false" ht="15" hidden="false" customHeight="false" outlineLevel="0" collapsed="false">
      <c r="A855" s="0" t="s">
        <v>899</v>
      </c>
      <c r="B855" s="2" t="n">
        <v>45804</v>
      </c>
      <c r="C855" s="3" t="s">
        <v>736</v>
      </c>
      <c r="D855" s="3" t="s">
        <v>28</v>
      </c>
      <c r="E855" s="3" t="s">
        <v>35</v>
      </c>
      <c r="F855" s="3" t="s">
        <v>30</v>
      </c>
      <c r="G855" s="3" t="s">
        <v>36</v>
      </c>
      <c r="H855" s="3" t="s">
        <v>30</v>
      </c>
      <c r="I855" s="3" t="s">
        <v>37</v>
      </c>
      <c r="J855" s="0" t="n">
        <v>1</v>
      </c>
      <c r="K855" s="0" t="n">
        <v>1</v>
      </c>
      <c r="L855" s="0" t="n">
        <v>1</v>
      </c>
      <c r="M855" s="0" t="n">
        <v>0</v>
      </c>
      <c r="N855" s="0" t="str">
        <f aca="false">IF(OR(NOT(OR(J855=0,J855=1)),NOT(OR(K855=0,K855=1)),NOT(OR(L855=0,L855=1)),NOT(OR(M855=0,M855=1)),NOT(OR(U855=0,U855=1))),"Yes","No")</f>
        <v>No</v>
      </c>
      <c r="O855" s="0" t="str">
        <f aca="false">IF(OR(AND(M855=1,L855=0),AND(L855=1,K855=0),AND(K855=1,J855=0)),"Yes","No")</f>
        <v>No</v>
      </c>
      <c r="P855" s="0" t="n">
        <v>0</v>
      </c>
      <c r="Q855" s="0" t="str">
        <f aca="false">IF(OR(AND(M855=0,P855&gt;0),AND(M855=1,P855&lt;=0)),"Yes","No")</f>
        <v>No</v>
      </c>
      <c r="R855" s="0" t="str">
        <f aca="false">IF(AND(M855=1,P855&gt;calc_helpers!$B$5),"Yes","No")</f>
        <v>No</v>
      </c>
      <c r="S855" s="0" t="n">
        <v>0</v>
      </c>
      <c r="T855" s="0" t="str">
        <f aca="false">IF(S855&gt;0,"Yes","No")</f>
        <v>No</v>
      </c>
      <c r="U855" s="0" t="n">
        <v>0</v>
      </c>
      <c r="W855" s="0" t="str">
        <f aca="false">IF(OR(AND(M855=1,ISBLANK(V855)),AND(M855=0,NOT(ISBLANK(V855)))),"Yes","No")</f>
        <v>No</v>
      </c>
      <c r="X855" s="0" t="n">
        <v>72.1</v>
      </c>
      <c r="Y855" s="3" t="s">
        <v>30</v>
      </c>
      <c r="Z855" s="0" t="str">
        <f aca="false">IF(M855=1,P855,"")</f>
        <v/>
      </c>
    </row>
    <row r="856" customFormat="false" ht="15" hidden="false" customHeight="false" outlineLevel="0" collapsed="false">
      <c r="A856" s="0" t="s">
        <v>900</v>
      </c>
      <c r="B856" s="2" t="n">
        <v>45716</v>
      </c>
      <c r="C856" s="3" t="s">
        <v>736</v>
      </c>
      <c r="D856" s="3" t="s">
        <v>28</v>
      </c>
      <c r="E856" s="3" t="s">
        <v>35</v>
      </c>
      <c r="F856" s="3" t="s">
        <v>30</v>
      </c>
      <c r="G856" s="3" t="s">
        <v>40</v>
      </c>
      <c r="H856" s="3" t="s">
        <v>30</v>
      </c>
      <c r="I856" s="3" t="s">
        <v>37</v>
      </c>
      <c r="J856" s="0" t="n">
        <v>1</v>
      </c>
      <c r="K856" s="0" t="n">
        <v>1</v>
      </c>
      <c r="L856" s="0" t="n">
        <v>1</v>
      </c>
      <c r="M856" s="0" t="n">
        <v>1</v>
      </c>
      <c r="N856" s="0" t="str">
        <f aca="false">IF(OR(NOT(OR(J856=0,J856=1)),NOT(OR(K856=0,K856=1)),NOT(OR(L856=0,L856=1)),NOT(OR(M856=0,M856=1)),NOT(OR(U856=0,U856=1))),"Yes","No")</f>
        <v>No</v>
      </c>
      <c r="O856" s="0" t="str">
        <f aca="false">IF(OR(AND(M856=1,L856=0),AND(L856=1,K856=0),AND(K856=1,J856=0)),"Yes","No")</f>
        <v>No</v>
      </c>
      <c r="P856" s="0" t="n">
        <v>398.33</v>
      </c>
      <c r="Q856" s="0" t="str">
        <f aca="false">IF(OR(AND(M856=0,P856&gt;0),AND(M856=1,P856&lt;=0)),"Yes","No")</f>
        <v>No</v>
      </c>
      <c r="R856" s="0" t="str">
        <f aca="false">IF(AND(M856=1,P856&gt;calc_helpers!$B$5),"Yes","No")</f>
        <v>No</v>
      </c>
      <c r="S856" s="0" t="n">
        <v>0</v>
      </c>
      <c r="T856" s="0" t="str">
        <f aca="false">IF(S856&gt;0,"Yes","No")</f>
        <v>No</v>
      </c>
      <c r="U856" s="0" t="n">
        <v>0</v>
      </c>
      <c r="V856" s="0" t="n">
        <v>5</v>
      </c>
      <c r="W856" s="0" t="str">
        <f aca="false">IF(OR(AND(M856=1,ISBLANK(V856)),AND(M856=0,NOT(ISBLANK(V856)))),"Yes","No")</f>
        <v>No</v>
      </c>
      <c r="X856" s="0" t="n">
        <v>85.1</v>
      </c>
      <c r="Y856" s="3" t="s">
        <v>30</v>
      </c>
      <c r="Z856" s="3" t="n">
        <f aca="false">IF(M856=1,P856,"")</f>
        <v>398.33</v>
      </c>
    </row>
    <row r="857" customFormat="false" ht="15" hidden="false" customHeight="false" outlineLevel="0" collapsed="false">
      <c r="A857" s="0" t="s">
        <v>901</v>
      </c>
      <c r="B857" s="2" t="n">
        <v>45804</v>
      </c>
      <c r="C857" s="3" t="s">
        <v>736</v>
      </c>
      <c r="D857" s="3" t="s">
        <v>28</v>
      </c>
      <c r="E857" s="3" t="s">
        <v>35</v>
      </c>
      <c r="F857" s="3" t="s">
        <v>30</v>
      </c>
      <c r="G857" s="3" t="s">
        <v>36</v>
      </c>
      <c r="H857" s="3" t="s">
        <v>30</v>
      </c>
      <c r="I857" s="3" t="s">
        <v>32</v>
      </c>
      <c r="J857" s="0" t="n">
        <v>1</v>
      </c>
      <c r="K857" s="0" t="n">
        <v>1</v>
      </c>
      <c r="L857" s="0" t="n">
        <v>1</v>
      </c>
      <c r="M857" s="0" t="n">
        <v>0</v>
      </c>
      <c r="N857" s="0" t="str">
        <f aca="false">IF(OR(NOT(OR(J857=0,J857=1)),NOT(OR(K857=0,K857=1)),NOT(OR(L857=0,L857=1)),NOT(OR(M857=0,M857=1)),NOT(OR(U857=0,U857=1))),"Yes","No")</f>
        <v>No</v>
      </c>
      <c r="O857" s="0" t="str">
        <f aca="false">IF(OR(AND(M857=1,L857=0),AND(L857=1,K857=0),AND(K857=1,J857=0)),"Yes","No")</f>
        <v>No</v>
      </c>
      <c r="P857" s="0" t="n">
        <v>0</v>
      </c>
      <c r="Q857" s="0" t="str">
        <f aca="false">IF(OR(AND(M857=0,P857&gt;0),AND(M857=1,P857&lt;=0)),"Yes","No")</f>
        <v>No</v>
      </c>
      <c r="R857" s="0" t="str">
        <f aca="false">IF(AND(M857=1,P857&gt;calc_helpers!$B$5),"Yes","No")</f>
        <v>No</v>
      </c>
      <c r="S857" s="0" t="n">
        <v>0</v>
      </c>
      <c r="T857" s="0" t="str">
        <f aca="false">IF(S857&gt;0,"Yes","No")</f>
        <v>No</v>
      </c>
      <c r="U857" s="0" t="n">
        <v>0</v>
      </c>
      <c r="W857" s="0" t="str">
        <f aca="false">IF(OR(AND(M857=1,ISBLANK(V857)),AND(M857=0,NOT(ISBLANK(V857)))),"Yes","No")</f>
        <v>No</v>
      </c>
      <c r="X857" s="0" t="n">
        <v>49.5</v>
      </c>
      <c r="Y857" s="3" t="s">
        <v>30</v>
      </c>
      <c r="Z857" s="0" t="str">
        <f aca="false">IF(M857=1,P857,"")</f>
        <v/>
      </c>
    </row>
    <row r="858" customFormat="false" ht="15" hidden="false" customHeight="false" outlineLevel="0" collapsed="false">
      <c r="A858" s="0" t="s">
        <v>902</v>
      </c>
      <c r="B858" s="2" t="n">
        <v>45794</v>
      </c>
      <c r="C858" s="3" t="s">
        <v>736</v>
      </c>
      <c r="D858" s="3" t="s">
        <v>43</v>
      </c>
      <c r="E858" s="3" t="s">
        <v>35</v>
      </c>
      <c r="F858" s="3" t="s">
        <v>30</v>
      </c>
      <c r="G858" s="3" t="s">
        <v>40</v>
      </c>
      <c r="H858" s="3" t="s">
        <v>30</v>
      </c>
      <c r="I858" s="3" t="s">
        <v>41</v>
      </c>
      <c r="J858" s="0" t="n">
        <v>0</v>
      </c>
      <c r="K858" s="0" t="n">
        <v>0</v>
      </c>
      <c r="L858" s="0" t="n">
        <v>0</v>
      </c>
      <c r="M858" s="0" t="n">
        <v>0</v>
      </c>
      <c r="N858" s="0" t="str">
        <f aca="false">IF(OR(NOT(OR(J858=0,J858=1)),NOT(OR(K858=0,K858=1)),NOT(OR(L858=0,L858=1)),NOT(OR(M858=0,M858=1)),NOT(OR(U858=0,U858=1))),"Yes","No")</f>
        <v>No</v>
      </c>
      <c r="O858" s="0" t="str">
        <f aca="false">IF(OR(AND(M858=1,L858=0),AND(L858=1,K858=0),AND(K858=1,J858=0)),"Yes","No")</f>
        <v>No</v>
      </c>
      <c r="P858" s="0" t="n">
        <v>0</v>
      </c>
      <c r="Q858" s="0" t="str">
        <f aca="false">IF(OR(AND(M858=0,P858&gt;0),AND(M858=1,P858&lt;=0)),"Yes","No")</f>
        <v>No</v>
      </c>
      <c r="R858" s="0" t="str">
        <f aca="false">IF(AND(M858=1,P858&gt;calc_helpers!$B$5),"Yes","No")</f>
        <v>No</v>
      </c>
      <c r="S858" s="0" t="n">
        <v>1</v>
      </c>
      <c r="T858" s="0" t="str">
        <f aca="false">IF(S858&gt;0,"Yes","No")</f>
        <v>Yes</v>
      </c>
      <c r="U858" s="0" t="n">
        <v>0</v>
      </c>
      <c r="W858" s="0" t="str">
        <f aca="false">IF(OR(AND(M858=1,ISBLANK(V858)),AND(M858=0,NOT(ISBLANK(V858)))),"Yes","No")</f>
        <v>No</v>
      </c>
      <c r="X858" s="0" t="n">
        <v>79</v>
      </c>
      <c r="Y858" s="3" t="s">
        <v>30</v>
      </c>
      <c r="Z858" s="0" t="str">
        <f aca="false">IF(M858=1,P858,"")</f>
        <v/>
      </c>
    </row>
    <row r="859" customFormat="false" ht="15" hidden="false" customHeight="false" outlineLevel="0" collapsed="false">
      <c r="A859" s="0" t="s">
        <v>903</v>
      </c>
      <c r="B859" s="2" t="n">
        <v>45667</v>
      </c>
      <c r="C859" s="3" t="s">
        <v>736</v>
      </c>
      <c r="D859" s="3" t="s">
        <v>34</v>
      </c>
      <c r="E859" s="3" t="s">
        <v>29</v>
      </c>
      <c r="F859" s="3" t="s">
        <v>30</v>
      </c>
      <c r="G859" s="3" t="s">
        <v>52</v>
      </c>
      <c r="H859" s="3" t="s">
        <v>30</v>
      </c>
      <c r="I859" s="3" t="s">
        <v>37</v>
      </c>
      <c r="J859" s="0" t="n">
        <v>0</v>
      </c>
      <c r="K859" s="0" t="n">
        <v>0</v>
      </c>
      <c r="L859" s="0" t="n">
        <v>0</v>
      </c>
      <c r="M859" s="0" t="n">
        <v>0</v>
      </c>
      <c r="N859" s="0" t="str">
        <f aca="false">IF(OR(NOT(OR(J859=0,J859=1)),NOT(OR(K859=0,K859=1)),NOT(OR(L859=0,L859=1)),NOT(OR(M859=0,M859=1)),NOT(OR(U859=0,U859=1))),"Yes","No")</f>
        <v>No</v>
      </c>
      <c r="O859" s="0" t="str">
        <f aca="false">IF(OR(AND(M859=1,L859=0),AND(L859=1,K859=0),AND(K859=1,J859=0)),"Yes","No")</f>
        <v>No</v>
      </c>
      <c r="P859" s="0" t="n">
        <v>0</v>
      </c>
      <c r="Q859" s="0" t="str">
        <f aca="false">IF(OR(AND(M859=0,P859&gt;0),AND(M859=1,P859&lt;=0)),"Yes","No")</f>
        <v>No</v>
      </c>
      <c r="R859" s="0" t="str">
        <f aca="false">IF(AND(M859=1,P859&gt;calc_helpers!$B$5),"Yes","No")</f>
        <v>No</v>
      </c>
      <c r="S859" s="0" t="n">
        <v>0</v>
      </c>
      <c r="T859" s="0" t="str">
        <f aca="false">IF(S859&gt;0,"Yes","No")</f>
        <v>No</v>
      </c>
      <c r="U859" s="0" t="n">
        <v>0</v>
      </c>
      <c r="W859" s="0" t="str">
        <f aca="false">IF(OR(AND(M859=1,ISBLANK(V859)),AND(M859=0,NOT(ISBLANK(V859)))),"Yes","No")</f>
        <v>No</v>
      </c>
      <c r="X859" s="0" t="n">
        <v>71.8</v>
      </c>
      <c r="Y859" s="3" t="s">
        <v>30</v>
      </c>
      <c r="Z859" s="0" t="str">
        <f aca="false">IF(M859=1,P859,"")</f>
        <v/>
      </c>
    </row>
    <row r="860" customFormat="false" ht="15" hidden="false" customHeight="false" outlineLevel="0" collapsed="false">
      <c r="A860" s="0" t="s">
        <v>904</v>
      </c>
      <c r="B860" s="2" t="n">
        <v>45769</v>
      </c>
      <c r="C860" s="3" t="s">
        <v>736</v>
      </c>
      <c r="D860" s="3" t="s">
        <v>28</v>
      </c>
      <c r="E860" s="3" t="s">
        <v>35</v>
      </c>
      <c r="F860" s="3" t="s">
        <v>30</v>
      </c>
      <c r="G860" s="3" t="s">
        <v>31</v>
      </c>
      <c r="H860" s="3" t="s">
        <v>30</v>
      </c>
      <c r="I860" s="3" t="s">
        <v>32</v>
      </c>
      <c r="J860" s="0" t="n">
        <v>1</v>
      </c>
      <c r="K860" s="0" t="n">
        <v>1</v>
      </c>
      <c r="L860" s="0" t="n">
        <v>1</v>
      </c>
      <c r="M860" s="0" t="n">
        <v>1</v>
      </c>
      <c r="N860" s="0" t="str">
        <f aca="false">IF(OR(NOT(OR(J860=0,J860=1)),NOT(OR(K860=0,K860=1)),NOT(OR(L860=0,L860=1)),NOT(OR(M860=0,M860=1)),NOT(OR(U860=0,U860=1))),"Yes","No")</f>
        <v>No</v>
      </c>
      <c r="O860" s="0" t="str">
        <f aca="false">IF(OR(AND(M860=1,L860=0),AND(L860=1,K860=0),AND(K860=1,J860=0)),"Yes","No")</f>
        <v>No</v>
      </c>
      <c r="P860" s="0" t="n">
        <v>1117.54</v>
      </c>
      <c r="Q860" s="0" t="str">
        <f aca="false">IF(OR(AND(M860=0,P860&gt;0),AND(M860=1,P860&lt;=0)),"Yes","No")</f>
        <v>No</v>
      </c>
      <c r="R860" s="0" t="str">
        <f aca="false">IF(AND(M860=1,P860&gt;calc_helpers!$B$5),"Yes","No")</f>
        <v>No</v>
      </c>
      <c r="S860" s="0" t="n">
        <v>0</v>
      </c>
      <c r="T860" s="0" t="str">
        <f aca="false">IF(S860&gt;0,"Yes","No")</f>
        <v>No</v>
      </c>
      <c r="U860" s="0" t="n">
        <v>0</v>
      </c>
      <c r="V860" s="0" t="n">
        <v>6</v>
      </c>
      <c r="W860" s="0" t="str">
        <f aca="false">IF(OR(AND(M860=1,ISBLANK(V860)),AND(M860=0,NOT(ISBLANK(V860)))),"Yes","No")</f>
        <v>No</v>
      </c>
      <c r="X860" s="0" t="n">
        <v>60.4</v>
      </c>
      <c r="Y860" s="3" t="s">
        <v>30</v>
      </c>
      <c r="Z860" s="3" t="n">
        <f aca="false">IF(M860=1,P860,"")</f>
        <v>1117.54</v>
      </c>
    </row>
    <row r="861" customFormat="false" ht="15" hidden="false" customHeight="false" outlineLevel="0" collapsed="false">
      <c r="A861" s="0" t="s">
        <v>905</v>
      </c>
      <c r="B861" s="2" t="n">
        <v>45718</v>
      </c>
      <c r="C861" s="3" t="s">
        <v>736</v>
      </c>
      <c r="D861" s="3" t="s">
        <v>43</v>
      </c>
      <c r="E861" s="3" t="s">
        <v>29</v>
      </c>
      <c r="F861" s="3" t="s">
        <v>30</v>
      </c>
      <c r="G861" s="3" t="s">
        <v>36</v>
      </c>
      <c r="H861" s="3" t="s">
        <v>30</v>
      </c>
      <c r="I861" s="3" t="s">
        <v>32</v>
      </c>
      <c r="J861" s="0" t="n">
        <v>1</v>
      </c>
      <c r="K861" s="0" t="n">
        <v>0</v>
      </c>
      <c r="L861" s="0" t="n">
        <v>0</v>
      </c>
      <c r="M861" s="0" t="n">
        <v>0</v>
      </c>
      <c r="N861" s="0" t="str">
        <f aca="false">IF(OR(NOT(OR(J861=0,J861=1)),NOT(OR(K861=0,K861=1)),NOT(OR(L861=0,L861=1)),NOT(OR(M861=0,M861=1)),NOT(OR(U861=0,U861=1))),"Yes","No")</f>
        <v>No</v>
      </c>
      <c r="O861" s="0" t="str">
        <f aca="false">IF(OR(AND(M861=1,L861=0),AND(L861=1,K861=0),AND(K861=1,J861=0)),"Yes","No")</f>
        <v>No</v>
      </c>
      <c r="P861" s="0" t="n">
        <v>0</v>
      </c>
      <c r="Q861" s="0" t="str">
        <f aca="false">IF(OR(AND(M861=0,P861&gt;0),AND(M861=1,P861&lt;=0)),"Yes","No")</f>
        <v>No</v>
      </c>
      <c r="R861" s="0" t="str">
        <f aca="false">IF(AND(M861=1,P861&gt;calc_helpers!$B$5),"Yes","No")</f>
        <v>No</v>
      </c>
      <c r="S861" s="0" t="n">
        <v>2</v>
      </c>
      <c r="T861" s="0" t="str">
        <f aca="false">IF(S861&gt;0,"Yes","No")</f>
        <v>Yes</v>
      </c>
      <c r="U861" s="0" t="n">
        <v>0</v>
      </c>
      <c r="W861" s="0" t="str">
        <f aca="false">IF(OR(AND(M861=1,ISBLANK(V861)),AND(M861=0,NOT(ISBLANK(V861)))),"Yes","No")</f>
        <v>No</v>
      </c>
      <c r="X861" s="0" t="n">
        <v>38.3</v>
      </c>
      <c r="Y861" s="3" t="s">
        <v>30</v>
      </c>
      <c r="Z861" s="0" t="str">
        <f aca="false">IF(M861=1,P861,"")</f>
        <v/>
      </c>
    </row>
    <row r="862" customFormat="false" ht="15" hidden="false" customHeight="false" outlineLevel="0" collapsed="false">
      <c r="A862" s="0" t="s">
        <v>906</v>
      </c>
      <c r="B862" s="2" t="n">
        <v>45739</v>
      </c>
      <c r="C862" s="3" t="s">
        <v>736</v>
      </c>
      <c r="D862" s="3" t="s">
        <v>39</v>
      </c>
      <c r="E862" s="3" t="s">
        <v>35</v>
      </c>
      <c r="F862" s="3" t="s">
        <v>30</v>
      </c>
      <c r="G862" s="3" t="s">
        <v>40</v>
      </c>
      <c r="H862" s="3" t="s">
        <v>30</v>
      </c>
      <c r="I862" s="3" t="s">
        <v>37</v>
      </c>
      <c r="J862" s="0" t="n">
        <v>1</v>
      </c>
      <c r="K862" s="0" t="n">
        <v>1</v>
      </c>
      <c r="L862" s="0" t="n">
        <v>1</v>
      </c>
      <c r="M862" s="0" t="n">
        <v>0</v>
      </c>
      <c r="N862" s="0" t="str">
        <f aca="false">IF(OR(NOT(OR(J862=0,J862=1)),NOT(OR(K862=0,K862=1)),NOT(OR(L862=0,L862=1)),NOT(OR(M862=0,M862=1)),NOT(OR(U862=0,U862=1))),"Yes","No")</f>
        <v>No</v>
      </c>
      <c r="O862" s="0" t="str">
        <f aca="false">IF(OR(AND(M862=1,L862=0),AND(L862=1,K862=0),AND(K862=1,J862=0)),"Yes","No")</f>
        <v>No</v>
      </c>
      <c r="P862" s="0" t="n">
        <v>0</v>
      </c>
      <c r="Q862" s="0" t="str">
        <f aca="false">IF(OR(AND(M862=0,P862&gt;0),AND(M862=1,P862&lt;=0)),"Yes","No")</f>
        <v>No</v>
      </c>
      <c r="R862" s="0" t="str">
        <f aca="false">IF(AND(M862=1,P862&gt;calc_helpers!$B$5),"Yes","No")</f>
        <v>No</v>
      </c>
      <c r="S862" s="0" t="n">
        <v>0</v>
      </c>
      <c r="T862" s="0" t="str">
        <f aca="false">IF(S862&gt;0,"Yes","No")</f>
        <v>No</v>
      </c>
      <c r="U862" s="0" t="n">
        <v>0</v>
      </c>
      <c r="W862" s="0" t="str">
        <f aca="false">IF(OR(AND(M862=1,ISBLANK(V862)),AND(M862=0,NOT(ISBLANK(V862)))),"Yes","No")</f>
        <v>No</v>
      </c>
      <c r="X862" s="0" t="n">
        <v>79.6</v>
      </c>
      <c r="Y862" s="3" t="s">
        <v>30</v>
      </c>
      <c r="Z862" s="0" t="str">
        <f aca="false">IF(M862=1,P862,"")</f>
        <v/>
      </c>
    </row>
    <row r="863" customFormat="false" ht="15" hidden="false" customHeight="false" outlineLevel="0" collapsed="false">
      <c r="A863" s="0" t="s">
        <v>907</v>
      </c>
      <c r="B863" s="2" t="n">
        <v>45700</v>
      </c>
      <c r="C863" s="3" t="s">
        <v>736</v>
      </c>
      <c r="D863" s="3" t="s">
        <v>39</v>
      </c>
      <c r="E863" s="3" t="s">
        <v>35</v>
      </c>
      <c r="F863" s="3" t="s">
        <v>30</v>
      </c>
      <c r="G863" s="3" t="s">
        <v>31</v>
      </c>
      <c r="H863" s="3" t="s">
        <v>30</v>
      </c>
      <c r="I863" s="3" t="s">
        <v>37</v>
      </c>
      <c r="J863" s="0" t="n">
        <v>1</v>
      </c>
      <c r="K863" s="0" t="n">
        <v>1</v>
      </c>
      <c r="L863" s="0" t="n">
        <v>1</v>
      </c>
      <c r="M863" s="0" t="n">
        <v>0</v>
      </c>
      <c r="N863" s="0" t="str">
        <f aca="false">IF(OR(NOT(OR(J863=0,J863=1)),NOT(OR(K863=0,K863=1)),NOT(OR(L863=0,L863=1)),NOT(OR(M863=0,M863=1)),NOT(OR(U863=0,U863=1))),"Yes","No")</f>
        <v>No</v>
      </c>
      <c r="O863" s="0" t="str">
        <f aca="false">IF(OR(AND(M863=1,L863=0),AND(L863=1,K863=0),AND(K863=1,J863=0)),"Yes","No")</f>
        <v>No</v>
      </c>
      <c r="P863" s="0" t="n">
        <v>0</v>
      </c>
      <c r="Q863" s="0" t="str">
        <f aca="false">IF(OR(AND(M863=0,P863&gt;0),AND(M863=1,P863&lt;=0)),"Yes","No")</f>
        <v>No</v>
      </c>
      <c r="R863" s="0" t="str">
        <f aca="false">IF(AND(M863=1,P863&gt;calc_helpers!$B$5),"Yes","No")</f>
        <v>No</v>
      </c>
      <c r="S863" s="0" t="n">
        <v>0</v>
      </c>
      <c r="T863" s="0" t="str">
        <f aca="false">IF(S863&gt;0,"Yes","No")</f>
        <v>No</v>
      </c>
      <c r="U863" s="0" t="n">
        <v>0</v>
      </c>
      <c r="W863" s="0" t="str">
        <f aca="false">IF(OR(AND(M863=1,ISBLANK(V863)),AND(M863=0,NOT(ISBLANK(V863)))),"Yes","No")</f>
        <v>No</v>
      </c>
      <c r="X863" s="0" t="n">
        <v>71.9</v>
      </c>
      <c r="Y863" s="3" t="s">
        <v>30</v>
      </c>
      <c r="Z863" s="0" t="str">
        <f aca="false">IF(M863=1,P863,"")</f>
        <v/>
      </c>
    </row>
    <row r="864" customFormat="false" ht="15" hidden="false" customHeight="false" outlineLevel="0" collapsed="false">
      <c r="A864" s="0" t="s">
        <v>908</v>
      </c>
      <c r="B864" s="2" t="n">
        <v>45780</v>
      </c>
      <c r="C864" s="3" t="s">
        <v>736</v>
      </c>
      <c r="D864" s="3" t="s">
        <v>43</v>
      </c>
      <c r="E864" s="3" t="s">
        <v>35</v>
      </c>
      <c r="F864" s="3" t="s">
        <v>30</v>
      </c>
      <c r="G864" s="3" t="s">
        <v>50</v>
      </c>
      <c r="H864" s="3" t="s">
        <v>30</v>
      </c>
      <c r="I864" s="3" t="s">
        <v>32</v>
      </c>
      <c r="J864" s="0" t="n">
        <v>1</v>
      </c>
      <c r="K864" s="0" t="n">
        <v>0</v>
      </c>
      <c r="L864" s="0" t="n">
        <v>0</v>
      </c>
      <c r="M864" s="0" t="n">
        <v>0</v>
      </c>
      <c r="N864" s="0" t="str">
        <f aca="false">IF(OR(NOT(OR(J864=0,J864=1)),NOT(OR(K864=0,K864=1)),NOT(OR(L864=0,L864=1)),NOT(OR(M864=0,M864=1)),NOT(OR(U864=0,U864=1))),"Yes","No")</f>
        <v>No</v>
      </c>
      <c r="O864" s="0" t="str">
        <f aca="false">IF(OR(AND(M864=1,L864=0),AND(L864=1,K864=0),AND(K864=1,J864=0)),"Yes","No")</f>
        <v>No</v>
      </c>
      <c r="P864" s="0" t="n">
        <v>0</v>
      </c>
      <c r="Q864" s="0" t="str">
        <f aca="false">IF(OR(AND(M864=0,P864&gt;0),AND(M864=1,P864&lt;=0)),"Yes","No")</f>
        <v>No</v>
      </c>
      <c r="R864" s="0" t="str">
        <f aca="false">IF(AND(M864=1,P864&gt;calc_helpers!$B$5),"Yes","No")</f>
        <v>No</v>
      </c>
      <c r="S864" s="0" t="n">
        <v>0</v>
      </c>
      <c r="T864" s="0" t="str">
        <f aca="false">IF(S864&gt;0,"Yes","No")</f>
        <v>No</v>
      </c>
      <c r="U864" s="0" t="n">
        <v>0</v>
      </c>
      <c r="W864" s="0" t="str">
        <f aca="false">IF(OR(AND(M864=1,ISBLANK(V864)),AND(M864=0,NOT(ISBLANK(V864)))),"Yes","No")</f>
        <v>No</v>
      </c>
      <c r="X864" s="0" t="n">
        <v>54.6</v>
      </c>
      <c r="Y864" s="3" t="s">
        <v>30</v>
      </c>
      <c r="Z864" s="0" t="str">
        <f aca="false">IF(M864=1,P864,"")</f>
        <v/>
      </c>
    </row>
    <row r="865" customFormat="false" ht="15" hidden="false" customHeight="false" outlineLevel="0" collapsed="false">
      <c r="A865" s="0" t="s">
        <v>909</v>
      </c>
      <c r="B865" s="2" t="n">
        <v>45744</v>
      </c>
      <c r="C865" s="3" t="s">
        <v>736</v>
      </c>
      <c r="D865" s="3" t="s">
        <v>28</v>
      </c>
      <c r="E865" s="3" t="s">
        <v>29</v>
      </c>
      <c r="F865" s="3" t="s">
        <v>30</v>
      </c>
      <c r="G865" s="3" t="s">
        <v>52</v>
      </c>
      <c r="H865" s="3" t="s">
        <v>30</v>
      </c>
      <c r="I865" s="3" t="s">
        <v>37</v>
      </c>
      <c r="J865" s="0" t="n">
        <v>1</v>
      </c>
      <c r="K865" s="0" t="n">
        <v>0</v>
      </c>
      <c r="L865" s="0" t="n">
        <v>0</v>
      </c>
      <c r="M865" s="0" t="n">
        <v>0</v>
      </c>
      <c r="N865" s="0" t="str">
        <f aca="false">IF(OR(NOT(OR(J865=0,J865=1)),NOT(OR(K865=0,K865=1)),NOT(OR(L865=0,L865=1)),NOT(OR(M865=0,M865=1)),NOT(OR(U865=0,U865=1))),"Yes","No")</f>
        <v>No</v>
      </c>
      <c r="O865" s="0" t="str">
        <f aca="false">IF(OR(AND(M865=1,L865=0),AND(L865=1,K865=0),AND(K865=1,J865=0)),"Yes","No")</f>
        <v>No</v>
      </c>
      <c r="P865" s="0" t="n">
        <v>0</v>
      </c>
      <c r="Q865" s="0" t="str">
        <f aca="false">IF(OR(AND(M865=0,P865&gt;0),AND(M865=1,P865&lt;=0)),"Yes","No")</f>
        <v>No</v>
      </c>
      <c r="R865" s="0" t="str">
        <f aca="false">IF(AND(M865=1,P865&gt;calc_helpers!$B$5),"Yes","No")</f>
        <v>No</v>
      </c>
      <c r="S865" s="0" t="n">
        <v>3</v>
      </c>
      <c r="T865" s="0" t="str">
        <f aca="false">IF(S865&gt;0,"Yes","No")</f>
        <v>Yes</v>
      </c>
      <c r="U865" s="0" t="n">
        <v>0</v>
      </c>
      <c r="W865" s="0" t="str">
        <f aca="false">IF(OR(AND(M865=1,ISBLANK(V865)),AND(M865=0,NOT(ISBLANK(V865)))),"Yes","No")</f>
        <v>No</v>
      </c>
      <c r="X865" s="0" t="n">
        <v>49.3</v>
      </c>
      <c r="Y865" s="3" t="s">
        <v>30</v>
      </c>
      <c r="Z865" s="0" t="str">
        <f aca="false">IF(M865=1,P865,"")</f>
        <v/>
      </c>
    </row>
    <row r="866" customFormat="false" ht="15" hidden="false" customHeight="false" outlineLevel="0" collapsed="false">
      <c r="A866" s="0" t="s">
        <v>910</v>
      </c>
      <c r="B866" s="2" t="n">
        <v>45728</v>
      </c>
      <c r="C866" s="3" t="s">
        <v>736</v>
      </c>
      <c r="D866" s="3" t="s">
        <v>28</v>
      </c>
      <c r="E866" s="3" t="s">
        <v>35</v>
      </c>
      <c r="F866" s="3" t="s">
        <v>30</v>
      </c>
      <c r="G866" s="3" t="s">
        <v>52</v>
      </c>
      <c r="H866" s="3" t="s">
        <v>30</v>
      </c>
      <c r="I866" s="3" t="s">
        <v>32</v>
      </c>
      <c r="J866" s="0" t="n">
        <v>0</v>
      </c>
      <c r="K866" s="0" t="n">
        <v>0</v>
      </c>
      <c r="L866" s="0" t="n">
        <v>0</v>
      </c>
      <c r="M866" s="0" t="n">
        <v>0</v>
      </c>
      <c r="N866" s="0" t="str">
        <f aca="false">IF(OR(NOT(OR(J866=0,J866=1)),NOT(OR(K866=0,K866=1)),NOT(OR(L866=0,L866=1)),NOT(OR(M866=0,M866=1)),NOT(OR(U866=0,U866=1))),"Yes","No")</f>
        <v>No</v>
      </c>
      <c r="O866" s="0" t="str">
        <f aca="false">IF(OR(AND(M866=1,L866=0),AND(L866=1,K866=0),AND(K866=1,J866=0)),"Yes","No")</f>
        <v>No</v>
      </c>
      <c r="P866" s="0" t="n">
        <v>0</v>
      </c>
      <c r="Q866" s="0" t="str">
        <f aca="false">IF(OR(AND(M866=0,P866&gt;0),AND(M866=1,P866&lt;=0)),"Yes","No")</f>
        <v>No</v>
      </c>
      <c r="R866" s="0" t="str">
        <f aca="false">IF(AND(M866=1,P866&gt;calc_helpers!$B$5),"Yes","No")</f>
        <v>No</v>
      </c>
      <c r="S866" s="0" t="n">
        <v>1</v>
      </c>
      <c r="T866" s="0" t="str">
        <f aca="false">IF(S866&gt;0,"Yes","No")</f>
        <v>Yes</v>
      </c>
      <c r="U866" s="0" t="n">
        <v>0</v>
      </c>
      <c r="W866" s="0" t="str">
        <f aca="false">IF(OR(AND(M866=1,ISBLANK(V866)),AND(M866=0,NOT(ISBLANK(V866)))),"Yes","No")</f>
        <v>No</v>
      </c>
      <c r="X866" s="0" t="n">
        <v>66.9</v>
      </c>
      <c r="Y866" s="3" t="s">
        <v>30</v>
      </c>
      <c r="Z866" s="0" t="str">
        <f aca="false">IF(M866=1,P866,"")</f>
        <v/>
      </c>
    </row>
    <row r="867" customFormat="false" ht="15" hidden="false" customHeight="false" outlineLevel="0" collapsed="false">
      <c r="A867" s="0" t="s">
        <v>911</v>
      </c>
      <c r="B867" s="2" t="n">
        <v>45774</v>
      </c>
      <c r="C867" s="3" t="s">
        <v>736</v>
      </c>
      <c r="D867" s="3" t="s">
        <v>39</v>
      </c>
      <c r="E867" s="3" t="s">
        <v>35</v>
      </c>
      <c r="F867" s="3" t="s">
        <v>30</v>
      </c>
      <c r="G867" s="3" t="s">
        <v>40</v>
      </c>
      <c r="H867" s="3" t="s">
        <v>30</v>
      </c>
      <c r="I867" s="3" t="s">
        <v>37</v>
      </c>
      <c r="J867" s="0" t="n">
        <v>1</v>
      </c>
      <c r="K867" s="0" t="n">
        <v>0</v>
      </c>
      <c r="L867" s="0" t="n">
        <v>0</v>
      </c>
      <c r="M867" s="0" t="n">
        <v>0</v>
      </c>
      <c r="N867" s="0" t="str">
        <f aca="false">IF(OR(NOT(OR(J867=0,J867=1)),NOT(OR(K867=0,K867=1)),NOT(OR(L867=0,L867=1)),NOT(OR(M867=0,M867=1)),NOT(OR(U867=0,U867=1))),"Yes","No")</f>
        <v>No</v>
      </c>
      <c r="O867" s="0" t="str">
        <f aca="false">IF(OR(AND(M867=1,L867=0),AND(L867=1,K867=0),AND(K867=1,J867=0)),"Yes","No")</f>
        <v>No</v>
      </c>
      <c r="P867" s="0" t="n">
        <v>0</v>
      </c>
      <c r="Q867" s="0" t="str">
        <f aca="false">IF(OR(AND(M867=0,P867&gt;0),AND(M867=1,P867&lt;=0)),"Yes","No")</f>
        <v>No</v>
      </c>
      <c r="R867" s="0" t="str">
        <f aca="false">IF(AND(M867=1,P867&gt;calc_helpers!$B$5),"Yes","No")</f>
        <v>No</v>
      </c>
      <c r="S867" s="0" t="n">
        <v>1</v>
      </c>
      <c r="T867" s="0" t="str">
        <f aca="false">IF(S867&gt;0,"Yes","No")</f>
        <v>Yes</v>
      </c>
      <c r="U867" s="0" t="n">
        <v>0</v>
      </c>
      <c r="W867" s="0" t="str">
        <f aca="false">IF(OR(AND(M867=1,ISBLANK(V867)),AND(M867=0,NOT(ISBLANK(V867)))),"Yes","No")</f>
        <v>No</v>
      </c>
      <c r="X867" s="0" t="n">
        <v>77.8</v>
      </c>
      <c r="Y867" s="3" t="s">
        <v>30</v>
      </c>
      <c r="Z867" s="0" t="str">
        <f aca="false">IF(M867=1,P867,"")</f>
        <v/>
      </c>
    </row>
    <row r="868" customFormat="false" ht="15" hidden="false" customHeight="false" outlineLevel="0" collapsed="false">
      <c r="A868" s="0" t="s">
        <v>912</v>
      </c>
      <c r="B868" s="2" t="n">
        <v>45749</v>
      </c>
      <c r="C868" s="3" t="s">
        <v>736</v>
      </c>
      <c r="D868" s="3" t="s">
        <v>43</v>
      </c>
      <c r="E868" s="3" t="s">
        <v>35</v>
      </c>
      <c r="F868" s="3" t="s">
        <v>30</v>
      </c>
      <c r="G868" s="3" t="s">
        <v>50</v>
      </c>
      <c r="H868" s="3" t="s">
        <v>30</v>
      </c>
      <c r="I868" s="3" t="s">
        <v>32</v>
      </c>
      <c r="J868" s="0" t="n">
        <v>1</v>
      </c>
      <c r="K868" s="0" t="n">
        <v>0</v>
      </c>
      <c r="L868" s="0" t="n">
        <v>0</v>
      </c>
      <c r="M868" s="0" t="n">
        <v>0</v>
      </c>
      <c r="N868" s="0" t="str">
        <f aca="false">IF(OR(NOT(OR(J868=0,J868=1)),NOT(OR(K868=0,K868=1)),NOT(OR(L868=0,L868=1)),NOT(OR(M868=0,M868=1)),NOT(OR(U868=0,U868=1))),"Yes","No")</f>
        <v>No</v>
      </c>
      <c r="O868" s="0" t="str">
        <f aca="false">IF(OR(AND(M868=1,L868=0),AND(L868=1,K868=0),AND(K868=1,J868=0)),"Yes","No")</f>
        <v>No</v>
      </c>
      <c r="P868" s="0" t="n">
        <v>0</v>
      </c>
      <c r="Q868" s="0" t="str">
        <f aca="false">IF(OR(AND(M868=0,P868&gt;0),AND(M868=1,P868&lt;=0)),"Yes","No")</f>
        <v>No</v>
      </c>
      <c r="R868" s="0" t="str">
        <f aca="false">IF(AND(M868=1,P868&gt;calc_helpers!$B$5),"Yes","No")</f>
        <v>No</v>
      </c>
      <c r="S868" s="0" t="n">
        <v>0</v>
      </c>
      <c r="T868" s="0" t="str">
        <f aca="false">IF(S868&gt;0,"Yes","No")</f>
        <v>No</v>
      </c>
      <c r="U868" s="0" t="n">
        <v>0</v>
      </c>
      <c r="W868" s="0" t="str">
        <f aca="false">IF(OR(AND(M868=1,ISBLANK(V868)),AND(M868=0,NOT(ISBLANK(V868)))),"Yes","No")</f>
        <v>No</v>
      </c>
      <c r="X868" s="0" t="n">
        <v>63</v>
      </c>
      <c r="Y868" s="3" t="s">
        <v>30</v>
      </c>
      <c r="Z868" s="0" t="str">
        <f aca="false">IF(M868=1,P868,"")</f>
        <v/>
      </c>
    </row>
    <row r="869" customFormat="false" ht="15" hidden="false" customHeight="false" outlineLevel="0" collapsed="false">
      <c r="A869" s="0" t="s">
        <v>913</v>
      </c>
      <c r="B869" s="2" t="n">
        <v>45768</v>
      </c>
      <c r="C869" s="3" t="s">
        <v>736</v>
      </c>
      <c r="D869" s="3" t="s">
        <v>28</v>
      </c>
      <c r="E869" s="3" t="s">
        <v>35</v>
      </c>
      <c r="F869" s="3" t="s">
        <v>30</v>
      </c>
      <c r="G869" s="3" t="s">
        <v>52</v>
      </c>
      <c r="H869" s="3" t="s">
        <v>30</v>
      </c>
      <c r="I869" s="3" t="s">
        <v>37</v>
      </c>
      <c r="J869" s="0" t="n">
        <v>0</v>
      </c>
      <c r="K869" s="0" t="n">
        <v>0</v>
      </c>
      <c r="L869" s="0" t="n">
        <v>0</v>
      </c>
      <c r="M869" s="0" t="n">
        <v>0</v>
      </c>
      <c r="N869" s="0" t="str">
        <f aca="false">IF(OR(NOT(OR(J869=0,J869=1)),NOT(OR(K869=0,K869=1)),NOT(OR(L869=0,L869=1)),NOT(OR(M869=0,M869=1)),NOT(OR(U869=0,U869=1))),"Yes","No")</f>
        <v>No</v>
      </c>
      <c r="O869" s="0" t="str">
        <f aca="false">IF(OR(AND(M869=1,L869=0),AND(L869=1,K869=0),AND(K869=1,J869=0)),"Yes","No")</f>
        <v>No</v>
      </c>
      <c r="P869" s="0" t="n">
        <v>0</v>
      </c>
      <c r="Q869" s="0" t="str">
        <f aca="false">IF(OR(AND(M869=0,P869&gt;0),AND(M869=1,P869&lt;=0)),"Yes","No")</f>
        <v>No</v>
      </c>
      <c r="R869" s="0" t="str">
        <f aca="false">IF(AND(M869=1,P869&gt;calc_helpers!$B$5),"Yes","No")</f>
        <v>No</v>
      </c>
      <c r="S869" s="0" t="n">
        <v>0</v>
      </c>
      <c r="T869" s="0" t="str">
        <f aca="false">IF(S869&gt;0,"Yes","No")</f>
        <v>No</v>
      </c>
      <c r="U869" s="0" t="n">
        <v>0</v>
      </c>
      <c r="W869" s="0" t="str">
        <f aca="false">IF(OR(AND(M869=1,ISBLANK(V869)),AND(M869=0,NOT(ISBLANK(V869)))),"Yes","No")</f>
        <v>No</v>
      </c>
      <c r="X869" s="0" t="n">
        <v>79.8</v>
      </c>
      <c r="Y869" s="3" t="s">
        <v>30</v>
      </c>
      <c r="Z869" s="0" t="str">
        <f aca="false">IF(M869=1,P869,"")</f>
        <v/>
      </c>
    </row>
    <row r="870" customFormat="false" ht="15" hidden="false" customHeight="false" outlineLevel="0" collapsed="false">
      <c r="A870" s="0" t="s">
        <v>914</v>
      </c>
      <c r="B870" s="2" t="n">
        <v>45683</v>
      </c>
      <c r="C870" s="3" t="s">
        <v>736</v>
      </c>
      <c r="D870" s="3" t="s">
        <v>34</v>
      </c>
      <c r="E870" s="3" t="s">
        <v>29</v>
      </c>
      <c r="F870" s="3" t="s">
        <v>30</v>
      </c>
      <c r="G870" s="3" t="s">
        <v>36</v>
      </c>
      <c r="H870" s="3" t="s">
        <v>30</v>
      </c>
      <c r="I870" s="3" t="s">
        <v>32</v>
      </c>
      <c r="J870" s="0" t="n">
        <v>0</v>
      </c>
      <c r="K870" s="0" t="n">
        <v>0</v>
      </c>
      <c r="L870" s="0" t="n">
        <v>0</v>
      </c>
      <c r="M870" s="0" t="n">
        <v>0</v>
      </c>
      <c r="N870" s="0" t="str">
        <f aca="false">IF(OR(NOT(OR(J870=0,J870=1)),NOT(OR(K870=0,K870=1)),NOT(OR(L870=0,L870=1)),NOT(OR(M870=0,M870=1)),NOT(OR(U870=0,U870=1))),"Yes","No")</f>
        <v>No</v>
      </c>
      <c r="O870" s="0" t="str">
        <f aca="false">IF(OR(AND(M870=1,L870=0),AND(L870=1,K870=0),AND(K870=1,J870=0)),"Yes","No")</f>
        <v>No</v>
      </c>
      <c r="P870" s="0" t="n">
        <v>0</v>
      </c>
      <c r="Q870" s="0" t="str">
        <f aca="false">IF(OR(AND(M870=0,P870&gt;0),AND(M870=1,P870&lt;=0)),"Yes","No")</f>
        <v>No</v>
      </c>
      <c r="R870" s="0" t="str">
        <f aca="false">IF(AND(M870=1,P870&gt;calc_helpers!$B$5),"Yes","No")</f>
        <v>No</v>
      </c>
      <c r="S870" s="0" t="n">
        <v>0</v>
      </c>
      <c r="T870" s="0" t="str">
        <f aca="false">IF(S870&gt;0,"Yes","No")</f>
        <v>No</v>
      </c>
      <c r="U870" s="0" t="n">
        <v>0</v>
      </c>
      <c r="W870" s="0" t="str">
        <f aca="false">IF(OR(AND(M870=1,ISBLANK(V870)),AND(M870=0,NOT(ISBLANK(V870)))),"Yes","No")</f>
        <v>No</v>
      </c>
      <c r="X870" s="0" t="n">
        <v>69.9</v>
      </c>
      <c r="Y870" s="3" t="s">
        <v>30</v>
      </c>
      <c r="Z870" s="0" t="str">
        <f aca="false">IF(M870=1,P870,"")</f>
        <v/>
      </c>
    </row>
    <row r="871" customFormat="false" ht="15" hidden="false" customHeight="false" outlineLevel="0" collapsed="false">
      <c r="A871" s="0" t="s">
        <v>915</v>
      </c>
      <c r="B871" s="2" t="n">
        <v>45663</v>
      </c>
      <c r="C871" s="3" t="s">
        <v>736</v>
      </c>
      <c r="D871" s="3" t="s">
        <v>34</v>
      </c>
      <c r="E871" s="3" t="s">
        <v>35</v>
      </c>
      <c r="F871" s="3" t="s">
        <v>30</v>
      </c>
      <c r="G871" s="3" t="s">
        <v>36</v>
      </c>
      <c r="H871" s="3" t="s">
        <v>30</v>
      </c>
      <c r="I871" s="3" t="s">
        <v>37</v>
      </c>
      <c r="J871" s="0" t="n">
        <v>0</v>
      </c>
      <c r="K871" s="0" t="n">
        <v>0</v>
      </c>
      <c r="L871" s="0" t="n">
        <v>0</v>
      </c>
      <c r="M871" s="0" t="n">
        <v>0</v>
      </c>
      <c r="N871" s="0" t="str">
        <f aca="false">IF(OR(NOT(OR(J871=0,J871=1)),NOT(OR(K871=0,K871=1)),NOT(OR(L871=0,L871=1)),NOT(OR(M871=0,M871=1)),NOT(OR(U871=0,U871=1))),"Yes","No")</f>
        <v>No</v>
      </c>
      <c r="O871" s="0" t="str">
        <f aca="false">IF(OR(AND(M871=1,L871=0),AND(L871=1,K871=0),AND(K871=1,J871=0)),"Yes","No")</f>
        <v>No</v>
      </c>
      <c r="P871" s="0" t="n">
        <v>0</v>
      </c>
      <c r="Q871" s="0" t="str">
        <f aca="false">IF(OR(AND(M871=0,P871&gt;0),AND(M871=1,P871&lt;=0)),"Yes","No")</f>
        <v>No</v>
      </c>
      <c r="R871" s="0" t="str">
        <f aca="false">IF(AND(M871=1,P871&gt;calc_helpers!$B$5),"Yes","No")</f>
        <v>No</v>
      </c>
      <c r="S871" s="0" t="n">
        <v>1</v>
      </c>
      <c r="T871" s="0" t="str">
        <f aca="false">IF(S871&gt;0,"Yes","No")</f>
        <v>Yes</v>
      </c>
      <c r="U871" s="0" t="n">
        <v>0</v>
      </c>
      <c r="W871" s="0" t="str">
        <f aca="false">IF(OR(AND(M871=1,ISBLANK(V871)),AND(M871=0,NOT(ISBLANK(V871)))),"Yes","No")</f>
        <v>No</v>
      </c>
      <c r="X871" s="0" t="n">
        <v>66.4</v>
      </c>
      <c r="Y871" s="3" t="s">
        <v>30</v>
      </c>
      <c r="Z871" s="0" t="str">
        <f aca="false">IF(M871=1,P871,"")</f>
        <v/>
      </c>
    </row>
    <row r="872" customFormat="false" ht="15" hidden="false" customHeight="false" outlineLevel="0" collapsed="false">
      <c r="A872" s="0" t="s">
        <v>916</v>
      </c>
      <c r="B872" s="2" t="n">
        <v>45695</v>
      </c>
      <c r="C872" s="3" t="s">
        <v>736</v>
      </c>
      <c r="D872" s="3" t="s">
        <v>39</v>
      </c>
      <c r="E872" s="3" t="s">
        <v>35</v>
      </c>
      <c r="F872" s="3" t="s">
        <v>30</v>
      </c>
      <c r="G872" s="3" t="s">
        <v>36</v>
      </c>
      <c r="H872" s="3" t="s">
        <v>30</v>
      </c>
      <c r="I872" s="3" t="s">
        <v>37</v>
      </c>
      <c r="J872" s="0" t="n">
        <v>1</v>
      </c>
      <c r="K872" s="0" t="n">
        <v>0</v>
      </c>
      <c r="L872" s="0" t="n">
        <v>0</v>
      </c>
      <c r="M872" s="0" t="n">
        <v>0</v>
      </c>
      <c r="N872" s="0" t="str">
        <f aca="false">IF(OR(NOT(OR(J872=0,J872=1)),NOT(OR(K872=0,K872=1)),NOT(OR(L872=0,L872=1)),NOT(OR(M872=0,M872=1)),NOT(OR(U872=0,U872=1))),"Yes","No")</f>
        <v>No</v>
      </c>
      <c r="O872" s="0" t="str">
        <f aca="false">IF(OR(AND(M872=1,L872=0),AND(L872=1,K872=0),AND(K872=1,J872=0)),"Yes","No")</f>
        <v>No</v>
      </c>
      <c r="P872" s="0" t="n">
        <v>0</v>
      </c>
      <c r="Q872" s="0" t="str">
        <f aca="false">IF(OR(AND(M872=0,P872&gt;0),AND(M872=1,P872&lt;=0)),"Yes","No")</f>
        <v>No</v>
      </c>
      <c r="R872" s="0" t="str">
        <f aca="false">IF(AND(M872=1,P872&gt;calc_helpers!$B$5),"Yes","No")</f>
        <v>No</v>
      </c>
      <c r="S872" s="0" t="n">
        <v>0</v>
      </c>
      <c r="T872" s="0" t="str">
        <f aca="false">IF(S872&gt;0,"Yes","No")</f>
        <v>No</v>
      </c>
      <c r="U872" s="0" t="n">
        <v>0</v>
      </c>
      <c r="W872" s="0" t="str">
        <f aca="false">IF(OR(AND(M872=1,ISBLANK(V872)),AND(M872=0,NOT(ISBLANK(V872)))),"Yes","No")</f>
        <v>No</v>
      </c>
      <c r="X872" s="0" t="n">
        <v>27.6</v>
      </c>
      <c r="Y872" s="3" t="s">
        <v>30</v>
      </c>
      <c r="Z872" s="0" t="str">
        <f aca="false">IF(M872=1,P872,"")</f>
        <v/>
      </c>
    </row>
    <row r="873" customFormat="false" ht="15" hidden="false" customHeight="false" outlineLevel="0" collapsed="false">
      <c r="A873" s="0" t="s">
        <v>917</v>
      </c>
      <c r="B873" s="2" t="n">
        <v>45784</v>
      </c>
      <c r="C873" s="3" t="s">
        <v>736</v>
      </c>
      <c r="D873" s="3" t="s">
        <v>34</v>
      </c>
      <c r="E873" s="3" t="s">
        <v>35</v>
      </c>
      <c r="F873" s="3" t="s">
        <v>30</v>
      </c>
      <c r="G873" s="3" t="s">
        <v>36</v>
      </c>
      <c r="H873" s="3" t="s">
        <v>30</v>
      </c>
      <c r="I873" s="3" t="s">
        <v>41</v>
      </c>
      <c r="J873" s="0" t="n">
        <v>1</v>
      </c>
      <c r="K873" s="0" t="n">
        <v>0</v>
      </c>
      <c r="L873" s="0" t="n">
        <v>0</v>
      </c>
      <c r="M873" s="0" t="n">
        <v>0</v>
      </c>
      <c r="N873" s="0" t="str">
        <f aca="false">IF(OR(NOT(OR(J873=0,J873=1)),NOT(OR(K873=0,K873=1)),NOT(OR(L873=0,L873=1)),NOT(OR(M873=0,M873=1)),NOT(OR(U873=0,U873=1))),"Yes","No")</f>
        <v>No</v>
      </c>
      <c r="O873" s="0" t="str">
        <f aca="false">IF(OR(AND(M873=1,L873=0),AND(L873=1,K873=0),AND(K873=1,J873=0)),"Yes","No")</f>
        <v>No</v>
      </c>
      <c r="P873" s="0" t="n">
        <v>0</v>
      </c>
      <c r="Q873" s="0" t="str">
        <f aca="false">IF(OR(AND(M873=0,P873&gt;0),AND(M873=1,P873&lt;=0)),"Yes","No")</f>
        <v>No</v>
      </c>
      <c r="R873" s="0" t="str">
        <f aca="false">IF(AND(M873=1,P873&gt;calc_helpers!$B$5),"Yes","No")</f>
        <v>No</v>
      </c>
      <c r="S873" s="0" t="n">
        <v>1</v>
      </c>
      <c r="T873" s="0" t="str">
        <f aca="false">IF(S873&gt;0,"Yes","No")</f>
        <v>Yes</v>
      </c>
      <c r="U873" s="0" t="n">
        <v>0</v>
      </c>
      <c r="W873" s="0" t="str">
        <f aca="false">IF(OR(AND(M873=1,ISBLANK(V873)),AND(M873=0,NOT(ISBLANK(V873)))),"Yes","No")</f>
        <v>No</v>
      </c>
      <c r="X873" s="0" t="n">
        <v>56.5</v>
      </c>
      <c r="Y873" s="3" t="s">
        <v>30</v>
      </c>
      <c r="Z873" s="0" t="str">
        <f aca="false">IF(M873=1,P873,"")</f>
        <v/>
      </c>
    </row>
    <row r="874" customFormat="false" ht="15" hidden="false" customHeight="false" outlineLevel="0" collapsed="false">
      <c r="A874" s="0" t="s">
        <v>918</v>
      </c>
      <c r="B874" s="2" t="n">
        <v>45769</v>
      </c>
      <c r="C874" s="3" t="s">
        <v>736</v>
      </c>
      <c r="D874" s="3" t="s">
        <v>34</v>
      </c>
      <c r="E874" s="3" t="s">
        <v>167</v>
      </c>
      <c r="F874" s="3" t="s">
        <v>168</v>
      </c>
      <c r="G874" s="3" t="s">
        <v>52</v>
      </c>
      <c r="H874" s="3" t="s">
        <v>30</v>
      </c>
      <c r="I874" s="3" t="s">
        <v>37</v>
      </c>
      <c r="J874" s="0" t="n">
        <v>1</v>
      </c>
      <c r="K874" s="0" t="n">
        <v>0</v>
      </c>
      <c r="L874" s="0" t="n">
        <v>0</v>
      </c>
      <c r="M874" s="0" t="n">
        <v>0</v>
      </c>
      <c r="N874" s="0" t="str">
        <f aca="false">IF(OR(NOT(OR(J874=0,J874=1)),NOT(OR(K874=0,K874=1)),NOT(OR(L874=0,L874=1)),NOT(OR(M874=0,M874=1)),NOT(OR(U874=0,U874=1))),"Yes","No")</f>
        <v>No</v>
      </c>
      <c r="O874" s="0" t="str">
        <f aca="false">IF(OR(AND(M874=1,L874=0),AND(L874=1,K874=0),AND(K874=1,J874=0)),"Yes","No")</f>
        <v>No</v>
      </c>
      <c r="P874" s="0" t="n">
        <v>0</v>
      </c>
      <c r="Q874" s="0" t="str">
        <f aca="false">IF(OR(AND(M874=0,P874&gt;0),AND(M874=1,P874&lt;=0)),"Yes","No")</f>
        <v>No</v>
      </c>
      <c r="R874" s="0" t="str">
        <f aca="false">IF(AND(M874=1,P874&gt;calc_helpers!$B$5),"Yes","No")</f>
        <v>No</v>
      </c>
      <c r="S874" s="0" t="n">
        <v>0</v>
      </c>
      <c r="T874" s="0" t="str">
        <f aca="false">IF(S874&gt;0,"Yes","No")</f>
        <v>No</v>
      </c>
      <c r="U874" s="0" t="n">
        <v>0</v>
      </c>
      <c r="W874" s="0" t="str">
        <f aca="false">IF(OR(AND(M874=1,ISBLANK(V874)),AND(M874=0,NOT(ISBLANK(V874)))),"Yes","No")</f>
        <v>No</v>
      </c>
      <c r="X874" s="0" t="n">
        <v>67.8</v>
      </c>
      <c r="Y874" s="3" t="s">
        <v>30</v>
      </c>
      <c r="Z874" s="0" t="str">
        <f aca="false">IF(M874=1,P874,"")</f>
        <v/>
      </c>
    </row>
    <row r="875" customFormat="false" ht="15" hidden="false" customHeight="false" outlineLevel="0" collapsed="false">
      <c r="A875" s="0" t="s">
        <v>919</v>
      </c>
      <c r="B875" s="2" t="n">
        <v>45781</v>
      </c>
      <c r="C875" s="3" t="s">
        <v>736</v>
      </c>
      <c r="D875" s="3" t="s">
        <v>34</v>
      </c>
      <c r="E875" s="3" t="s">
        <v>29</v>
      </c>
      <c r="F875" s="3" t="s">
        <v>30</v>
      </c>
      <c r="G875" s="3" t="s">
        <v>52</v>
      </c>
      <c r="H875" s="3" t="s">
        <v>30</v>
      </c>
      <c r="I875" s="3" t="s">
        <v>37</v>
      </c>
      <c r="J875" s="0" t="n">
        <v>1</v>
      </c>
      <c r="K875" s="0" t="n">
        <v>0</v>
      </c>
      <c r="L875" s="0" t="n">
        <v>0</v>
      </c>
      <c r="M875" s="0" t="n">
        <v>0</v>
      </c>
      <c r="N875" s="0" t="str">
        <f aca="false">IF(OR(NOT(OR(J875=0,J875=1)),NOT(OR(K875=0,K875=1)),NOT(OR(L875=0,L875=1)),NOT(OR(M875=0,M875=1)),NOT(OR(U875=0,U875=1))),"Yes","No")</f>
        <v>No</v>
      </c>
      <c r="O875" s="0" t="str">
        <f aca="false">IF(OR(AND(M875=1,L875=0),AND(L875=1,K875=0),AND(K875=1,J875=0)),"Yes","No")</f>
        <v>No</v>
      </c>
      <c r="P875" s="0" t="n">
        <v>0</v>
      </c>
      <c r="Q875" s="0" t="str">
        <f aca="false">IF(OR(AND(M875=0,P875&gt;0),AND(M875=1,P875&lt;=0)),"Yes","No")</f>
        <v>No</v>
      </c>
      <c r="R875" s="0" t="str">
        <f aca="false">IF(AND(M875=1,P875&gt;calc_helpers!$B$5),"Yes","No")</f>
        <v>No</v>
      </c>
      <c r="S875" s="0" t="n">
        <v>0</v>
      </c>
      <c r="T875" s="0" t="str">
        <f aca="false">IF(S875&gt;0,"Yes","No")</f>
        <v>No</v>
      </c>
      <c r="U875" s="0" t="n">
        <v>0</v>
      </c>
      <c r="W875" s="0" t="str">
        <f aca="false">IF(OR(AND(M875=1,ISBLANK(V875)),AND(M875=0,NOT(ISBLANK(V875)))),"Yes","No")</f>
        <v>No</v>
      </c>
      <c r="X875" s="0" t="n">
        <v>80</v>
      </c>
      <c r="Y875" s="3" t="s">
        <v>30</v>
      </c>
      <c r="Z875" s="0" t="str">
        <f aca="false">IF(M875=1,P875,"")</f>
        <v/>
      </c>
    </row>
    <row r="876" customFormat="false" ht="15" hidden="false" customHeight="false" outlineLevel="0" collapsed="false">
      <c r="A876" s="0" t="s">
        <v>920</v>
      </c>
      <c r="B876" s="2" t="n">
        <v>45793</v>
      </c>
      <c r="C876" s="3" t="s">
        <v>736</v>
      </c>
      <c r="D876" s="3" t="s">
        <v>43</v>
      </c>
      <c r="E876" s="3" t="s">
        <v>35</v>
      </c>
      <c r="F876" s="3" t="s">
        <v>30</v>
      </c>
      <c r="G876" s="3" t="s">
        <v>52</v>
      </c>
      <c r="H876" s="3" t="s">
        <v>30</v>
      </c>
      <c r="I876" s="3" t="s">
        <v>32</v>
      </c>
      <c r="J876" s="0" t="n">
        <v>1</v>
      </c>
      <c r="K876" s="0" t="n">
        <v>1</v>
      </c>
      <c r="L876" s="0" t="n">
        <v>1</v>
      </c>
      <c r="M876" s="0" t="n">
        <v>0</v>
      </c>
      <c r="N876" s="0" t="str">
        <f aca="false">IF(OR(NOT(OR(J876=0,J876=1)),NOT(OR(K876=0,K876=1)),NOT(OR(L876=0,L876=1)),NOT(OR(M876=0,M876=1)),NOT(OR(U876=0,U876=1))),"Yes","No")</f>
        <v>No</v>
      </c>
      <c r="O876" s="0" t="str">
        <f aca="false">IF(OR(AND(M876=1,L876=0),AND(L876=1,K876=0),AND(K876=1,J876=0)),"Yes","No")</f>
        <v>No</v>
      </c>
      <c r="P876" s="0" t="n">
        <v>0</v>
      </c>
      <c r="Q876" s="0" t="str">
        <f aca="false">IF(OR(AND(M876=0,P876&gt;0),AND(M876=1,P876&lt;=0)),"Yes","No")</f>
        <v>No</v>
      </c>
      <c r="R876" s="0" t="str">
        <f aca="false">IF(AND(M876=1,P876&gt;calc_helpers!$B$5),"Yes","No")</f>
        <v>No</v>
      </c>
      <c r="S876" s="0" t="n">
        <v>1</v>
      </c>
      <c r="T876" s="0" t="str">
        <f aca="false">IF(S876&gt;0,"Yes","No")</f>
        <v>Yes</v>
      </c>
      <c r="U876" s="0" t="n">
        <v>0</v>
      </c>
      <c r="W876" s="0" t="str">
        <f aca="false">IF(OR(AND(M876=1,ISBLANK(V876)),AND(M876=0,NOT(ISBLANK(V876)))),"Yes","No")</f>
        <v>No</v>
      </c>
      <c r="X876" s="0" t="n">
        <v>80.9</v>
      </c>
      <c r="Y876" s="3" t="s">
        <v>30</v>
      </c>
      <c r="Z876" s="0" t="str">
        <f aca="false">IF(M876=1,P876,"")</f>
        <v/>
      </c>
    </row>
    <row r="877" customFormat="false" ht="15" hidden="false" customHeight="false" outlineLevel="0" collapsed="false">
      <c r="A877" s="0" t="s">
        <v>921</v>
      </c>
      <c r="B877" s="2" t="n">
        <v>45699</v>
      </c>
      <c r="C877" s="3" t="s">
        <v>736</v>
      </c>
      <c r="D877" s="3" t="s">
        <v>34</v>
      </c>
      <c r="E877" s="3" t="s">
        <v>35</v>
      </c>
      <c r="F877" s="3" t="s">
        <v>30</v>
      </c>
      <c r="G877" s="3" t="s">
        <v>40</v>
      </c>
      <c r="H877" s="3" t="s">
        <v>30</v>
      </c>
      <c r="I877" s="3" t="s">
        <v>37</v>
      </c>
      <c r="J877" s="0" t="n">
        <v>0</v>
      </c>
      <c r="K877" s="0" t="n">
        <v>0</v>
      </c>
      <c r="L877" s="0" t="n">
        <v>0</v>
      </c>
      <c r="M877" s="0" t="n">
        <v>0</v>
      </c>
      <c r="N877" s="0" t="str">
        <f aca="false">IF(OR(NOT(OR(J877=0,J877=1)),NOT(OR(K877=0,K877=1)),NOT(OR(L877=0,L877=1)),NOT(OR(M877=0,M877=1)),NOT(OR(U877=0,U877=1))),"Yes","No")</f>
        <v>No</v>
      </c>
      <c r="O877" s="0" t="str">
        <f aca="false">IF(OR(AND(M877=1,L877=0),AND(L877=1,K877=0),AND(K877=1,J877=0)),"Yes","No")</f>
        <v>No</v>
      </c>
      <c r="P877" s="0" t="n">
        <v>0</v>
      </c>
      <c r="Q877" s="0" t="str">
        <f aca="false">IF(OR(AND(M877=0,P877&gt;0),AND(M877=1,P877&lt;=0)),"Yes","No")</f>
        <v>No</v>
      </c>
      <c r="R877" s="0" t="str">
        <f aca="false">IF(AND(M877=1,P877&gt;calc_helpers!$B$5),"Yes","No")</f>
        <v>No</v>
      </c>
      <c r="S877" s="0" t="n">
        <v>0</v>
      </c>
      <c r="T877" s="0" t="str">
        <f aca="false">IF(S877&gt;0,"Yes","No")</f>
        <v>No</v>
      </c>
      <c r="U877" s="0" t="n">
        <v>0</v>
      </c>
      <c r="W877" s="0" t="str">
        <f aca="false">IF(OR(AND(M877=1,ISBLANK(V877)),AND(M877=0,NOT(ISBLANK(V877)))),"Yes","No")</f>
        <v>No</v>
      </c>
      <c r="X877" s="0" t="n">
        <v>34.5</v>
      </c>
      <c r="Y877" s="3" t="s">
        <v>30</v>
      </c>
      <c r="Z877" s="0" t="str">
        <f aca="false">IF(M877=1,P877,"")</f>
        <v/>
      </c>
    </row>
    <row r="878" customFormat="false" ht="15" hidden="false" customHeight="false" outlineLevel="0" collapsed="false">
      <c r="A878" s="0" t="s">
        <v>922</v>
      </c>
      <c r="B878" s="2" t="n">
        <v>45786</v>
      </c>
      <c r="C878" s="3" t="s">
        <v>736</v>
      </c>
      <c r="D878" s="3" t="s">
        <v>39</v>
      </c>
      <c r="E878" s="3" t="s">
        <v>29</v>
      </c>
      <c r="F878" s="3" t="s">
        <v>30</v>
      </c>
      <c r="G878" s="3" t="s">
        <v>36</v>
      </c>
      <c r="H878" s="3" t="s">
        <v>30</v>
      </c>
      <c r="I878" s="3" t="s">
        <v>41</v>
      </c>
      <c r="J878" s="0" t="n">
        <v>1</v>
      </c>
      <c r="K878" s="0" t="n">
        <v>0</v>
      </c>
      <c r="L878" s="0" t="n">
        <v>0</v>
      </c>
      <c r="M878" s="0" t="n">
        <v>0</v>
      </c>
      <c r="N878" s="0" t="str">
        <f aca="false">IF(OR(NOT(OR(J878=0,J878=1)),NOT(OR(K878=0,K878=1)),NOT(OR(L878=0,L878=1)),NOT(OR(M878=0,M878=1)),NOT(OR(U878=0,U878=1))),"Yes","No")</f>
        <v>No</v>
      </c>
      <c r="O878" s="0" t="str">
        <f aca="false">IF(OR(AND(M878=1,L878=0),AND(L878=1,K878=0),AND(K878=1,J878=0)),"Yes","No")</f>
        <v>No</v>
      </c>
      <c r="P878" s="0" t="n">
        <v>0</v>
      </c>
      <c r="Q878" s="0" t="str">
        <f aca="false">IF(OR(AND(M878=0,P878&gt;0),AND(M878=1,P878&lt;=0)),"Yes","No")</f>
        <v>No</v>
      </c>
      <c r="R878" s="0" t="str">
        <f aca="false">IF(AND(M878=1,P878&gt;calc_helpers!$B$5),"Yes","No")</f>
        <v>No</v>
      </c>
      <c r="S878" s="0" t="n">
        <v>0</v>
      </c>
      <c r="T878" s="0" t="str">
        <f aca="false">IF(S878&gt;0,"Yes","No")</f>
        <v>No</v>
      </c>
      <c r="U878" s="0" t="n">
        <v>0</v>
      </c>
      <c r="W878" s="0" t="str">
        <f aca="false">IF(OR(AND(M878=1,ISBLANK(V878)),AND(M878=0,NOT(ISBLANK(V878)))),"Yes","No")</f>
        <v>No</v>
      </c>
      <c r="X878" s="0" t="n">
        <v>73.5</v>
      </c>
      <c r="Y878" s="3" t="s">
        <v>30</v>
      </c>
      <c r="Z878" s="0" t="str">
        <f aca="false">IF(M878=1,P878,"")</f>
        <v/>
      </c>
    </row>
    <row r="879" customFormat="false" ht="15" hidden="false" customHeight="false" outlineLevel="0" collapsed="false">
      <c r="A879" s="0" t="s">
        <v>923</v>
      </c>
      <c r="B879" s="2" t="n">
        <v>45697</v>
      </c>
      <c r="C879" s="3" t="s">
        <v>736</v>
      </c>
      <c r="D879" s="3" t="s">
        <v>43</v>
      </c>
      <c r="E879" s="3" t="s">
        <v>29</v>
      </c>
      <c r="F879" s="3" t="s">
        <v>30</v>
      </c>
      <c r="G879" s="3" t="s">
        <v>40</v>
      </c>
      <c r="H879" s="3" t="s">
        <v>30</v>
      </c>
      <c r="I879" s="3" t="s">
        <v>37</v>
      </c>
      <c r="J879" s="0" t="n">
        <v>1</v>
      </c>
      <c r="K879" s="0" t="n">
        <v>1</v>
      </c>
      <c r="L879" s="0" t="n">
        <v>0</v>
      </c>
      <c r="M879" s="0" t="n">
        <v>0</v>
      </c>
      <c r="N879" s="0" t="str">
        <f aca="false">IF(OR(NOT(OR(J879=0,J879=1)),NOT(OR(K879=0,K879=1)),NOT(OR(L879=0,L879=1)),NOT(OR(M879=0,M879=1)),NOT(OR(U879=0,U879=1))),"Yes","No")</f>
        <v>No</v>
      </c>
      <c r="O879" s="0" t="str">
        <f aca="false">IF(OR(AND(M879=1,L879=0),AND(L879=1,K879=0),AND(K879=1,J879=0)),"Yes","No")</f>
        <v>No</v>
      </c>
      <c r="P879" s="0" t="n">
        <v>0</v>
      </c>
      <c r="Q879" s="0" t="str">
        <f aca="false">IF(OR(AND(M879=0,P879&gt;0),AND(M879=1,P879&lt;=0)),"Yes","No")</f>
        <v>No</v>
      </c>
      <c r="R879" s="0" t="str">
        <f aca="false">IF(AND(M879=1,P879&gt;calc_helpers!$B$5),"Yes","No")</f>
        <v>No</v>
      </c>
      <c r="S879" s="0" t="n">
        <v>0</v>
      </c>
      <c r="T879" s="0" t="str">
        <f aca="false">IF(S879&gt;0,"Yes","No")</f>
        <v>No</v>
      </c>
      <c r="U879" s="0" t="n">
        <v>0</v>
      </c>
      <c r="W879" s="0" t="str">
        <f aca="false">IF(OR(AND(M879=1,ISBLANK(V879)),AND(M879=0,NOT(ISBLANK(V879)))),"Yes","No")</f>
        <v>No</v>
      </c>
      <c r="X879" s="0" t="n">
        <v>70</v>
      </c>
      <c r="Y879" s="3" t="s">
        <v>30</v>
      </c>
      <c r="Z879" s="0" t="str">
        <f aca="false">IF(M879=1,P879,"")</f>
        <v/>
      </c>
    </row>
    <row r="880" customFormat="false" ht="15" hidden="false" customHeight="false" outlineLevel="0" collapsed="false">
      <c r="A880" s="0" t="s">
        <v>924</v>
      </c>
      <c r="B880" s="2" t="n">
        <v>45799</v>
      </c>
      <c r="C880" s="3" t="s">
        <v>736</v>
      </c>
      <c r="D880" s="3" t="s">
        <v>34</v>
      </c>
      <c r="E880" s="3" t="s">
        <v>35</v>
      </c>
      <c r="F880" s="3" t="s">
        <v>30</v>
      </c>
      <c r="G880" s="3" t="s">
        <v>52</v>
      </c>
      <c r="H880" s="3" t="s">
        <v>30</v>
      </c>
      <c r="I880" s="3" t="s">
        <v>32</v>
      </c>
      <c r="J880" s="0" t="n">
        <v>0</v>
      </c>
      <c r="K880" s="0" t="n">
        <v>0</v>
      </c>
      <c r="L880" s="0" t="n">
        <v>0</v>
      </c>
      <c r="M880" s="0" t="n">
        <v>0</v>
      </c>
      <c r="N880" s="0" t="str">
        <f aca="false">IF(OR(NOT(OR(J880=0,J880=1)),NOT(OR(K880=0,K880=1)),NOT(OR(L880=0,L880=1)),NOT(OR(M880=0,M880=1)),NOT(OR(U880=0,U880=1))),"Yes","No")</f>
        <v>No</v>
      </c>
      <c r="O880" s="0" t="str">
        <f aca="false">IF(OR(AND(M880=1,L880=0),AND(L880=1,K880=0),AND(K880=1,J880=0)),"Yes","No")</f>
        <v>No</v>
      </c>
      <c r="P880" s="0" t="n">
        <v>0</v>
      </c>
      <c r="Q880" s="0" t="str">
        <f aca="false">IF(OR(AND(M880=0,P880&gt;0),AND(M880=1,P880&lt;=0)),"Yes","No")</f>
        <v>No</v>
      </c>
      <c r="R880" s="0" t="str">
        <f aca="false">IF(AND(M880=1,P880&gt;calc_helpers!$B$5),"Yes","No")</f>
        <v>No</v>
      </c>
      <c r="S880" s="0" t="n">
        <v>0</v>
      </c>
      <c r="T880" s="0" t="str">
        <f aca="false">IF(S880&gt;0,"Yes","No")</f>
        <v>No</v>
      </c>
      <c r="U880" s="0" t="n">
        <v>0</v>
      </c>
      <c r="W880" s="0" t="str">
        <f aca="false">IF(OR(AND(M880=1,ISBLANK(V880)),AND(M880=0,NOT(ISBLANK(V880)))),"Yes","No")</f>
        <v>No</v>
      </c>
      <c r="X880" s="0" t="n">
        <v>86.9</v>
      </c>
      <c r="Y880" s="3" t="s">
        <v>30</v>
      </c>
      <c r="Z880" s="0" t="str">
        <f aca="false">IF(M880=1,P880,"")</f>
        <v/>
      </c>
    </row>
    <row r="881" customFormat="false" ht="15" hidden="false" customHeight="false" outlineLevel="0" collapsed="false">
      <c r="A881" s="0" t="s">
        <v>925</v>
      </c>
      <c r="B881" s="2" t="n">
        <v>45801</v>
      </c>
      <c r="C881" s="3" t="s">
        <v>736</v>
      </c>
      <c r="D881" s="3" t="s">
        <v>39</v>
      </c>
      <c r="E881" s="3" t="s">
        <v>35</v>
      </c>
      <c r="F881" s="3" t="s">
        <v>30</v>
      </c>
      <c r="G881" s="3" t="s">
        <v>52</v>
      </c>
      <c r="H881" s="3" t="s">
        <v>30</v>
      </c>
      <c r="I881" s="3" t="s">
        <v>32</v>
      </c>
      <c r="J881" s="0" t="n">
        <v>0</v>
      </c>
      <c r="K881" s="0" t="n">
        <v>0</v>
      </c>
      <c r="L881" s="0" t="n">
        <v>0</v>
      </c>
      <c r="M881" s="0" t="n">
        <v>0</v>
      </c>
      <c r="N881" s="0" t="str">
        <f aca="false">IF(OR(NOT(OR(J881=0,J881=1)),NOT(OR(K881=0,K881=1)),NOT(OR(L881=0,L881=1)),NOT(OR(M881=0,M881=1)),NOT(OR(U881=0,U881=1))),"Yes","No")</f>
        <v>No</v>
      </c>
      <c r="O881" s="0" t="str">
        <f aca="false">IF(OR(AND(M881=1,L881=0),AND(L881=1,K881=0),AND(K881=1,J881=0)),"Yes","No")</f>
        <v>No</v>
      </c>
      <c r="P881" s="0" t="n">
        <v>0</v>
      </c>
      <c r="Q881" s="0" t="str">
        <f aca="false">IF(OR(AND(M881=0,P881&gt;0),AND(M881=1,P881&lt;=0)),"Yes","No")</f>
        <v>No</v>
      </c>
      <c r="R881" s="0" t="str">
        <f aca="false">IF(AND(M881=1,P881&gt;calc_helpers!$B$5),"Yes","No")</f>
        <v>No</v>
      </c>
      <c r="S881" s="0" t="n">
        <v>0</v>
      </c>
      <c r="T881" s="0" t="str">
        <f aca="false">IF(S881&gt;0,"Yes","No")</f>
        <v>No</v>
      </c>
      <c r="U881" s="0" t="n">
        <v>0</v>
      </c>
      <c r="W881" s="0" t="str">
        <f aca="false">IF(OR(AND(M881=1,ISBLANK(V881)),AND(M881=0,NOT(ISBLANK(V881)))),"Yes","No")</f>
        <v>No</v>
      </c>
      <c r="X881" s="0" t="n">
        <v>66.9</v>
      </c>
      <c r="Y881" s="3" t="s">
        <v>30</v>
      </c>
      <c r="Z881" s="0" t="str">
        <f aca="false">IF(M881=1,P881,"")</f>
        <v/>
      </c>
    </row>
    <row r="882" customFormat="false" ht="15" hidden="false" customHeight="false" outlineLevel="0" collapsed="false">
      <c r="A882" s="0" t="s">
        <v>926</v>
      </c>
      <c r="B882" s="2" t="n">
        <v>45774</v>
      </c>
      <c r="C882" s="3" t="s">
        <v>736</v>
      </c>
      <c r="D882" s="3" t="s">
        <v>43</v>
      </c>
      <c r="E882" s="3" t="s">
        <v>29</v>
      </c>
      <c r="F882" s="3" t="s">
        <v>30</v>
      </c>
      <c r="G882" s="3" t="s">
        <v>52</v>
      </c>
      <c r="H882" s="3" t="s">
        <v>30</v>
      </c>
      <c r="I882" s="3" t="s">
        <v>32</v>
      </c>
      <c r="J882" s="0" t="n">
        <v>1</v>
      </c>
      <c r="K882" s="0" t="n">
        <v>1</v>
      </c>
      <c r="L882" s="0" t="n">
        <v>1</v>
      </c>
      <c r="M882" s="0" t="n">
        <v>0</v>
      </c>
      <c r="N882" s="0" t="str">
        <f aca="false">IF(OR(NOT(OR(J882=0,J882=1)),NOT(OR(K882=0,K882=1)),NOT(OR(L882=0,L882=1)),NOT(OR(M882=0,M882=1)),NOT(OR(U882=0,U882=1))),"Yes","No")</f>
        <v>No</v>
      </c>
      <c r="O882" s="0" t="str">
        <f aca="false">IF(OR(AND(M882=1,L882=0),AND(L882=1,K882=0),AND(K882=1,J882=0)),"Yes","No")</f>
        <v>No</v>
      </c>
      <c r="P882" s="0" t="n">
        <v>0</v>
      </c>
      <c r="Q882" s="0" t="str">
        <f aca="false">IF(OR(AND(M882=0,P882&gt;0),AND(M882=1,P882&lt;=0)),"Yes","No")</f>
        <v>No</v>
      </c>
      <c r="R882" s="0" t="str">
        <f aca="false">IF(AND(M882=1,P882&gt;calc_helpers!$B$5),"Yes","No")</f>
        <v>No</v>
      </c>
      <c r="S882" s="0" t="n">
        <v>0</v>
      </c>
      <c r="T882" s="0" t="str">
        <f aca="false">IF(S882&gt;0,"Yes","No")</f>
        <v>No</v>
      </c>
      <c r="U882" s="0" t="n">
        <v>0</v>
      </c>
      <c r="W882" s="0" t="str">
        <f aca="false">IF(OR(AND(M882=1,ISBLANK(V882)),AND(M882=0,NOT(ISBLANK(V882)))),"Yes","No")</f>
        <v>No</v>
      </c>
      <c r="X882" s="0" t="n">
        <v>58.3</v>
      </c>
      <c r="Y882" s="3" t="s">
        <v>30</v>
      </c>
      <c r="Z882" s="0" t="str">
        <f aca="false">IF(M882=1,P882,"")</f>
        <v/>
      </c>
    </row>
    <row r="883" customFormat="false" ht="15" hidden="false" customHeight="false" outlineLevel="0" collapsed="false">
      <c r="A883" s="0" t="s">
        <v>927</v>
      </c>
      <c r="B883" s="2" t="n">
        <v>45735</v>
      </c>
      <c r="C883" s="3" t="s">
        <v>736</v>
      </c>
      <c r="D883" s="3" t="s">
        <v>39</v>
      </c>
      <c r="E883" s="3" t="s">
        <v>35</v>
      </c>
      <c r="F883" s="3" t="s">
        <v>30</v>
      </c>
      <c r="G883" s="3" t="s">
        <v>40</v>
      </c>
      <c r="H883" s="3" t="s">
        <v>30</v>
      </c>
      <c r="I883" s="3" t="s">
        <v>37</v>
      </c>
      <c r="J883" s="0" t="n">
        <v>1</v>
      </c>
      <c r="K883" s="0" t="n">
        <v>0</v>
      </c>
      <c r="L883" s="0" t="n">
        <v>0</v>
      </c>
      <c r="M883" s="0" t="n">
        <v>0</v>
      </c>
      <c r="N883" s="0" t="str">
        <f aca="false">IF(OR(NOT(OR(J883=0,J883=1)),NOT(OR(K883=0,K883=1)),NOT(OR(L883=0,L883=1)),NOT(OR(M883=0,M883=1)),NOT(OR(U883=0,U883=1))),"Yes","No")</f>
        <v>No</v>
      </c>
      <c r="O883" s="0" t="str">
        <f aca="false">IF(OR(AND(M883=1,L883=0),AND(L883=1,K883=0),AND(K883=1,J883=0)),"Yes","No")</f>
        <v>No</v>
      </c>
      <c r="P883" s="0" t="n">
        <v>0</v>
      </c>
      <c r="Q883" s="0" t="str">
        <f aca="false">IF(OR(AND(M883=0,P883&gt;0),AND(M883=1,P883&lt;=0)),"Yes","No")</f>
        <v>No</v>
      </c>
      <c r="R883" s="0" t="str">
        <f aca="false">IF(AND(M883=1,P883&gt;calc_helpers!$B$5),"Yes","No")</f>
        <v>No</v>
      </c>
      <c r="S883" s="0" t="n">
        <v>0</v>
      </c>
      <c r="T883" s="0" t="str">
        <f aca="false">IF(S883&gt;0,"Yes","No")</f>
        <v>No</v>
      </c>
      <c r="U883" s="0" t="n">
        <v>0</v>
      </c>
      <c r="W883" s="0" t="str">
        <f aca="false">IF(OR(AND(M883=1,ISBLANK(V883)),AND(M883=0,NOT(ISBLANK(V883)))),"Yes","No")</f>
        <v>No</v>
      </c>
      <c r="X883" s="0" t="n">
        <v>45</v>
      </c>
      <c r="Y883" s="3" t="s">
        <v>30</v>
      </c>
      <c r="Z883" s="0" t="str">
        <f aca="false">IF(M883=1,P883,"")</f>
        <v/>
      </c>
    </row>
    <row r="884" customFormat="false" ht="15" hidden="false" customHeight="false" outlineLevel="0" collapsed="false">
      <c r="A884" s="0" t="s">
        <v>928</v>
      </c>
      <c r="B884" s="2" t="n">
        <v>45797</v>
      </c>
      <c r="C884" s="3" t="s">
        <v>736</v>
      </c>
      <c r="D884" s="3" t="s">
        <v>43</v>
      </c>
      <c r="E884" s="3" t="s">
        <v>35</v>
      </c>
      <c r="F884" s="3" t="s">
        <v>30</v>
      </c>
      <c r="G884" s="3" t="s">
        <v>36</v>
      </c>
      <c r="H884" s="3" t="s">
        <v>30</v>
      </c>
      <c r="I884" s="3" t="s">
        <v>41</v>
      </c>
      <c r="J884" s="0" t="n">
        <v>0</v>
      </c>
      <c r="K884" s="0" t="n">
        <v>0</v>
      </c>
      <c r="L884" s="0" t="n">
        <v>0</v>
      </c>
      <c r="M884" s="0" t="n">
        <v>0</v>
      </c>
      <c r="N884" s="0" t="str">
        <f aca="false">IF(OR(NOT(OR(J884=0,J884=1)),NOT(OR(K884=0,K884=1)),NOT(OR(L884=0,L884=1)),NOT(OR(M884=0,M884=1)),NOT(OR(U884=0,U884=1))),"Yes","No")</f>
        <v>No</v>
      </c>
      <c r="O884" s="0" t="str">
        <f aca="false">IF(OR(AND(M884=1,L884=0),AND(L884=1,K884=0),AND(K884=1,J884=0)),"Yes","No")</f>
        <v>No</v>
      </c>
      <c r="P884" s="0" t="n">
        <v>0</v>
      </c>
      <c r="Q884" s="0" t="str">
        <f aca="false">IF(OR(AND(M884=0,P884&gt;0),AND(M884=1,P884&lt;=0)),"Yes","No")</f>
        <v>No</v>
      </c>
      <c r="R884" s="0" t="str">
        <f aca="false">IF(AND(M884=1,P884&gt;calc_helpers!$B$5),"Yes","No")</f>
        <v>No</v>
      </c>
      <c r="S884" s="0" t="n">
        <v>0</v>
      </c>
      <c r="T884" s="0" t="str">
        <f aca="false">IF(S884&gt;0,"Yes","No")</f>
        <v>No</v>
      </c>
      <c r="U884" s="0" t="n">
        <v>0</v>
      </c>
      <c r="W884" s="0" t="str">
        <f aca="false">IF(OR(AND(M884=1,ISBLANK(V884)),AND(M884=0,NOT(ISBLANK(V884)))),"Yes","No")</f>
        <v>No</v>
      </c>
      <c r="X884" s="0" t="n">
        <v>60.8</v>
      </c>
      <c r="Y884" s="3" t="s">
        <v>30</v>
      </c>
      <c r="Z884" s="0" t="str">
        <f aca="false">IF(M884=1,P884,"")</f>
        <v/>
      </c>
    </row>
    <row r="885" customFormat="false" ht="15" hidden="false" customHeight="false" outlineLevel="0" collapsed="false">
      <c r="A885" s="0" t="s">
        <v>929</v>
      </c>
      <c r="B885" s="2" t="n">
        <v>45787</v>
      </c>
      <c r="C885" s="3" t="s">
        <v>736</v>
      </c>
      <c r="D885" s="3" t="s">
        <v>28</v>
      </c>
      <c r="E885" s="3" t="s">
        <v>35</v>
      </c>
      <c r="F885" s="3" t="s">
        <v>30</v>
      </c>
      <c r="G885" s="3" t="s">
        <v>31</v>
      </c>
      <c r="H885" s="3" t="s">
        <v>30</v>
      </c>
      <c r="I885" s="3" t="s">
        <v>41</v>
      </c>
      <c r="J885" s="0" t="n">
        <v>1</v>
      </c>
      <c r="K885" s="0" t="n">
        <v>0</v>
      </c>
      <c r="L885" s="0" t="n">
        <v>0</v>
      </c>
      <c r="M885" s="0" t="n">
        <v>0</v>
      </c>
      <c r="N885" s="0" t="str">
        <f aca="false">IF(OR(NOT(OR(J885=0,J885=1)),NOT(OR(K885=0,K885=1)),NOT(OR(L885=0,L885=1)),NOT(OR(M885=0,M885=1)),NOT(OR(U885=0,U885=1))),"Yes","No")</f>
        <v>No</v>
      </c>
      <c r="O885" s="0" t="str">
        <f aca="false">IF(OR(AND(M885=1,L885=0),AND(L885=1,K885=0),AND(K885=1,J885=0)),"Yes","No")</f>
        <v>No</v>
      </c>
      <c r="P885" s="0" t="n">
        <v>0</v>
      </c>
      <c r="Q885" s="0" t="str">
        <f aca="false">IF(OR(AND(M885=0,P885&gt;0),AND(M885=1,P885&lt;=0)),"Yes","No")</f>
        <v>No</v>
      </c>
      <c r="R885" s="0" t="str">
        <f aca="false">IF(AND(M885=1,P885&gt;calc_helpers!$B$5),"Yes","No")</f>
        <v>No</v>
      </c>
      <c r="S885" s="0" t="n">
        <v>4</v>
      </c>
      <c r="T885" s="0" t="str">
        <f aca="false">IF(S885&gt;0,"Yes","No")</f>
        <v>Yes</v>
      </c>
      <c r="U885" s="0" t="n">
        <v>0</v>
      </c>
      <c r="W885" s="0" t="str">
        <f aca="false">IF(OR(AND(M885=1,ISBLANK(V885)),AND(M885=0,NOT(ISBLANK(V885)))),"Yes","No")</f>
        <v>No</v>
      </c>
      <c r="X885" s="0" t="n">
        <v>53.7</v>
      </c>
      <c r="Y885" s="3" t="s">
        <v>30</v>
      </c>
      <c r="Z885" s="0" t="str">
        <f aca="false">IF(M885=1,P885,"")</f>
        <v/>
      </c>
    </row>
    <row r="886" customFormat="false" ht="15" hidden="false" customHeight="false" outlineLevel="0" collapsed="false">
      <c r="A886" s="0" t="s">
        <v>930</v>
      </c>
      <c r="B886" s="2" t="n">
        <v>45745</v>
      </c>
      <c r="C886" s="3" t="s">
        <v>736</v>
      </c>
      <c r="D886" s="3" t="s">
        <v>39</v>
      </c>
      <c r="E886" s="3" t="s">
        <v>35</v>
      </c>
      <c r="F886" s="3" t="s">
        <v>30</v>
      </c>
      <c r="G886" s="3" t="s">
        <v>52</v>
      </c>
      <c r="H886" s="3" t="s">
        <v>30</v>
      </c>
      <c r="I886" s="3" t="s">
        <v>37</v>
      </c>
      <c r="J886" s="0" t="n">
        <v>1</v>
      </c>
      <c r="K886" s="0" t="n">
        <v>1</v>
      </c>
      <c r="L886" s="0" t="n">
        <v>1</v>
      </c>
      <c r="M886" s="0" t="n">
        <v>0</v>
      </c>
      <c r="N886" s="0" t="str">
        <f aca="false">IF(OR(NOT(OR(J886=0,J886=1)),NOT(OR(K886=0,K886=1)),NOT(OR(L886=0,L886=1)),NOT(OR(M886=0,M886=1)),NOT(OR(U886=0,U886=1))),"Yes","No")</f>
        <v>No</v>
      </c>
      <c r="O886" s="0" t="str">
        <f aca="false">IF(OR(AND(M886=1,L886=0),AND(L886=1,K886=0),AND(K886=1,J886=0)),"Yes","No")</f>
        <v>No</v>
      </c>
      <c r="P886" s="0" t="n">
        <v>0</v>
      </c>
      <c r="Q886" s="0" t="str">
        <f aca="false">IF(OR(AND(M886=0,P886&gt;0),AND(M886=1,P886&lt;=0)),"Yes","No")</f>
        <v>No</v>
      </c>
      <c r="R886" s="0" t="str">
        <f aca="false">IF(AND(M886=1,P886&gt;calc_helpers!$B$5),"Yes","No")</f>
        <v>No</v>
      </c>
      <c r="S886" s="0" t="n">
        <v>0</v>
      </c>
      <c r="T886" s="0" t="str">
        <f aca="false">IF(S886&gt;0,"Yes","No")</f>
        <v>No</v>
      </c>
      <c r="U886" s="0" t="n">
        <v>0</v>
      </c>
      <c r="W886" s="0" t="str">
        <f aca="false">IF(OR(AND(M886=1,ISBLANK(V886)),AND(M886=0,NOT(ISBLANK(V886)))),"Yes","No")</f>
        <v>No</v>
      </c>
      <c r="X886" s="0" t="n">
        <v>48.8</v>
      </c>
      <c r="Y886" s="3" t="s">
        <v>30</v>
      </c>
      <c r="Z886" s="0" t="str">
        <f aca="false">IF(M886=1,P886,"")</f>
        <v/>
      </c>
    </row>
    <row r="887" customFormat="false" ht="15" hidden="false" customHeight="false" outlineLevel="0" collapsed="false">
      <c r="A887" s="0" t="s">
        <v>931</v>
      </c>
      <c r="B887" s="2" t="n">
        <v>45750</v>
      </c>
      <c r="C887" s="3" t="s">
        <v>736</v>
      </c>
      <c r="D887" s="3" t="s">
        <v>34</v>
      </c>
      <c r="E887" s="3" t="s">
        <v>29</v>
      </c>
      <c r="F887" s="3" t="s">
        <v>30</v>
      </c>
      <c r="G887" s="3" t="s">
        <v>50</v>
      </c>
      <c r="H887" s="3" t="s">
        <v>30</v>
      </c>
      <c r="I887" s="3" t="s">
        <v>32</v>
      </c>
      <c r="J887" s="0" t="n">
        <v>0</v>
      </c>
      <c r="K887" s="0" t="n">
        <v>0</v>
      </c>
      <c r="L887" s="0" t="n">
        <v>0</v>
      </c>
      <c r="M887" s="0" t="n">
        <v>0</v>
      </c>
      <c r="N887" s="0" t="str">
        <f aca="false">IF(OR(NOT(OR(J887=0,J887=1)),NOT(OR(K887=0,K887=1)),NOT(OR(L887=0,L887=1)),NOT(OR(M887=0,M887=1)),NOT(OR(U887=0,U887=1))),"Yes","No")</f>
        <v>No</v>
      </c>
      <c r="O887" s="0" t="str">
        <f aca="false">IF(OR(AND(M887=1,L887=0),AND(L887=1,K887=0),AND(K887=1,J887=0)),"Yes","No")</f>
        <v>No</v>
      </c>
      <c r="P887" s="0" t="n">
        <v>0</v>
      </c>
      <c r="Q887" s="0" t="str">
        <f aca="false">IF(OR(AND(M887=0,P887&gt;0),AND(M887=1,P887&lt;=0)),"Yes","No")</f>
        <v>No</v>
      </c>
      <c r="R887" s="0" t="str">
        <f aca="false">IF(AND(M887=1,P887&gt;calc_helpers!$B$5),"Yes","No")</f>
        <v>No</v>
      </c>
      <c r="S887" s="0" t="n">
        <v>0</v>
      </c>
      <c r="T887" s="0" t="str">
        <f aca="false">IF(S887&gt;0,"Yes","No")</f>
        <v>No</v>
      </c>
      <c r="U887" s="0" t="n">
        <v>0</v>
      </c>
      <c r="W887" s="0" t="str">
        <f aca="false">IF(OR(AND(M887=1,ISBLANK(V887)),AND(M887=0,NOT(ISBLANK(V887)))),"Yes","No")</f>
        <v>No</v>
      </c>
      <c r="X887" s="0" t="n">
        <v>52.9</v>
      </c>
      <c r="Y887" s="3" t="s">
        <v>30</v>
      </c>
      <c r="Z887" s="0" t="str">
        <f aca="false">IF(M887=1,P887,"")</f>
        <v/>
      </c>
    </row>
    <row r="888" customFormat="false" ht="15" hidden="false" customHeight="false" outlineLevel="0" collapsed="false">
      <c r="A888" s="0" t="s">
        <v>932</v>
      </c>
      <c r="B888" s="2" t="n">
        <v>45807</v>
      </c>
      <c r="C888" s="3" t="s">
        <v>736</v>
      </c>
      <c r="D888" s="3" t="s">
        <v>43</v>
      </c>
      <c r="E888" s="3" t="s">
        <v>35</v>
      </c>
      <c r="F888" s="3" t="s">
        <v>30</v>
      </c>
      <c r="G888" s="3" t="s">
        <v>31</v>
      </c>
      <c r="H888" s="3" t="s">
        <v>30</v>
      </c>
      <c r="I888" s="3" t="s">
        <v>37</v>
      </c>
      <c r="J888" s="0" t="n">
        <v>1</v>
      </c>
      <c r="K888" s="0" t="n">
        <v>0</v>
      </c>
      <c r="L888" s="0" t="n">
        <v>0</v>
      </c>
      <c r="M888" s="0" t="n">
        <v>0</v>
      </c>
      <c r="N888" s="0" t="str">
        <f aca="false">IF(OR(NOT(OR(J888=0,J888=1)),NOT(OR(K888=0,K888=1)),NOT(OR(L888=0,L888=1)),NOT(OR(M888=0,M888=1)),NOT(OR(U888=0,U888=1))),"Yes","No")</f>
        <v>No</v>
      </c>
      <c r="O888" s="0" t="str">
        <f aca="false">IF(OR(AND(M888=1,L888=0),AND(L888=1,K888=0),AND(K888=1,J888=0)),"Yes","No")</f>
        <v>No</v>
      </c>
      <c r="P888" s="0" t="n">
        <v>0</v>
      </c>
      <c r="Q888" s="0" t="str">
        <f aca="false">IF(OR(AND(M888=0,P888&gt;0),AND(M888=1,P888&lt;=0)),"Yes","No")</f>
        <v>No</v>
      </c>
      <c r="R888" s="0" t="str">
        <f aca="false">IF(AND(M888=1,P888&gt;calc_helpers!$B$5),"Yes","No")</f>
        <v>No</v>
      </c>
      <c r="S888" s="0" t="n">
        <v>0</v>
      </c>
      <c r="T888" s="0" t="str">
        <f aca="false">IF(S888&gt;0,"Yes","No")</f>
        <v>No</v>
      </c>
      <c r="U888" s="0" t="n">
        <v>0</v>
      </c>
      <c r="W888" s="0" t="str">
        <f aca="false">IF(OR(AND(M888=1,ISBLANK(V888)),AND(M888=0,NOT(ISBLANK(V888)))),"Yes","No")</f>
        <v>No</v>
      </c>
      <c r="X888" s="0" t="n">
        <v>42.4</v>
      </c>
      <c r="Y888" s="3" t="s">
        <v>30</v>
      </c>
      <c r="Z888" s="0" t="str">
        <f aca="false">IF(M888=1,P888,"")</f>
        <v/>
      </c>
    </row>
    <row r="889" customFormat="false" ht="15" hidden="false" customHeight="false" outlineLevel="0" collapsed="false">
      <c r="A889" s="0" t="s">
        <v>933</v>
      </c>
      <c r="B889" s="2" t="n">
        <v>45753</v>
      </c>
      <c r="C889" s="3" t="s">
        <v>736</v>
      </c>
      <c r="D889" s="3" t="s">
        <v>39</v>
      </c>
      <c r="E889" s="3" t="s">
        <v>29</v>
      </c>
      <c r="F889" s="3" t="s">
        <v>30</v>
      </c>
      <c r="G889" s="3" t="s">
        <v>31</v>
      </c>
      <c r="H889" s="3" t="s">
        <v>30</v>
      </c>
      <c r="I889" s="3" t="s">
        <v>37</v>
      </c>
      <c r="J889" s="0" t="n">
        <v>1</v>
      </c>
      <c r="K889" s="0" t="n">
        <v>0</v>
      </c>
      <c r="L889" s="0" t="n">
        <v>0</v>
      </c>
      <c r="M889" s="0" t="n">
        <v>0</v>
      </c>
      <c r="N889" s="0" t="str">
        <f aca="false">IF(OR(NOT(OR(J889=0,J889=1)),NOT(OR(K889=0,K889=1)),NOT(OR(L889=0,L889=1)),NOT(OR(M889=0,M889=1)),NOT(OR(U889=0,U889=1))),"Yes","No")</f>
        <v>No</v>
      </c>
      <c r="O889" s="0" t="str">
        <f aca="false">IF(OR(AND(M889=1,L889=0),AND(L889=1,K889=0),AND(K889=1,J889=0)),"Yes","No")</f>
        <v>No</v>
      </c>
      <c r="P889" s="0" t="n">
        <v>0</v>
      </c>
      <c r="Q889" s="0" t="str">
        <f aca="false">IF(OR(AND(M889=0,P889&gt;0),AND(M889=1,P889&lt;=0)),"Yes","No")</f>
        <v>No</v>
      </c>
      <c r="R889" s="0" t="str">
        <f aca="false">IF(AND(M889=1,P889&gt;calc_helpers!$B$5),"Yes","No")</f>
        <v>No</v>
      </c>
      <c r="S889" s="0" t="n">
        <v>0</v>
      </c>
      <c r="T889" s="0" t="str">
        <f aca="false">IF(S889&gt;0,"Yes","No")</f>
        <v>No</v>
      </c>
      <c r="U889" s="0" t="n">
        <v>0</v>
      </c>
      <c r="W889" s="0" t="str">
        <f aca="false">IF(OR(AND(M889=1,ISBLANK(V889)),AND(M889=0,NOT(ISBLANK(V889)))),"Yes","No")</f>
        <v>No</v>
      </c>
      <c r="X889" s="0" t="n">
        <v>58.7</v>
      </c>
      <c r="Y889" s="3" t="s">
        <v>30</v>
      </c>
      <c r="Z889" s="0" t="str">
        <f aca="false">IF(M889=1,P889,"")</f>
        <v/>
      </c>
    </row>
    <row r="890" customFormat="false" ht="15" hidden="false" customHeight="false" outlineLevel="0" collapsed="false">
      <c r="A890" s="0" t="s">
        <v>934</v>
      </c>
      <c r="B890" s="2" t="n">
        <v>45730</v>
      </c>
      <c r="C890" s="3" t="s">
        <v>736</v>
      </c>
      <c r="D890" s="3" t="s">
        <v>28</v>
      </c>
      <c r="E890" s="3" t="s">
        <v>35</v>
      </c>
      <c r="F890" s="3" t="s">
        <v>30</v>
      </c>
      <c r="G890" s="3" t="s">
        <v>50</v>
      </c>
      <c r="H890" s="3" t="s">
        <v>30</v>
      </c>
      <c r="I890" s="3" t="s">
        <v>37</v>
      </c>
      <c r="J890" s="0" t="n">
        <v>1</v>
      </c>
      <c r="K890" s="0" t="n">
        <v>1</v>
      </c>
      <c r="L890" s="0" t="n">
        <v>1</v>
      </c>
      <c r="M890" s="0" t="n">
        <v>1</v>
      </c>
      <c r="N890" s="0" t="str">
        <f aca="false">IF(OR(NOT(OR(J890=0,J890=1)),NOT(OR(K890=0,K890=1)),NOT(OR(L890=0,L890=1)),NOT(OR(M890=0,M890=1)),NOT(OR(U890=0,U890=1))),"Yes","No")</f>
        <v>No</v>
      </c>
      <c r="O890" s="0" t="str">
        <f aca="false">IF(OR(AND(M890=1,L890=0),AND(L890=1,K890=0),AND(K890=1,J890=0)),"Yes","No")</f>
        <v>No</v>
      </c>
      <c r="P890" s="0" t="n">
        <v>2064.55</v>
      </c>
      <c r="Q890" s="0" t="str">
        <f aca="false">IF(OR(AND(M890=0,P890&gt;0),AND(M890=1,P890&lt;=0)),"Yes","No")</f>
        <v>No</v>
      </c>
      <c r="R890" s="0" t="str">
        <f aca="false">IF(AND(M890=1,P890&gt;calc_helpers!$B$5),"Yes","No")</f>
        <v>No</v>
      </c>
      <c r="S890" s="0" t="n">
        <v>0</v>
      </c>
      <c r="T890" s="0" t="str">
        <f aca="false">IF(S890&gt;0,"Yes","No")</f>
        <v>No</v>
      </c>
      <c r="U890" s="0" t="n">
        <v>0</v>
      </c>
      <c r="V890" s="0" t="n">
        <v>1</v>
      </c>
      <c r="W890" s="0" t="str">
        <f aca="false">IF(OR(AND(M890=1,ISBLANK(V890)),AND(M890=0,NOT(ISBLANK(V890)))),"Yes","No")</f>
        <v>No</v>
      </c>
      <c r="X890" s="0" t="n">
        <v>67.8</v>
      </c>
      <c r="Y890" s="3" t="s">
        <v>30</v>
      </c>
      <c r="Z890" s="3" t="n">
        <f aca="false">IF(M890=1,P890,"")</f>
        <v>2064.55</v>
      </c>
    </row>
    <row r="891" customFormat="false" ht="15" hidden="false" customHeight="false" outlineLevel="0" collapsed="false">
      <c r="A891" s="0" t="s">
        <v>935</v>
      </c>
      <c r="B891" s="2" t="n">
        <v>45712</v>
      </c>
      <c r="C891" s="3" t="s">
        <v>736</v>
      </c>
      <c r="D891" s="3" t="s">
        <v>43</v>
      </c>
      <c r="E891" s="3" t="s">
        <v>29</v>
      </c>
      <c r="F891" s="3" t="s">
        <v>30</v>
      </c>
      <c r="G891" s="3" t="s">
        <v>40</v>
      </c>
      <c r="H891" s="3" t="s">
        <v>30</v>
      </c>
      <c r="I891" s="3" t="s">
        <v>32</v>
      </c>
      <c r="J891" s="0" t="n">
        <v>1</v>
      </c>
      <c r="K891" s="0" t="n">
        <v>0</v>
      </c>
      <c r="L891" s="0" t="n">
        <v>0</v>
      </c>
      <c r="M891" s="0" t="n">
        <v>0</v>
      </c>
      <c r="N891" s="0" t="str">
        <f aca="false">IF(OR(NOT(OR(J891=0,J891=1)),NOT(OR(K891=0,K891=1)),NOT(OR(L891=0,L891=1)),NOT(OR(M891=0,M891=1)),NOT(OR(U891=0,U891=1))),"Yes","No")</f>
        <v>No</v>
      </c>
      <c r="O891" s="0" t="str">
        <f aca="false">IF(OR(AND(M891=1,L891=0),AND(L891=1,K891=0),AND(K891=1,J891=0)),"Yes","No")</f>
        <v>No</v>
      </c>
      <c r="P891" s="0" t="n">
        <v>0</v>
      </c>
      <c r="Q891" s="0" t="str">
        <f aca="false">IF(OR(AND(M891=0,P891&gt;0),AND(M891=1,P891&lt;=0)),"Yes","No")</f>
        <v>No</v>
      </c>
      <c r="R891" s="0" t="str">
        <f aca="false">IF(AND(M891=1,P891&gt;calc_helpers!$B$5),"Yes","No")</f>
        <v>No</v>
      </c>
      <c r="S891" s="0" t="n">
        <v>0</v>
      </c>
      <c r="T891" s="0" t="str">
        <f aca="false">IF(S891&gt;0,"Yes","No")</f>
        <v>No</v>
      </c>
      <c r="U891" s="0" t="n">
        <v>0</v>
      </c>
      <c r="W891" s="0" t="str">
        <f aca="false">IF(OR(AND(M891=1,ISBLANK(V891)),AND(M891=0,NOT(ISBLANK(V891)))),"Yes","No")</f>
        <v>No</v>
      </c>
      <c r="X891" s="0" t="n">
        <v>62.6</v>
      </c>
      <c r="Y891" s="3" t="s">
        <v>30</v>
      </c>
      <c r="Z891" s="0" t="str">
        <f aca="false">IF(M891=1,P891,"")</f>
        <v/>
      </c>
    </row>
    <row r="892" customFormat="false" ht="15" hidden="false" customHeight="false" outlineLevel="0" collapsed="false">
      <c r="A892" s="0" t="s">
        <v>936</v>
      </c>
      <c r="B892" s="2" t="n">
        <v>45720</v>
      </c>
      <c r="C892" s="3" t="s">
        <v>736</v>
      </c>
      <c r="D892" s="3" t="s">
        <v>34</v>
      </c>
      <c r="E892" s="3" t="s">
        <v>35</v>
      </c>
      <c r="F892" s="3" t="s">
        <v>30</v>
      </c>
      <c r="G892" s="3" t="s">
        <v>31</v>
      </c>
      <c r="H892" s="3" t="s">
        <v>30</v>
      </c>
      <c r="I892" s="3" t="s">
        <v>32</v>
      </c>
      <c r="J892" s="0" t="n">
        <v>1</v>
      </c>
      <c r="K892" s="0" t="n">
        <v>0</v>
      </c>
      <c r="L892" s="0" t="n">
        <v>0</v>
      </c>
      <c r="M892" s="0" t="n">
        <v>0</v>
      </c>
      <c r="N892" s="0" t="str">
        <f aca="false">IF(OR(NOT(OR(J892=0,J892=1)),NOT(OR(K892=0,K892=1)),NOT(OR(L892=0,L892=1)),NOT(OR(M892=0,M892=1)),NOT(OR(U892=0,U892=1))),"Yes","No")</f>
        <v>No</v>
      </c>
      <c r="O892" s="0" t="str">
        <f aca="false">IF(OR(AND(M892=1,L892=0),AND(L892=1,K892=0),AND(K892=1,J892=0)),"Yes","No")</f>
        <v>No</v>
      </c>
      <c r="P892" s="0" t="n">
        <v>0</v>
      </c>
      <c r="Q892" s="0" t="str">
        <f aca="false">IF(OR(AND(M892=0,P892&gt;0),AND(M892=1,P892&lt;=0)),"Yes","No")</f>
        <v>No</v>
      </c>
      <c r="R892" s="0" t="str">
        <f aca="false">IF(AND(M892=1,P892&gt;calc_helpers!$B$5),"Yes","No")</f>
        <v>No</v>
      </c>
      <c r="S892" s="0" t="n">
        <v>0</v>
      </c>
      <c r="T892" s="0" t="str">
        <f aca="false">IF(S892&gt;0,"Yes","No")</f>
        <v>No</v>
      </c>
      <c r="U892" s="0" t="n">
        <v>0</v>
      </c>
      <c r="W892" s="0" t="str">
        <f aca="false">IF(OR(AND(M892=1,ISBLANK(V892)),AND(M892=0,NOT(ISBLANK(V892)))),"Yes","No")</f>
        <v>No</v>
      </c>
      <c r="X892" s="0" t="n">
        <v>82.4</v>
      </c>
      <c r="Y892" s="3" t="s">
        <v>30</v>
      </c>
      <c r="Z892" s="0" t="str">
        <f aca="false">IF(M892=1,P892,"")</f>
        <v/>
      </c>
    </row>
    <row r="893" customFormat="false" ht="15" hidden="false" customHeight="false" outlineLevel="0" collapsed="false">
      <c r="A893" s="0" t="s">
        <v>937</v>
      </c>
      <c r="B893" s="2" t="n">
        <v>45749</v>
      </c>
      <c r="C893" s="3" t="s">
        <v>736</v>
      </c>
      <c r="D893" s="3" t="s">
        <v>28</v>
      </c>
      <c r="E893" s="3" t="s">
        <v>35</v>
      </c>
      <c r="F893" s="3" t="s">
        <v>30</v>
      </c>
      <c r="G893" s="3" t="s">
        <v>36</v>
      </c>
      <c r="H893" s="3" t="s">
        <v>30</v>
      </c>
      <c r="I893" s="3" t="s">
        <v>37</v>
      </c>
      <c r="J893" s="0" t="n">
        <v>1</v>
      </c>
      <c r="K893" s="0" t="n">
        <v>1</v>
      </c>
      <c r="L893" s="0" t="n">
        <v>1</v>
      </c>
      <c r="M893" s="0" t="n">
        <v>0</v>
      </c>
      <c r="N893" s="0" t="str">
        <f aca="false">IF(OR(NOT(OR(J893=0,J893=1)),NOT(OR(K893=0,K893=1)),NOT(OR(L893=0,L893=1)),NOT(OR(M893=0,M893=1)),NOT(OR(U893=0,U893=1))),"Yes","No")</f>
        <v>No</v>
      </c>
      <c r="O893" s="0" t="str">
        <f aca="false">IF(OR(AND(M893=1,L893=0),AND(L893=1,K893=0),AND(K893=1,J893=0)),"Yes","No")</f>
        <v>No</v>
      </c>
      <c r="P893" s="0" t="n">
        <v>0</v>
      </c>
      <c r="Q893" s="0" t="str">
        <f aca="false">IF(OR(AND(M893=0,P893&gt;0),AND(M893=1,P893&lt;=0)),"Yes","No")</f>
        <v>No</v>
      </c>
      <c r="R893" s="0" t="str">
        <f aca="false">IF(AND(M893=1,P893&gt;calc_helpers!$B$5),"Yes","No")</f>
        <v>No</v>
      </c>
      <c r="S893" s="0" t="n">
        <v>0</v>
      </c>
      <c r="T893" s="0" t="str">
        <f aca="false">IF(S893&gt;0,"Yes","No")</f>
        <v>No</v>
      </c>
      <c r="U893" s="0" t="n">
        <v>0</v>
      </c>
      <c r="W893" s="0" t="str">
        <f aca="false">IF(OR(AND(M893=1,ISBLANK(V893)),AND(M893=0,NOT(ISBLANK(V893)))),"Yes","No")</f>
        <v>No</v>
      </c>
      <c r="X893" s="0" t="n">
        <v>50.4</v>
      </c>
      <c r="Y893" s="3" t="s">
        <v>30</v>
      </c>
      <c r="Z893" s="0" t="str">
        <f aca="false">IF(M893=1,P893,"")</f>
        <v/>
      </c>
    </row>
    <row r="894" customFormat="false" ht="15" hidden="false" customHeight="false" outlineLevel="0" collapsed="false">
      <c r="A894" s="0" t="s">
        <v>938</v>
      </c>
      <c r="B894" s="2" t="n">
        <v>45788</v>
      </c>
      <c r="C894" s="3" t="s">
        <v>736</v>
      </c>
      <c r="D894" s="3" t="s">
        <v>28</v>
      </c>
      <c r="E894" s="3" t="s">
        <v>35</v>
      </c>
      <c r="F894" s="3" t="s">
        <v>30</v>
      </c>
      <c r="G894" s="3" t="s">
        <v>31</v>
      </c>
      <c r="H894" s="3" t="s">
        <v>30</v>
      </c>
      <c r="I894" s="3" t="s">
        <v>41</v>
      </c>
      <c r="J894" s="0" t="n">
        <v>0</v>
      </c>
      <c r="K894" s="0" t="n">
        <v>0</v>
      </c>
      <c r="L894" s="0" t="n">
        <v>0</v>
      </c>
      <c r="M894" s="0" t="n">
        <v>0</v>
      </c>
      <c r="N894" s="0" t="str">
        <f aca="false">IF(OR(NOT(OR(J894=0,J894=1)),NOT(OR(K894=0,K894=1)),NOT(OR(L894=0,L894=1)),NOT(OR(M894=0,M894=1)),NOT(OR(U894=0,U894=1))),"Yes","No")</f>
        <v>No</v>
      </c>
      <c r="O894" s="0" t="str">
        <f aca="false">IF(OR(AND(M894=1,L894=0),AND(L894=1,K894=0),AND(K894=1,J894=0)),"Yes","No")</f>
        <v>No</v>
      </c>
      <c r="P894" s="0" t="n">
        <v>0</v>
      </c>
      <c r="Q894" s="0" t="str">
        <f aca="false">IF(OR(AND(M894=0,P894&gt;0),AND(M894=1,P894&lt;=0)),"Yes","No")</f>
        <v>No</v>
      </c>
      <c r="R894" s="0" t="str">
        <f aca="false">IF(AND(M894=1,P894&gt;calc_helpers!$B$5),"Yes","No")</f>
        <v>No</v>
      </c>
      <c r="S894" s="0" t="n">
        <v>0</v>
      </c>
      <c r="T894" s="0" t="str">
        <f aca="false">IF(S894&gt;0,"Yes","No")</f>
        <v>No</v>
      </c>
      <c r="U894" s="0" t="n">
        <v>0</v>
      </c>
      <c r="W894" s="0" t="str">
        <f aca="false">IF(OR(AND(M894=1,ISBLANK(V894)),AND(M894=0,NOT(ISBLANK(V894)))),"Yes","No")</f>
        <v>No</v>
      </c>
      <c r="X894" s="0" t="n">
        <v>68.4</v>
      </c>
      <c r="Y894" s="3" t="s">
        <v>30</v>
      </c>
      <c r="Z894" s="0" t="str">
        <f aca="false">IF(M894=1,P894,"")</f>
        <v/>
      </c>
    </row>
    <row r="895" customFormat="false" ht="15" hidden="false" customHeight="false" outlineLevel="0" collapsed="false">
      <c r="A895" s="0" t="s">
        <v>939</v>
      </c>
      <c r="B895" s="2" t="n">
        <v>45787</v>
      </c>
      <c r="C895" s="3" t="s">
        <v>736</v>
      </c>
      <c r="D895" s="3" t="s">
        <v>34</v>
      </c>
      <c r="E895" s="3" t="s">
        <v>45</v>
      </c>
      <c r="F895" s="3" t="s">
        <v>30</v>
      </c>
      <c r="G895" s="3" t="s">
        <v>40</v>
      </c>
      <c r="H895" s="3" t="s">
        <v>30</v>
      </c>
      <c r="I895" s="3" t="s">
        <v>32</v>
      </c>
      <c r="J895" s="0" t="n">
        <v>1</v>
      </c>
      <c r="K895" s="0" t="n">
        <v>1</v>
      </c>
      <c r="L895" s="0" t="n">
        <v>1</v>
      </c>
      <c r="M895" s="0" t="n">
        <v>0</v>
      </c>
      <c r="N895" s="0" t="str">
        <f aca="false">IF(OR(NOT(OR(J895=0,J895=1)),NOT(OR(K895=0,K895=1)),NOT(OR(L895=0,L895=1)),NOT(OR(M895=0,M895=1)),NOT(OR(U895=0,U895=1))),"Yes","No")</f>
        <v>No</v>
      </c>
      <c r="O895" s="0" t="str">
        <f aca="false">IF(OR(AND(M895=1,L895=0),AND(L895=1,K895=0),AND(K895=1,J895=0)),"Yes","No")</f>
        <v>No</v>
      </c>
      <c r="P895" s="0" t="n">
        <v>0</v>
      </c>
      <c r="Q895" s="0" t="str">
        <f aca="false">IF(OR(AND(M895=0,P895&gt;0),AND(M895=1,P895&lt;=0)),"Yes","No")</f>
        <v>No</v>
      </c>
      <c r="R895" s="0" t="str">
        <f aca="false">IF(AND(M895=1,P895&gt;calc_helpers!$B$5),"Yes","No")</f>
        <v>No</v>
      </c>
      <c r="S895" s="0" t="n">
        <v>0</v>
      </c>
      <c r="T895" s="0" t="str">
        <f aca="false">IF(S895&gt;0,"Yes","No")</f>
        <v>No</v>
      </c>
      <c r="U895" s="0" t="n">
        <v>0</v>
      </c>
      <c r="W895" s="0" t="str">
        <f aca="false">IF(OR(AND(M895=1,ISBLANK(V895)),AND(M895=0,NOT(ISBLANK(V895)))),"Yes","No")</f>
        <v>No</v>
      </c>
      <c r="X895" s="0" t="n">
        <v>58.8</v>
      </c>
      <c r="Y895" s="3" t="s">
        <v>30</v>
      </c>
      <c r="Z895" s="0" t="str">
        <f aca="false">IF(M895=1,P895,"")</f>
        <v/>
      </c>
    </row>
    <row r="896" customFormat="false" ht="15" hidden="false" customHeight="false" outlineLevel="0" collapsed="false">
      <c r="A896" s="0" t="s">
        <v>940</v>
      </c>
      <c r="B896" s="2" t="n">
        <v>45783</v>
      </c>
      <c r="C896" s="3" t="s">
        <v>736</v>
      </c>
      <c r="D896" s="3" t="s">
        <v>34</v>
      </c>
      <c r="E896" s="3" t="s">
        <v>35</v>
      </c>
      <c r="F896" s="3" t="s">
        <v>30</v>
      </c>
      <c r="G896" s="3" t="s">
        <v>50</v>
      </c>
      <c r="H896" s="3" t="s">
        <v>30</v>
      </c>
      <c r="I896" s="3" t="s">
        <v>37</v>
      </c>
      <c r="J896" s="0" t="n">
        <v>1</v>
      </c>
      <c r="K896" s="0" t="n">
        <v>1</v>
      </c>
      <c r="L896" s="0" t="n">
        <v>0</v>
      </c>
      <c r="M896" s="0" t="n">
        <v>0</v>
      </c>
      <c r="N896" s="0" t="str">
        <f aca="false">IF(OR(NOT(OR(J896=0,J896=1)),NOT(OR(K896=0,K896=1)),NOT(OR(L896=0,L896=1)),NOT(OR(M896=0,M896=1)),NOT(OR(U896=0,U896=1))),"Yes","No")</f>
        <v>No</v>
      </c>
      <c r="O896" s="0" t="str">
        <f aca="false">IF(OR(AND(M896=1,L896=0),AND(L896=1,K896=0),AND(K896=1,J896=0)),"Yes","No")</f>
        <v>No</v>
      </c>
      <c r="P896" s="0" t="n">
        <v>0</v>
      </c>
      <c r="Q896" s="0" t="str">
        <f aca="false">IF(OR(AND(M896=0,P896&gt;0),AND(M896=1,P896&lt;=0)),"Yes","No")</f>
        <v>No</v>
      </c>
      <c r="R896" s="0" t="str">
        <f aca="false">IF(AND(M896=1,P896&gt;calc_helpers!$B$5),"Yes","No")</f>
        <v>No</v>
      </c>
      <c r="S896" s="0" t="n">
        <v>2</v>
      </c>
      <c r="T896" s="0" t="str">
        <f aca="false">IF(S896&gt;0,"Yes","No")</f>
        <v>Yes</v>
      </c>
      <c r="U896" s="0" t="n">
        <v>0</v>
      </c>
      <c r="W896" s="0" t="str">
        <f aca="false">IF(OR(AND(M896=1,ISBLANK(V896)),AND(M896=0,NOT(ISBLANK(V896)))),"Yes","No")</f>
        <v>No</v>
      </c>
      <c r="X896" s="0" t="n">
        <v>28.3</v>
      </c>
      <c r="Y896" s="3" t="s">
        <v>30</v>
      </c>
      <c r="Z896" s="0" t="str">
        <f aca="false">IF(M896=1,P896,"")</f>
        <v/>
      </c>
    </row>
    <row r="897" customFormat="false" ht="15" hidden="false" customHeight="false" outlineLevel="0" collapsed="false">
      <c r="A897" s="0" t="s">
        <v>941</v>
      </c>
      <c r="B897" s="2" t="n">
        <v>45699</v>
      </c>
      <c r="C897" s="3" t="s">
        <v>736</v>
      </c>
      <c r="D897" s="3" t="s">
        <v>34</v>
      </c>
      <c r="E897" s="3" t="s">
        <v>29</v>
      </c>
      <c r="F897" s="3" t="s">
        <v>30</v>
      </c>
      <c r="G897" s="3" t="s">
        <v>40</v>
      </c>
      <c r="H897" s="3" t="s">
        <v>30</v>
      </c>
      <c r="I897" s="3" t="s">
        <v>37</v>
      </c>
      <c r="J897" s="0" t="n">
        <v>1</v>
      </c>
      <c r="K897" s="0" t="n">
        <v>1</v>
      </c>
      <c r="L897" s="0" t="n">
        <v>0</v>
      </c>
      <c r="M897" s="0" t="n">
        <v>0</v>
      </c>
      <c r="N897" s="0" t="str">
        <f aca="false">IF(OR(NOT(OR(J897=0,J897=1)),NOT(OR(K897=0,K897=1)),NOT(OR(L897=0,L897=1)),NOT(OR(M897=0,M897=1)),NOT(OR(U897=0,U897=1))),"Yes","No")</f>
        <v>No</v>
      </c>
      <c r="O897" s="0" t="str">
        <f aca="false">IF(OR(AND(M897=1,L897=0),AND(L897=1,K897=0),AND(K897=1,J897=0)),"Yes","No")</f>
        <v>No</v>
      </c>
      <c r="P897" s="0" t="n">
        <v>0</v>
      </c>
      <c r="Q897" s="0" t="str">
        <f aca="false">IF(OR(AND(M897=0,P897&gt;0),AND(M897=1,P897&lt;=0)),"Yes","No")</f>
        <v>No</v>
      </c>
      <c r="R897" s="0" t="str">
        <f aca="false">IF(AND(M897=1,P897&gt;calc_helpers!$B$5),"Yes","No")</f>
        <v>No</v>
      </c>
      <c r="S897" s="0" t="n">
        <v>0</v>
      </c>
      <c r="T897" s="0" t="str">
        <f aca="false">IF(S897&gt;0,"Yes","No")</f>
        <v>No</v>
      </c>
      <c r="U897" s="0" t="n">
        <v>0</v>
      </c>
      <c r="W897" s="0" t="str">
        <f aca="false">IF(OR(AND(M897=1,ISBLANK(V897)),AND(M897=0,NOT(ISBLANK(V897)))),"Yes","No")</f>
        <v>No</v>
      </c>
      <c r="X897" s="0" t="n">
        <v>44.1</v>
      </c>
      <c r="Y897" s="3" t="s">
        <v>30</v>
      </c>
      <c r="Z897" s="0" t="str">
        <f aca="false">IF(M897=1,P897,"")</f>
        <v/>
      </c>
    </row>
    <row r="898" customFormat="false" ht="15" hidden="false" customHeight="false" outlineLevel="0" collapsed="false">
      <c r="A898" s="0" t="s">
        <v>942</v>
      </c>
      <c r="B898" s="2" t="n">
        <v>45786</v>
      </c>
      <c r="C898" s="3" t="s">
        <v>736</v>
      </c>
      <c r="D898" s="3" t="s">
        <v>43</v>
      </c>
      <c r="E898" s="3" t="s">
        <v>35</v>
      </c>
      <c r="F898" s="3" t="s">
        <v>30</v>
      </c>
      <c r="G898" s="3" t="s">
        <v>40</v>
      </c>
      <c r="H898" s="3" t="s">
        <v>30</v>
      </c>
      <c r="I898" s="3" t="s">
        <v>41</v>
      </c>
      <c r="J898" s="0" t="n">
        <v>1</v>
      </c>
      <c r="K898" s="0" t="n">
        <v>1</v>
      </c>
      <c r="L898" s="0" t="n">
        <v>0</v>
      </c>
      <c r="M898" s="0" t="n">
        <v>0</v>
      </c>
      <c r="N898" s="0" t="str">
        <f aca="false">IF(OR(NOT(OR(J898=0,J898=1)),NOT(OR(K898=0,K898=1)),NOT(OR(L898=0,L898=1)),NOT(OR(M898=0,M898=1)),NOT(OR(U898=0,U898=1))),"Yes","No")</f>
        <v>No</v>
      </c>
      <c r="O898" s="0" t="str">
        <f aca="false">IF(OR(AND(M898=1,L898=0),AND(L898=1,K898=0),AND(K898=1,J898=0)),"Yes","No")</f>
        <v>No</v>
      </c>
      <c r="P898" s="0" t="n">
        <v>0</v>
      </c>
      <c r="Q898" s="0" t="str">
        <f aca="false">IF(OR(AND(M898=0,P898&gt;0),AND(M898=1,P898&lt;=0)),"Yes","No")</f>
        <v>No</v>
      </c>
      <c r="R898" s="0" t="str">
        <f aca="false">IF(AND(M898=1,P898&gt;calc_helpers!$B$5),"Yes","No")</f>
        <v>No</v>
      </c>
      <c r="S898" s="0" t="n">
        <v>0</v>
      </c>
      <c r="T898" s="0" t="str">
        <f aca="false">IF(S898&gt;0,"Yes","No")</f>
        <v>No</v>
      </c>
      <c r="U898" s="0" t="n">
        <v>0</v>
      </c>
      <c r="W898" s="0" t="str">
        <f aca="false">IF(OR(AND(M898=1,ISBLANK(V898)),AND(M898=0,NOT(ISBLANK(V898)))),"Yes","No")</f>
        <v>No</v>
      </c>
      <c r="X898" s="0" t="n">
        <v>66.7</v>
      </c>
      <c r="Y898" s="3" t="s">
        <v>30</v>
      </c>
      <c r="Z898" s="0" t="str">
        <f aca="false">IF(M898=1,P898,"")</f>
        <v/>
      </c>
    </row>
    <row r="899" customFormat="false" ht="15" hidden="false" customHeight="false" outlineLevel="0" collapsed="false">
      <c r="A899" s="0" t="s">
        <v>943</v>
      </c>
      <c r="B899" s="2" t="n">
        <v>45690</v>
      </c>
      <c r="C899" s="3" t="s">
        <v>736</v>
      </c>
      <c r="D899" s="3" t="s">
        <v>43</v>
      </c>
      <c r="E899" s="3" t="s">
        <v>35</v>
      </c>
      <c r="F899" s="3" t="s">
        <v>30</v>
      </c>
      <c r="G899" s="3" t="s">
        <v>167</v>
      </c>
      <c r="H899" s="3" t="s">
        <v>168</v>
      </c>
      <c r="I899" s="3" t="s">
        <v>37</v>
      </c>
      <c r="J899" s="0" t="n">
        <v>1</v>
      </c>
      <c r="K899" s="0" t="n">
        <v>0</v>
      </c>
      <c r="L899" s="0" t="n">
        <v>0</v>
      </c>
      <c r="M899" s="0" t="n">
        <v>0</v>
      </c>
      <c r="N899" s="0" t="str">
        <f aca="false">IF(OR(NOT(OR(J899=0,J899=1)),NOT(OR(K899=0,K899=1)),NOT(OR(L899=0,L899=1)),NOT(OR(M899=0,M899=1)),NOT(OR(U899=0,U899=1))),"Yes","No")</f>
        <v>No</v>
      </c>
      <c r="O899" s="0" t="str">
        <f aca="false">IF(OR(AND(M899=1,L899=0),AND(L899=1,K899=0),AND(K899=1,J899=0)),"Yes","No")</f>
        <v>No</v>
      </c>
      <c r="P899" s="0" t="n">
        <v>0</v>
      </c>
      <c r="Q899" s="0" t="str">
        <f aca="false">IF(OR(AND(M899=0,P899&gt;0),AND(M899=1,P899&lt;=0)),"Yes","No")</f>
        <v>No</v>
      </c>
      <c r="R899" s="0" t="str">
        <f aca="false">IF(AND(M899=1,P899&gt;calc_helpers!$B$5),"Yes","No")</f>
        <v>No</v>
      </c>
      <c r="S899" s="0" t="n">
        <v>0</v>
      </c>
      <c r="T899" s="0" t="str">
        <f aca="false">IF(S899&gt;0,"Yes","No")</f>
        <v>No</v>
      </c>
      <c r="U899" s="0" t="n">
        <v>0</v>
      </c>
      <c r="W899" s="0" t="str">
        <f aca="false">IF(OR(AND(M899=1,ISBLANK(V899)),AND(M899=0,NOT(ISBLANK(V899)))),"Yes","No")</f>
        <v>No</v>
      </c>
      <c r="X899" s="0" t="n">
        <v>100</v>
      </c>
      <c r="Y899" s="3" t="s">
        <v>30</v>
      </c>
      <c r="Z899" s="0" t="str">
        <f aca="false">IF(M899=1,P899,"")</f>
        <v/>
      </c>
    </row>
    <row r="900" customFormat="false" ht="15" hidden="false" customHeight="false" outlineLevel="0" collapsed="false">
      <c r="A900" s="0" t="s">
        <v>944</v>
      </c>
      <c r="B900" s="2" t="n">
        <v>45750</v>
      </c>
      <c r="C900" s="3" t="s">
        <v>736</v>
      </c>
      <c r="D900" s="3" t="s">
        <v>43</v>
      </c>
      <c r="E900" s="3" t="s">
        <v>35</v>
      </c>
      <c r="F900" s="3" t="s">
        <v>30</v>
      </c>
      <c r="G900" s="3" t="s">
        <v>52</v>
      </c>
      <c r="H900" s="3" t="s">
        <v>30</v>
      </c>
      <c r="I900" s="3" t="s">
        <v>37</v>
      </c>
      <c r="J900" s="0" t="n">
        <v>1</v>
      </c>
      <c r="K900" s="0" t="n">
        <v>1</v>
      </c>
      <c r="L900" s="0" t="n">
        <v>0</v>
      </c>
      <c r="M900" s="0" t="n">
        <v>0</v>
      </c>
      <c r="N900" s="0" t="str">
        <f aca="false">IF(OR(NOT(OR(J900=0,J900=1)),NOT(OR(K900=0,K900=1)),NOT(OR(L900=0,L900=1)),NOT(OR(M900=0,M900=1)),NOT(OR(U900=0,U900=1))),"Yes","No")</f>
        <v>No</v>
      </c>
      <c r="O900" s="0" t="str">
        <f aca="false">IF(OR(AND(M900=1,L900=0),AND(L900=1,K900=0),AND(K900=1,J900=0)),"Yes","No")</f>
        <v>No</v>
      </c>
      <c r="P900" s="0" t="n">
        <v>0</v>
      </c>
      <c r="Q900" s="0" t="str">
        <f aca="false">IF(OR(AND(M900=0,P900&gt;0),AND(M900=1,P900&lt;=0)),"Yes","No")</f>
        <v>No</v>
      </c>
      <c r="R900" s="0" t="str">
        <f aca="false">IF(AND(M900=1,P900&gt;calc_helpers!$B$5),"Yes","No")</f>
        <v>No</v>
      </c>
      <c r="S900" s="0" t="n">
        <v>0</v>
      </c>
      <c r="T900" s="0" t="str">
        <f aca="false">IF(S900&gt;0,"Yes","No")</f>
        <v>No</v>
      </c>
      <c r="U900" s="0" t="n">
        <v>0</v>
      </c>
      <c r="W900" s="0" t="str">
        <f aca="false">IF(OR(AND(M900=1,ISBLANK(V900)),AND(M900=0,NOT(ISBLANK(V900)))),"Yes","No")</f>
        <v>No</v>
      </c>
      <c r="X900" s="0" t="n">
        <v>87.5</v>
      </c>
      <c r="Y900" s="3" t="s">
        <v>30</v>
      </c>
      <c r="Z900" s="0" t="str">
        <f aca="false">IF(M900=1,P900,"")</f>
        <v/>
      </c>
    </row>
    <row r="901" customFormat="false" ht="15" hidden="false" customHeight="false" outlineLevel="0" collapsed="false">
      <c r="A901" s="0" t="s">
        <v>945</v>
      </c>
      <c r="B901" s="2" t="n">
        <v>45703</v>
      </c>
      <c r="C901" s="3" t="s">
        <v>736</v>
      </c>
      <c r="D901" s="3" t="s">
        <v>28</v>
      </c>
      <c r="E901" s="3" t="s">
        <v>29</v>
      </c>
      <c r="F901" s="3" t="s">
        <v>30</v>
      </c>
      <c r="G901" s="3" t="s">
        <v>36</v>
      </c>
      <c r="H901" s="3" t="s">
        <v>30</v>
      </c>
      <c r="I901" s="3" t="s">
        <v>32</v>
      </c>
      <c r="J901" s="0" t="n">
        <v>1</v>
      </c>
      <c r="K901" s="0" t="n">
        <v>0</v>
      </c>
      <c r="L901" s="0" t="n">
        <v>0</v>
      </c>
      <c r="M901" s="0" t="n">
        <v>0</v>
      </c>
      <c r="N901" s="0" t="str">
        <f aca="false">IF(OR(NOT(OR(J901=0,J901=1)),NOT(OR(K901=0,K901=1)),NOT(OR(L901=0,L901=1)),NOT(OR(M901=0,M901=1)),NOT(OR(U901=0,U901=1))),"Yes","No")</f>
        <v>No</v>
      </c>
      <c r="O901" s="0" t="str">
        <f aca="false">IF(OR(AND(M901=1,L901=0),AND(L901=1,K901=0),AND(K901=1,J901=0)),"Yes","No")</f>
        <v>No</v>
      </c>
      <c r="P901" s="0" t="n">
        <v>0</v>
      </c>
      <c r="Q901" s="0" t="str">
        <f aca="false">IF(OR(AND(M901=0,P901&gt;0),AND(M901=1,P901&lt;=0)),"Yes","No")</f>
        <v>No</v>
      </c>
      <c r="R901" s="0" t="str">
        <f aca="false">IF(AND(M901=1,P901&gt;calc_helpers!$B$5),"Yes","No")</f>
        <v>No</v>
      </c>
      <c r="S901" s="0" t="n">
        <v>2</v>
      </c>
      <c r="T901" s="0" t="str">
        <f aca="false">IF(S901&gt;0,"Yes","No")</f>
        <v>Yes</v>
      </c>
      <c r="U901" s="0" t="n">
        <v>0</v>
      </c>
      <c r="W901" s="0" t="str">
        <f aca="false">IF(OR(AND(M901=1,ISBLANK(V901)),AND(M901=0,NOT(ISBLANK(V901)))),"Yes","No")</f>
        <v>No</v>
      </c>
      <c r="X901" s="0" t="n">
        <v>65.4</v>
      </c>
      <c r="Y901" s="3" t="s">
        <v>30</v>
      </c>
      <c r="Z901" s="0" t="str">
        <f aca="false">IF(M901=1,P901,"")</f>
        <v/>
      </c>
    </row>
    <row r="902" customFormat="false" ht="15" hidden="false" customHeight="false" outlineLevel="0" collapsed="false">
      <c r="A902" s="0" t="s">
        <v>946</v>
      </c>
      <c r="B902" s="2" t="n">
        <v>45765</v>
      </c>
      <c r="C902" s="3" t="s">
        <v>736</v>
      </c>
      <c r="D902" s="3" t="s">
        <v>43</v>
      </c>
      <c r="E902" s="3" t="s">
        <v>29</v>
      </c>
      <c r="F902" s="3" t="s">
        <v>30</v>
      </c>
      <c r="G902" s="3" t="s">
        <v>36</v>
      </c>
      <c r="H902" s="3" t="s">
        <v>30</v>
      </c>
      <c r="I902" s="3" t="s">
        <v>37</v>
      </c>
      <c r="J902" s="0" t="n">
        <v>1</v>
      </c>
      <c r="K902" s="0" t="n">
        <v>0</v>
      </c>
      <c r="L902" s="0" t="n">
        <v>0</v>
      </c>
      <c r="M902" s="0" t="n">
        <v>0</v>
      </c>
      <c r="N902" s="0" t="str">
        <f aca="false">IF(OR(NOT(OR(J902=0,J902=1)),NOT(OR(K902=0,K902=1)),NOT(OR(L902=0,L902=1)),NOT(OR(M902=0,M902=1)),NOT(OR(U902=0,U902=1))),"Yes","No")</f>
        <v>No</v>
      </c>
      <c r="O902" s="0" t="str">
        <f aca="false">IF(OR(AND(M902=1,L902=0),AND(L902=1,K902=0),AND(K902=1,J902=0)),"Yes","No")</f>
        <v>No</v>
      </c>
      <c r="P902" s="0" t="n">
        <v>0</v>
      </c>
      <c r="Q902" s="0" t="str">
        <f aca="false">IF(OR(AND(M902=0,P902&gt;0),AND(M902=1,P902&lt;=0)),"Yes","No")</f>
        <v>No</v>
      </c>
      <c r="R902" s="0" t="str">
        <f aca="false">IF(AND(M902=1,P902&gt;calc_helpers!$B$5),"Yes","No")</f>
        <v>No</v>
      </c>
      <c r="S902" s="0" t="n">
        <v>0</v>
      </c>
      <c r="T902" s="0" t="str">
        <f aca="false">IF(S902&gt;0,"Yes","No")</f>
        <v>No</v>
      </c>
      <c r="U902" s="0" t="n">
        <v>0</v>
      </c>
      <c r="W902" s="0" t="str">
        <f aca="false">IF(OR(AND(M902=1,ISBLANK(V902)),AND(M902=0,NOT(ISBLANK(V902)))),"Yes","No")</f>
        <v>No</v>
      </c>
      <c r="X902" s="0" t="n">
        <v>22.9</v>
      </c>
      <c r="Y902" s="3" t="s">
        <v>30</v>
      </c>
      <c r="Z902" s="0" t="str">
        <f aca="false">IF(M902=1,P902,"")</f>
        <v/>
      </c>
    </row>
    <row r="903" customFormat="false" ht="15" hidden="false" customHeight="false" outlineLevel="0" collapsed="false">
      <c r="A903" s="0" t="s">
        <v>947</v>
      </c>
      <c r="B903" s="2" t="n">
        <v>45730</v>
      </c>
      <c r="C903" s="3" t="s">
        <v>736</v>
      </c>
      <c r="D903" s="3" t="s">
        <v>34</v>
      </c>
      <c r="E903" s="3" t="s">
        <v>29</v>
      </c>
      <c r="F903" s="3" t="s">
        <v>30</v>
      </c>
      <c r="G903" s="3" t="s">
        <v>36</v>
      </c>
      <c r="H903" s="3" t="s">
        <v>30</v>
      </c>
      <c r="I903" s="3" t="s">
        <v>41</v>
      </c>
      <c r="J903" s="0" t="n">
        <v>0</v>
      </c>
      <c r="K903" s="0" t="n">
        <v>0</v>
      </c>
      <c r="L903" s="0" t="n">
        <v>0</v>
      </c>
      <c r="M903" s="0" t="n">
        <v>0</v>
      </c>
      <c r="N903" s="0" t="str">
        <f aca="false">IF(OR(NOT(OR(J903=0,J903=1)),NOT(OR(K903=0,K903=1)),NOT(OR(L903=0,L903=1)),NOT(OR(M903=0,M903=1)),NOT(OR(U903=0,U903=1))),"Yes","No")</f>
        <v>No</v>
      </c>
      <c r="O903" s="0" t="str">
        <f aca="false">IF(OR(AND(M903=1,L903=0),AND(L903=1,K903=0),AND(K903=1,J903=0)),"Yes","No")</f>
        <v>No</v>
      </c>
      <c r="P903" s="0" t="n">
        <v>0</v>
      </c>
      <c r="Q903" s="0" t="str">
        <f aca="false">IF(OR(AND(M903=0,P903&gt;0),AND(M903=1,P903&lt;=0)),"Yes","No")</f>
        <v>No</v>
      </c>
      <c r="R903" s="0" t="str">
        <f aca="false">IF(AND(M903=1,P903&gt;calc_helpers!$B$5),"Yes","No")</f>
        <v>No</v>
      </c>
      <c r="S903" s="0" t="n">
        <v>0</v>
      </c>
      <c r="T903" s="0" t="str">
        <f aca="false">IF(S903&gt;0,"Yes","No")</f>
        <v>No</v>
      </c>
      <c r="U903" s="0" t="n">
        <v>0</v>
      </c>
      <c r="W903" s="0" t="str">
        <f aca="false">IF(OR(AND(M903=1,ISBLANK(V903)),AND(M903=0,NOT(ISBLANK(V903)))),"Yes","No")</f>
        <v>No</v>
      </c>
      <c r="X903" s="0" t="n">
        <v>64.6</v>
      </c>
      <c r="Y903" s="3" t="s">
        <v>30</v>
      </c>
      <c r="Z903" s="0" t="str">
        <f aca="false">IF(M903=1,P903,"")</f>
        <v/>
      </c>
    </row>
    <row r="904" customFormat="false" ht="15" hidden="false" customHeight="false" outlineLevel="0" collapsed="false">
      <c r="A904" s="0" t="s">
        <v>948</v>
      </c>
      <c r="B904" s="2" t="n">
        <v>45745</v>
      </c>
      <c r="C904" s="3" t="s">
        <v>736</v>
      </c>
      <c r="D904" s="3" t="s">
        <v>43</v>
      </c>
      <c r="E904" s="3" t="s">
        <v>35</v>
      </c>
      <c r="F904" s="3" t="s">
        <v>30</v>
      </c>
      <c r="G904" s="3" t="s">
        <v>50</v>
      </c>
      <c r="H904" s="3" t="s">
        <v>30</v>
      </c>
      <c r="I904" s="3" t="s">
        <v>37</v>
      </c>
      <c r="J904" s="0" t="n">
        <v>1</v>
      </c>
      <c r="K904" s="0" t="n">
        <v>0</v>
      </c>
      <c r="L904" s="0" t="n">
        <v>0</v>
      </c>
      <c r="M904" s="0" t="n">
        <v>0</v>
      </c>
      <c r="N904" s="0" t="str">
        <f aca="false">IF(OR(NOT(OR(J904=0,J904=1)),NOT(OR(K904=0,K904=1)),NOT(OR(L904=0,L904=1)),NOT(OR(M904=0,M904=1)),NOT(OR(U904=0,U904=1))),"Yes","No")</f>
        <v>No</v>
      </c>
      <c r="O904" s="0" t="str">
        <f aca="false">IF(OR(AND(M904=1,L904=0),AND(L904=1,K904=0),AND(K904=1,J904=0)),"Yes","No")</f>
        <v>No</v>
      </c>
      <c r="P904" s="0" t="n">
        <v>0</v>
      </c>
      <c r="Q904" s="0" t="str">
        <f aca="false">IF(OR(AND(M904=0,P904&gt;0),AND(M904=1,P904&lt;=0)),"Yes","No")</f>
        <v>No</v>
      </c>
      <c r="R904" s="0" t="str">
        <f aca="false">IF(AND(M904=1,P904&gt;calc_helpers!$B$5),"Yes","No")</f>
        <v>No</v>
      </c>
      <c r="S904" s="0" t="n">
        <v>2</v>
      </c>
      <c r="T904" s="0" t="str">
        <f aca="false">IF(S904&gt;0,"Yes","No")</f>
        <v>Yes</v>
      </c>
      <c r="U904" s="0" t="n">
        <v>0</v>
      </c>
      <c r="W904" s="0" t="str">
        <f aca="false">IF(OR(AND(M904=1,ISBLANK(V904)),AND(M904=0,NOT(ISBLANK(V904)))),"Yes","No")</f>
        <v>No</v>
      </c>
      <c r="X904" s="0" t="n">
        <v>54.4</v>
      </c>
      <c r="Y904" s="3" t="s">
        <v>30</v>
      </c>
      <c r="Z904" s="0" t="str">
        <f aca="false">IF(M904=1,P904,"")</f>
        <v/>
      </c>
    </row>
    <row r="905" customFormat="false" ht="15" hidden="false" customHeight="false" outlineLevel="0" collapsed="false">
      <c r="A905" s="0" t="s">
        <v>949</v>
      </c>
      <c r="B905" s="2" t="n">
        <v>45701</v>
      </c>
      <c r="C905" s="3" t="s">
        <v>736</v>
      </c>
      <c r="D905" s="3" t="s">
        <v>28</v>
      </c>
      <c r="E905" s="3" t="s">
        <v>29</v>
      </c>
      <c r="F905" s="3" t="s">
        <v>30</v>
      </c>
      <c r="G905" s="3" t="s">
        <v>36</v>
      </c>
      <c r="H905" s="3" t="s">
        <v>30</v>
      </c>
      <c r="I905" s="3" t="s">
        <v>37</v>
      </c>
      <c r="J905" s="0" t="n">
        <v>1</v>
      </c>
      <c r="K905" s="0" t="n">
        <v>1</v>
      </c>
      <c r="L905" s="0" t="n">
        <v>1</v>
      </c>
      <c r="M905" s="0" t="n">
        <v>0</v>
      </c>
      <c r="N905" s="0" t="str">
        <f aca="false">IF(OR(NOT(OR(J905=0,J905=1)),NOT(OR(K905=0,K905=1)),NOT(OR(L905=0,L905=1)),NOT(OR(M905=0,M905=1)),NOT(OR(U905=0,U905=1))),"Yes","No")</f>
        <v>No</v>
      </c>
      <c r="O905" s="0" t="str">
        <f aca="false">IF(OR(AND(M905=1,L905=0),AND(L905=1,K905=0),AND(K905=1,J905=0)),"Yes","No")</f>
        <v>No</v>
      </c>
      <c r="P905" s="0" t="n">
        <v>0</v>
      </c>
      <c r="Q905" s="0" t="str">
        <f aca="false">IF(OR(AND(M905=0,P905&gt;0),AND(M905=1,P905&lt;=0)),"Yes","No")</f>
        <v>No</v>
      </c>
      <c r="R905" s="0" t="str">
        <f aca="false">IF(AND(M905=1,P905&gt;calc_helpers!$B$5),"Yes","No")</f>
        <v>No</v>
      </c>
      <c r="S905" s="0" t="n">
        <v>0</v>
      </c>
      <c r="T905" s="0" t="str">
        <f aca="false">IF(S905&gt;0,"Yes","No")</f>
        <v>No</v>
      </c>
      <c r="U905" s="0" t="n">
        <v>0</v>
      </c>
      <c r="W905" s="0" t="str">
        <f aca="false">IF(OR(AND(M905=1,ISBLANK(V905)),AND(M905=0,NOT(ISBLANK(V905)))),"Yes","No")</f>
        <v>No</v>
      </c>
      <c r="X905" s="0" t="n">
        <v>56.8</v>
      </c>
      <c r="Y905" s="3" t="s">
        <v>30</v>
      </c>
      <c r="Z905" s="0" t="str">
        <f aca="false">IF(M905=1,P905,"")</f>
        <v/>
      </c>
    </row>
    <row r="906" customFormat="false" ht="15" hidden="false" customHeight="false" outlineLevel="0" collapsed="false">
      <c r="A906" s="0" t="s">
        <v>950</v>
      </c>
      <c r="B906" s="2" t="n">
        <v>45680</v>
      </c>
      <c r="C906" s="3" t="s">
        <v>736</v>
      </c>
      <c r="D906" s="3" t="s">
        <v>43</v>
      </c>
      <c r="E906" s="3" t="s">
        <v>35</v>
      </c>
      <c r="F906" s="3" t="s">
        <v>30</v>
      </c>
      <c r="G906" s="3" t="s">
        <v>40</v>
      </c>
      <c r="H906" s="3" t="s">
        <v>30</v>
      </c>
      <c r="I906" s="3" t="s">
        <v>37</v>
      </c>
      <c r="J906" s="0" t="n">
        <v>1</v>
      </c>
      <c r="K906" s="0" t="n">
        <v>1</v>
      </c>
      <c r="L906" s="0" t="n">
        <v>1</v>
      </c>
      <c r="M906" s="0" t="n">
        <v>1</v>
      </c>
      <c r="N906" s="0" t="str">
        <f aca="false">IF(OR(NOT(OR(J906=0,J906=1)),NOT(OR(K906=0,K906=1)),NOT(OR(L906=0,L906=1)),NOT(OR(M906=0,M906=1)),NOT(OR(U906=0,U906=1))),"Yes","No")</f>
        <v>No</v>
      </c>
      <c r="O906" s="0" t="str">
        <f aca="false">IF(OR(AND(M906=1,L906=0),AND(L906=1,K906=0),AND(K906=1,J906=0)),"Yes","No")</f>
        <v>No</v>
      </c>
      <c r="P906" s="0" t="n">
        <v>341.38</v>
      </c>
      <c r="Q906" s="0" t="str">
        <f aca="false">IF(OR(AND(M906=0,P906&gt;0),AND(M906=1,P906&lt;=0)),"Yes","No")</f>
        <v>No</v>
      </c>
      <c r="R906" s="0" t="str">
        <f aca="false">IF(AND(M906=1,P906&gt;calc_helpers!$B$5),"Yes","No")</f>
        <v>No</v>
      </c>
      <c r="S906" s="0" t="n">
        <v>0</v>
      </c>
      <c r="T906" s="0" t="str">
        <f aca="false">IF(S906&gt;0,"Yes","No")</f>
        <v>No</v>
      </c>
      <c r="U906" s="0" t="n">
        <v>0</v>
      </c>
      <c r="V906" s="0" t="n">
        <v>2</v>
      </c>
      <c r="W906" s="0" t="str">
        <f aca="false">IF(OR(AND(M906=1,ISBLANK(V906)),AND(M906=0,NOT(ISBLANK(V906)))),"Yes","No")</f>
        <v>No</v>
      </c>
      <c r="X906" s="0" t="n">
        <v>63.6</v>
      </c>
      <c r="Y906" s="3" t="s">
        <v>30</v>
      </c>
      <c r="Z906" s="3" t="n">
        <f aca="false">IF(M906=1,P906,"")</f>
        <v>341.38</v>
      </c>
    </row>
    <row r="907" customFormat="false" ht="15" hidden="false" customHeight="false" outlineLevel="0" collapsed="false">
      <c r="A907" s="0" t="s">
        <v>951</v>
      </c>
      <c r="B907" s="2" t="n">
        <v>45712</v>
      </c>
      <c r="C907" s="3" t="s">
        <v>736</v>
      </c>
      <c r="D907" s="3" t="s">
        <v>39</v>
      </c>
      <c r="E907" s="3" t="s">
        <v>35</v>
      </c>
      <c r="F907" s="3" t="s">
        <v>30</v>
      </c>
      <c r="G907" s="3" t="s">
        <v>52</v>
      </c>
      <c r="H907" s="3" t="s">
        <v>30</v>
      </c>
      <c r="I907" s="3" t="s">
        <v>37</v>
      </c>
      <c r="J907" s="0" t="n">
        <v>1</v>
      </c>
      <c r="K907" s="0" t="n">
        <v>0</v>
      </c>
      <c r="L907" s="0" t="n">
        <v>0</v>
      </c>
      <c r="M907" s="0" t="n">
        <v>0</v>
      </c>
      <c r="N907" s="0" t="str">
        <f aca="false">IF(OR(NOT(OR(J907=0,J907=1)),NOT(OR(K907=0,K907=1)),NOT(OR(L907=0,L907=1)),NOT(OR(M907=0,M907=1)),NOT(OR(U907=0,U907=1))),"Yes","No")</f>
        <v>No</v>
      </c>
      <c r="O907" s="0" t="str">
        <f aca="false">IF(OR(AND(M907=1,L907=0),AND(L907=1,K907=0),AND(K907=1,J907=0)),"Yes","No")</f>
        <v>No</v>
      </c>
      <c r="P907" s="0" t="n">
        <v>0</v>
      </c>
      <c r="Q907" s="0" t="str">
        <f aca="false">IF(OR(AND(M907=0,P907&gt;0),AND(M907=1,P907&lt;=0)),"Yes","No")</f>
        <v>No</v>
      </c>
      <c r="R907" s="0" t="str">
        <f aca="false">IF(AND(M907=1,P907&gt;calc_helpers!$B$5),"Yes","No")</f>
        <v>No</v>
      </c>
      <c r="S907" s="0" t="n">
        <v>0</v>
      </c>
      <c r="T907" s="0" t="str">
        <f aca="false">IF(S907&gt;0,"Yes","No")</f>
        <v>No</v>
      </c>
      <c r="U907" s="0" t="n">
        <v>0</v>
      </c>
      <c r="W907" s="0" t="str">
        <f aca="false">IF(OR(AND(M907=1,ISBLANK(V907)),AND(M907=0,NOT(ISBLANK(V907)))),"Yes","No")</f>
        <v>No</v>
      </c>
      <c r="X907" s="0" t="n">
        <v>58.2</v>
      </c>
      <c r="Y907" s="3" t="s">
        <v>30</v>
      </c>
      <c r="Z907" s="0" t="str">
        <f aca="false">IF(M907=1,P907,"")</f>
        <v/>
      </c>
    </row>
    <row r="908" customFormat="false" ht="15" hidden="false" customHeight="false" outlineLevel="0" collapsed="false">
      <c r="A908" s="0" t="s">
        <v>952</v>
      </c>
      <c r="B908" s="2" t="n">
        <v>45716</v>
      </c>
      <c r="C908" s="3" t="s">
        <v>736</v>
      </c>
      <c r="D908" s="3" t="s">
        <v>34</v>
      </c>
      <c r="E908" s="3" t="s">
        <v>35</v>
      </c>
      <c r="F908" s="3" t="s">
        <v>30</v>
      </c>
      <c r="G908" s="3" t="s">
        <v>40</v>
      </c>
      <c r="H908" s="3" t="s">
        <v>30</v>
      </c>
      <c r="I908" s="3" t="s">
        <v>37</v>
      </c>
      <c r="J908" s="0" t="n">
        <v>1</v>
      </c>
      <c r="K908" s="0" t="n">
        <v>1</v>
      </c>
      <c r="L908" s="0" t="n">
        <v>0</v>
      </c>
      <c r="M908" s="0" t="n">
        <v>0</v>
      </c>
      <c r="N908" s="0" t="str">
        <f aca="false">IF(OR(NOT(OR(J908=0,J908=1)),NOT(OR(K908=0,K908=1)),NOT(OR(L908=0,L908=1)),NOT(OR(M908=0,M908=1)),NOT(OR(U908=0,U908=1))),"Yes","No")</f>
        <v>No</v>
      </c>
      <c r="O908" s="0" t="str">
        <f aca="false">IF(OR(AND(M908=1,L908=0),AND(L908=1,K908=0),AND(K908=1,J908=0)),"Yes","No")</f>
        <v>No</v>
      </c>
      <c r="P908" s="0" t="n">
        <v>0</v>
      </c>
      <c r="Q908" s="0" t="str">
        <f aca="false">IF(OR(AND(M908=0,P908&gt;0),AND(M908=1,P908&lt;=0)),"Yes","No")</f>
        <v>No</v>
      </c>
      <c r="R908" s="0" t="str">
        <f aca="false">IF(AND(M908=1,P908&gt;calc_helpers!$B$5),"Yes","No")</f>
        <v>No</v>
      </c>
      <c r="S908" s="0" t="n">
        <v>0</v>
      </c>
      <c r="T908" s="0" t="str">
        <f aca="false">IF(S908&gt;0,"Yes","No")</f>
        <v>No</v>
      </c>
      <c r="U908" s="0" t="n">
        <v>0</v>
      </c>
      <c r="W908" s="0" t="str">
        <f aca="false">IF(OR(AND(M908=1,ISBLANK(V908)),AND(M908=0,NOT(ISBLANK(V908)))),"Yes","No")</f>
        <v>No</v>
      </c>
      <c r="X908" s="0" t="n">
        <v>54.6</v>
      </c>
      <c r="Y908" s="3" t="s">
        <v>30</v>
      </c>
      <c r="Z908" s="0" t="str">
        <f aca="false">IF(M908=1,P908,"")</f>
        <v/>
      </c>
    </row>
    <row r="909" customFormat="false" ht="15" hidden="false" customHeight="false" outlineLevel="0" collapsed="false">
      <c r="A909" s="0" t="s">
        <v>953</v>
      </c>
      <c r="B909" s="2" t="n">
        <v>45664</v>
      </c>
      <c r="C909" s="3" t="s">
        <v>736</v>
      </c>
      <c r="D909" s="3" t="s">
        <v>34</v>
      </c>
      <c r="E909" s="3" t="s">
        <v>45</v>
      </c>
      <c r="F909" s="3" t="s">
        <v>30</v>
      </c>
      <c r="G909" s="3" t="s">
        <v>36</v>
      </c>
      <c r="H909" s="3" t="s">
        <v>30</v>
      </c>
      <c r="I909" s="3" t="s">
        <v>32</v>
      </c>
      <c r="J909" s="0" t="n">
        <v>1</v>
      </c>
      <c r="K909" s="0" t="n">
        <v>0</v>
      </c>
      <c r="L909" s="0" t="n">
        <v>0</v>
      </c>
      <c r="M909" s="0" t="n">
        <v>0</v>
      </c>
      <c r="N909" s="0" t="str">
        <f aca="false">IF(OR(NOT(OR(J909=0,J909=1)),NOT(OR(K909=0,K909=1)),NOT(OR(L909=0,L909=1)),NOT(OR(M909=0,M909=1)),NOT(OR(U909=0,U909=1))),"Yes","No")</f>
        <v>No</v>
      </c>
      <c r="O909" s="0" t="str">
        <f aca="false">IF(OR(AND(M909=1,L909=0),AND(L909=1,K909=0),AND(K909=1,J909=0)),"Yes","No")</f>
        <v>No</v>
      </c>
      <c r="P909" s="0" t="n">
        <v>0</v>
      </c>
      <c r="Q909" s="0" t="str">
        <f aca="false">IF(OR(AND(M909=0,P909&gt;0),AND(M909=1,P909&lt;=0)),"Yes","No")</f>
        <v>No</v>
      </c>
      <c r="R909" s="0" t="str">
        <f aca="false">IF(AND(M909=1,P909&gt;calc_helpers!$B$5),"Yes","No")</f>
        <v>No</v>
      </c>
      <c r="S909" s="0" t="n">
        <v>0</v>
      </c>
      <c r="T909" s="0" t="str">
        <f aca="false">IF(S909&gt;0,"Yes","No")</f>
        <v>No</v>
      </c>
      <c r="U909" s="0" t="n">
        <v>0</v>
      </c>
      <c r="W909" s="0" t="str">
        <f aca="false">IF(OR(AND(M909=1,ISBLANK(V909)),AND(M909=0,NOT(ISBLANK(V909)))),"Yes","No")</f>
        <v>No</v>
      </c>
      <c r="X909" s="0" t="n">
        <v>81.9</v>
      </c>
      <c r="Y909" s="3" t="s">
        <v>30</v>
      </c>
      <c r="Z909" s="0" t="str">
        <f aca="false">IF(M909=1,P909,"")</f>
        <v/>
      </c>
    </row>
    <row r="910" customFormat="false" ht="15" hidden="false" customHeight="false" outlineLevel="0" collapsed="false">
      <c r="A910" s="0" t="s">
        <v>954</v>
      </c>
      <c r="B910" s="2" t="n">
        <v>45737</v>
      </c>
      <c r="C910" s="3" t="s">
        <v>736</v>
      </c>
      <c r="D910" s="3" t="s">
        <v>34</v>
      </c>
      <c r="E910" s="3" t="s">
        <v>29</v>
      </c>
      <c r="F910" s="3" t="s">
        <v>30</v>
      </c>
      <c r="G910" s="3" t="s">
        <v>31</v>
      </c>
      <c r="H910" s="3" t="s">
        <v>30</v>
      </c>
      <c r="I910" s="3" t="s">
        <v>37</v>
      </c>
      <c r="J910" s="0" t="n">
        <v>1</v>
      </c>
      <c r="K910" s="0" t="n">
        <v>0</v>
      </c>
      <c r="L910" s="0" t="n">
        <v>0</v>
      </c>
      <c r="M910" s="0" t="n">
        <v>0</v>
      </c>
      <c r="N910" s="0" t="str">
        <f aca="false">IF(OR(NOT(OR(J910=0,J910=1)),NOT(OR(K910=0,K910=1)),NOT(OR(L910=0,L910=1)),NOT(OR(M910=0,M910=1)),NOT(OR(U910=0,U910=1))),"Yes","No")</f>
        <v>No</v>
      </c>
      <c r="O910" s="0" t="str">
        <f aca="false">IF(OR(AND(M910=1,L910=0),AND(L910=1,K910=0),AND(K910=1,J910=0)),"Yes","No")</f>
        <v>No</v>
      </c>
      <c r="P910" s="0" t="n">
        <v>0</v>
      </c>
      <c r="Q910" s="0" t="str">
        <f aca="false">IF(OR(AND(M910=0,P910&gt;0),AND(M910=1,P910&lt;=0)),"Yes","No")</f>
        <v>No</v>
      </c>
      <c r="R910" s="0" t="str">
        <f aca="false">IF(AND(M910=1,P910&gt;calc_helpers!$B$5),"Yes","No")</f>
        <v>No</v>
      </c>
      <c r="S910" s="0" t="n">
        <v>3</v>
      </c>
      <c r="T910" s="0" t="str">
        <f aca="false">IF(S910&gt;0,"Yes","No")</f>
        <v>Yes</v>
      </c>
      <c r="U910" s="0" t="n">
        <v>0</v>
      </c>
      <c r="W910" s="0" t="str">
        <f aca="false">IF(OR(AND(M910=1,ISBLANK(V910)),AND(M910=0,NOT(ISBLANK(V910)))),"Yes","No")</f>
        <v>No</v>
      </c>
      <c r="X910" s="0" t="n">
        <v>53.3</v>
      </c>
      <c r="Y910" s="3" t="s">
        <v>30</v>
      </c>
      <c r="Z910" s="0" t="str">
        <f aca="false">IF(M910=1,P910,"")</f>
        <v/>
      </c>
    </row>
    <row r="911" customFormat="false" ht="15" hidden="false" customHeight="false" outlineLevel="0" collapsed="false">
      <c r="A911" s="0" t="s">
        <v>955</v>
      </c>
      <c r="B911" s="2" t="n">
        <v>45706</v>
      </c>
      <c r="C911" s="3" t="s">
        <v>736</v>
      </c>
      <c r="D911" s="3" t="s">
        <v>28</v>
      </c>
      <c r="E911" s="3" t="s">
        <v>29</v>
      </c>
      <c r="F911" s="3" t="s">
        <v>30</v>
      </c>
      <c r="G911" s="3" t="s">
        <v>36</v>
      </c>
      <c r="H911" s="3" t="s">
        <v>30</v>
      </c>
      <c r="I911" s="3" t="s">
        <v>32</v>
      </c>
      <c r="J911" s="0" t="n">
        <v>0</v>
      </c>
      <c r="K911" s="0" t="n">
        <v>0</v>
      </c>
      <c r="L911" s="0" t="n">
        <v>0</v>
      </c>
      <c r="M911" s="0" t="n">
        <v>0</v>
      </c>
      <c r="N911" s="0" t="str">
        <f aca="false">IF(OR(NOT(OR(J911=0,J911=1)),NOT(OR(K911=0,K911=1)),NOT(OR(L911=0,L911=1)),NOT(OR(M911=0,M911=1)),NOT(OR(U911=0,U911=1))),"Yes","No")</f>
        <v>No</v>
      </c>
      <c r="O911" s="0" t="str">
        <f aca="false">IF(OR(AND(M911=1,L911=0),AND(L911=1,K911=0),AND(K911=1,J911=0)),"Yes","No")</f>
        <v>No</v>
      </c>
      <c r="P911" s="0" t="n">
        <v>0</v>
      </c>
      <c r="Q911" s="0" t="str">
        <f aca="false">IF(OR(AND(M911=0,P911&gt;0),AND(M911=1,P911&lt;=0)),"Yes","No")</f>
        <v>No</v>
      </c>
      <c r="R911" s="0" t="str">
        <f aca="false">IF(AND(M911=1,P911&gt;calc_helpers!$B$5),"Yes","No")</f>
        <v>No</v>
      </c>
      <c r="S911" s="0" t="n">
        <v>0</v>
      </c>
      <c r="T911" s="0" t="str">
        <f aca="false">IF(S911&gt;0,"Yes","No")</f>
        <v>No</v>
      </c>
      <c r="U911" s="0" t="n">
        <v>0</v>
      </c>
      <c r="W911" s="0" t="str">
        <f aca="false">IF(OR(AND(M911=1,ISBLANK(V911)),AND(M911=0,NOT(ISBLANK(V911)))),"Yes","No")</f>
        <v>No</v>
      </c>
      <c r="X911" s="0" t="n">
        <v>54.2</v>
      </c>
      <c r="Y911" s="3" t="s">
        <v>30</v>
      </c>
      <c r="Z911" s="0" t="str">
        <f aca="false">IF(M911=1,P911,"")</f>
        <v/>
      </c>
    </row>
    <row r="912" customFormat="false" ht="15" hidden="false" customHeight="false" outlineLevel="0" collapsed="false">
      <c r="A912" s="0" t="s">
        <v>956</v>
      </c>
      <c r="B912" s="2" t="n">
        <v>45662</v>
      </c>
      <c r="C912" s="3" t="s">
        <v>736</v>
      </c>
      <c r="D912" s="3" t="s">
        <v>28</v>
      </c>
      <c r="E912" s="3" t="s">
        <v>35</v>
      </c>
      <c r="F912" s="3" t="s">
        <v>30</v>
      </c>
      <c r="G912" s="3" t="s">
        <v>40</v>
      </c>
      <c r="H912" s="3" t="s">
        <v>30</v>
      </c>
      <c r="I912" s="3" t="s">
        <v>37</v>
      </c>
      <c r="J912" s="0" t="n">
        <v>1</v>
      </c>
      <c r="K912" s="0" t="n">
        <v>1</v>
      </c>
      <c r="L912" s="0" t="n">
        <v>0</v>
      </c>
      <c r="M912" s="0" t="n">
        <v>0</v>
      </c>
      <c r="N912" s="0" t="str">
        <f aca="false">IF(OR(NOT(OR(J912=0,J912=1)),NOT(OR(K912=0,K912=1)),NOT(OR(L912=0,L912=1)),NOT(OR(M912=0,M912=1)),NOT(OR(U912=0,U912=1))),"Yes","No")</f>
        <v>No</v>
      </c>
      <c r="O912" s="0" t="str">
        <f aca="false">IF(OR(AND(M912=1,L912=0),AND(L912=1,K912=0),AND(K912=1,J912=0)),"Yes","No")</f>
        <v>No</v>
      </c>
      <c r="P912" s="0" t="n">
        <v>0</v>
      </c>
      <c r="Q912" s="0" t="str">
        <f aca="false">IF(OR(AND(M912=0,P912&gt;0),AND(M912=1,P912&lt;=0)),"Yes","No")</f>
        <v>No</v>
      </c>
      <c r="R912" s="0" t="str">
        <f aca="false">IF(AND(M912=1,P912&gt;calc_helpers!$B$5),"Yes","No")</f>
        <v>No</v>
      </c>
      <c r="S912" s="0" t="n">
        <v>0</v>
      </c>
      <c r="T912" s="0" t="str">
        <f aca="false">IF(S912&gt;0,"Yes","No")</f>
        <v>No</v>
      </c>
      <c r="U912" s="0" t="n">
        <v>0</v>
      </c>
      <c r="W912" s="0" t="str">
        <f aca="false">IF(OR(AND(M912=1,ISBLANK(V912)),AND(M912=0,NOT(ISBLANK(V912)))),"Yes","No")</f>
        <v>No</v>
      </c>
      <c r="X912" s="0" t="n">
        <v>65.6</v>
      </c>
      <c r="Y912" s="3" t="s">
        <v>30</v>
      </c>
      <c r="Z912" s="0" t="str">
        <f aca="false">IF(M912=1,P912,"")</f>
        <v/>
      </c>
    </row>
    <row r="913" customFormat="false" ht="15" hidden="false" customHeight="false" outlineLevel="0" collapsed="false">
      <c r="A913" s="0" t="s">
        <v>957</v>
      </c>
      <c r="B913" s="2" t="n">
        <v>45727</v>
      </c>
      <c r="C913" s="3" t="s">
        <v>736</v>
      </c>
      <c r="D913" s="3" t="s">
        <v>39</v>
      </c>
      <c r="E913" s="3" t="s">
        <v>29</v>
      </c>
      <c r="F913" s="3" t="s">
        <v>30</v>
      </c>
      <c r="G913" s="3" t="s">
        <v>36</v>
      </c>
      <c r="H913" s="3" t="s">
        <v>30</v>
      </c>
      <c r="I913" s="3" t="s">
        <v>32</v>
      </c>
      <c r="J913" s="0" t="n">
        <v>1</v>
      </c>
      <c r="K913" s="0" t="n">
        <v>0</v>
      </c>
      <c r="L913" s="0" t="n">
        <v>0</v>
      </c>
      <c r="M913" s="0" t="n">
        <v>0</v>
      </c>
      <c r="N913" s="0" t="str">
        <f aca="false">IF(OR(NOT(OR(J913=0,J913=1)),NOT(OR(K913=0,K913=1)),NOT(OR(L913=0,L913=1)),NOT(OR(M913=0,M913=1)),NOT(OR(U913=0,U913=1))),"Yes","No")</f>
        <v>No</v>
      </c>
      <c r="O913" s="0" t="str">
        <f aca="false">IF(OR(AND(M913=1,L913=0),AND(L913=1,K913=0),AND(K913=1,J913=0)),"Yes","No")</f>
        <v>No</v>
      </c>
      <c r="P913" s="0" t="n">
        <v>0</v>
      </c>
      <c r="Q913" s="0" t="str">
        <f aca="false">IF(OR(AND(M913=0,P913&gt;0),AND(M913=1,P913&lt;=0)),"Yes","No")</f>
        <v>No</v>
      </c>
      <c r="R913" s="0" t="str">
        <f aca="false">IF(AND(M913=1,P913&gt;calc_helpers!$B$5),"Yes","No")</f>
        <v>No</v>
      </c>
      <c r="S913" s="0" t="n">
        <v>1</v>
      </c>
      <c r="T913" s="0" t="str">
        <f aca="false">IF(S913&gt;0,"Yes","No")</f>
        <v>Yes</v>
      </c>
      <c r="U913" s="0" t="n">
        <v>0</v>
      </c>
      <c r="W913" s="0" t="str">
        <f aca="false">IF(OR(AND(M913=1,ISBLANK(V913)),AND(M913=0,NOT(ISBLANK(V913)))),"Yes","No")</f>
        <v>No</v>
      </c>
      <c r="X913" s="0" t="n">
        <v>56.5</v>
      </c>
      <c r="Y913" s="3" t="s">
        <v>30</v>
      </c>
      <c r="Z913" s="0" t="str">
        <f aca="false">IF(M913=1,P913,"")</f>
        <v/>
      </c>
    </row>
    <row r="914" customFormat="false" ht="15" hidden="false" customHeight="false" outlineLevel="0" collapsed="false">
      <c r="A914" s="0" t="s">
        <v>958</v>
      </c>
      <c r="B914" s="2" t="n">
        <v>45666</v>
      </c>
      <c r="C914" s="3" t="s">
        <v>736</v>
      </c>
      <c r="D914" s="3" t="s">
        <v>28</v>
      </c>
      <c r="E914" s="3" t="s">
        <v>29</v>
      </c>
      <c r="F914" s="3" t="s">
        <v>30</v>
      </c>
      <c r="G914" s="3" t="s">
        <v>36</v>
      </c>
      <c r="H914" s="3" t="s">
        <v>30</v>
      </c>
      <c r="I914" s="3" t="s">
        <v>32</v>
      </c>
      <c r="J914" s="0" t="n">
        <v>1</v>
      </c>
      <c r="K914" s="0" t="n">
        <v>0</v>
      </c>
      <c r="L914" s="0" t="n">
        <v>0</v>
      </c>
      <c r="M914" s="0" t="n">
        <v>0</v>
      </c>
      <c r="N914" s="0" t="str">
        <f aca="false">IF(OR(NOT(OR(J914=0,J914=1)),NOT(OR(K914=0,K914=1)),NOT(OR(L914=0,L914=1)),NOT(OR(M914=0,M914=1)),NOT(OR(U914=0,U914=1))),"Yes","No")</f>
        <v>No</v>
      </c>
      <c r="O914" s="0" t="str">
        <f aca="false">IF(OR(AND(M914=1,L914=0),AND(L914=1,K914=0),AND(K914=1,J914=0)),"Yes","No")</f>
        <v>No</v>
      </c>
      <c r="P914" s="0" t="n">
        <v>0</v>
      </c>
      <c r="Q914" s="0" t="str">
        <f aca="false">IF(OR(AND(M914=0,P914&gt;0),AND(M914=1,P914&lt;=0)),"Yes","No")</f>
        <v>No</v>
      </c>
      <c r="R914" s="0" t="str">
        <f aca="false">IF(AND(M914=1,P914&gt;calc_helpers!$B$5),"Yes","No")</f>
        <v>No</v>
      </c>
      <c r="S914" s="0" t="n">
        <v>0</v>
      </c>
      <c r="T914" s="0" t="str">
        <f aca="false">IF(S914&gt;0,"Yes","No")</f>
        <v>No</v>
      </c>
      <c r="U914" s="0" t="n">
        <v>0</v>
      </c>
      <c r="W914" s="0" t="str">
        <f aca="false">IF(OR(AND(M914=1,ISBLANK(V914)),AND(M914=0,NOT(ISBLANK(V914)))),"Yes","No")</f>
        <v>No</v>
      </c>
      <c r="X914" s="0" t="n">
        <v>59.7</v>
      </c>
      <c r="Y914" s="3" t="s">
        <v>30</v>
      </c>
      <c r="Z914" s="0" t="str">
        <f aca="false">IF(M914=1,P914,"")</f>
        <v/>
      </c>
    </row>
    <row r="915" customFormat="false" ht="15" hidden="false" customHeight="false" outlineLevel="0" collapsed="false">
      <c r="A915" s="0" t="s">
        <v>959</v>
      </c>
      <c r="B915" s="2" t="n">
        <v>45665</v>
      </c>
      <c r="C915" s="3" t="s">
        <v>736</v>
      </c>
      <c r="D915" s="3" t="s">
        <v>43</v>
      </c>
      <c r="E915" s="3" t="s">
        <v>35</v>
      </c>
      <c r="F915" s="3" t="s">
        <v>30</v>
      </c>
      <c r="G915" s="3" t="s">
        <v>36</v>
      </c>
      <c r="H915" s="3" t="s">
        <v>30</v>
      </c>
      <c r="I915" s="3" t="s">
        <v>37</v>
      </c>
      <c r="J915" s="0" t="n">
        <v>1</v>
      </c>
      <c r="K915" s="0" t="n">
        <v>1</v>
      </c>
      <c r="L915" s="0" t="n">
        <v>1</v>
      </c>
      <c r="M915" s="0" t="n">
        <v>0</v>
      </c>
      <c r="N915" s="0" t="str">
        <f aca="false">IF(OR(NOT(OR(J915=0,J915=1)),NOT(OR(K915=0,K915=1)),NOT(OR(L915=0,L915=1)),NOT(OR(M915=0,M915=1)),NOT(OR(U915=0,U915=1))),"Yes","No")</f>
        <v>No</v>
      </c>
      <c r="O915" s="0" t="str">
        <f aca="false">IF(OR(AND(M915=1,L915=0),AND(L915=1,K915=0),AND(K915=1,J915=0)),"Yes","No")</f>
        <v>No</v>
      </c>
      <c r="P915" s="0" t="n">
        <v>0</v>
      </c>
      <c r="Q915" s="0" t="str">
        <f aca="false">IF(OR(AND(M915=0,P915&gt;0),AND(M915=1,P915&lt;=0)),"Yes","No")</f>
        <v>No</v>
      </c>
      <c r="R915" s="0" t="str">
        <f aca="false">IF(AND(M915=1,P915&gt;calc_helpers!$B$5),"Yes","No")</f>
        <v>No</v>
      </c>
      <c r="S915" s="0" t="n">
        <v>0</v>
      </c>
      <c r="T915" s="0" t="str">
        <f aca="false">IF(S915&gt;0,"Yes","No")</f>
        <v>No</v>
      </c>
      <c r="U915" s="0" t="n">
        <v>0</v>
      </c>
      <c r="W915" s="0" t="str">
        <f aca="false">IF(OR(AND(M915=1,ISBLANK(V915)),AND(M915=0,NOT(ISBLANK(V915)))),"Yes","No")</f>
        <v>No</v>
      </c>
      <c r="X915" s="0" t="n">
        <v>72.5</v>
      </c>
      <c r="Y915" s="3" t="s">
        <v>30</v>
      </c>
      <c r="Z915" s="0" t="str">
        <f aca="false">IF(M915=1,P915,"")</f>
        <v/>
      </c>
    </row>
    <row r="916" customFormat="false" ht="15" hidden="false" customHeight="false" outlineLevel="0" collapsed="false">
      <c r="A916" s="0" t="s">
        <v>960</v>
      </c>
      <c r="B916" s="2" t="n">
        <v>45778</v>
      </c>
      <c r="C916" s="3" t="s">
        <v>736</v>
      </c>
      <c r="D916" s="3" t="s">
        <v>39</v>
      </c>
      <c r="E916" s="3" t="s">
        <v>29</v>
      </c>
      <c r="F916" s="3" t="s">
        <v>30</v>
      </c>
      <c r="G916" s="3" t="s">
        <v>40</v>
      </c>
      <c r="H916" s="3" t="s">
        <v>30</v>
      </c>
      <c r="I916" s="3" t="s">
        <v>37</v>
      </c>
      <c r="J916" s="0" t="n">
        <v>1</v>
      </c>
      <c r="K916" s="0" t="n">
        <v>0</v>
      </c>
      <c r="L916" s="0" t="n">
        <v>0</v>
      </c>
      <c r="M916" s="0" t="n">
        <v>0</v>
      </c>
      <c r="N916" s="0" t="str">
        <f aca="false">IF(OR(NOT(OR(J916=0,J916=1)),NOT(OR(K916=0,K916=1)),NOT(OR(L916=0,L916=1)),NOT(OR(M916=0,M916=1)),NOT(OR(U916=0,U916=1))),"Yes","No")</f>
        <v>No</v>
      </c>
      <c r="O916" s="0" t="str">
        <f aca="false">IF(OR(AND(M916=1,L916=0),AND(L916=1,K916=0),AND(K916=1,J916=0)),"Yes","No")</f>
        <v>No</v>
      </c>
      <c r="P916" s="0" t="n">
        <v>0</v>
      </c>
      <c r="Q916" s="0" t="str">
        <f aca="false">IF(OR(AND(M916=0,P916&gt;0),AND(M916=1,P916&lt;=0)),"Yes","No")</f>
        <v>No</v>
      </c>
      <c r="R916" s="0" t="str">
        <f aca="false">IF(AND(M916=1,P916&gt;calc_helpers!$B$5),"Yes","No")</f>
        <v>No</v>
      </c>
      <c r="S916" s="0" t="n">
        <v>0</v>
      </c>
      <c r="T916" s="0" t="str">
        <f aca="false">IF(S916&gt;0,"Yes","No")</f>
        <v>No</v>
      </c>
      <c r="U916" s="0" t="n">
        <v>0</v>
      </c>
      <c r="W916" s="0" t="str">
        <f aca="false">IF(OR(AND(M916=1,ISBLANK(V916)),AND(M916=0,NOT(ISBLANK(V916)))),"Yes","No")</f>
        <v>No</v>
      </c>
      <c r="X916" s="0" t="n">
        <v>64.3</v>
      </c>
      <c r="Y916" s="3" t="s">
        <v>30</v>
      </c>
      <c r="Z916" s="0" t="str">
        <f aca="false">IF(M916=1,P916,"")</f>
        <v/>
      </c>
    </row>
    <row r="917" customFormat="false" ht="15" hidden="false" customHeight="false" outlineLevel="0" collapsed="false">
      <c r="A917" s="0" t="s">
        <v>961</v>
      </c>
      <c r="B917" s="2" t="n">
        <v>45719</v>
      </c>
      <c r="C917" s="3" t="s">
        <v>736</v>
      </c>
      <c r="D917" s="3" t="s">
        <v>43</v>
      </c>
      <c r="E917" s="3" t="s">
        <v>35</v>
      </c>
      <c r="F917" s="3" t="s">
        <v>30</v>
      </c>
      <c r="G917" s="3" t="s">
        <v>52</v>
      </c>
      <c r="H917" s="3" t="s">
        <v>30</v>
      </c>
      <c r="I917" s="3" t="s">
        <v>37</v>
      </c>
      <c r="J917" s="0" t="n">
        <v>1</v>
      </c>
      <c r="K917" s="0" t="n">
        <v>0</v>
      </c>
      <c r="L917" s="0" t="n">
        <v>0</v>
      </c>
      <c r="M917" s="0" t="n">
        <v>0</v>
      </c>
      <c r="N917" s="0" t="str">
        <f aca="false">IF(OR(NOT(OR(J917=0,J917=1)),NOT(OR(K917=0,K917=1)),NOT(OR(L917=0,L917=1)),NOT(OR(M917=0,M917=1)),NOT(OR(U917=0,U917=1))),"Yes","No")</f>
        <v>No</v>
      </c>
      <c r="O917" s="0" t="str">
        <f aca="false">IF(OR(AND(M917=1,L917=0),AND(L917=1,K917=0),AND(K917=1,J917=0)),"Yes","No")</f>
        <v>No</v>
      </c>
      <c r="P917" s="0" t="n">
        <v>0</v>
      </c>
      <c r="Q917" s="0" t="str">
        <f aca="false">IF(OR(AND(M917=0,P917&gt;0),AND(M917=1,P917&lt;=0)),"Yes","No")</f>
        <v>No</v>
      </c>
      <c r="R917" s="0" t="str">
        <f aca="false">IF(AND(M917=1,P917&gt;calc_helpers!$B$5),"Yes","No")</f>
        <v>No</v>
      </c>
      <c r="S917" s="0" t="n">
        <v>0</v>
      </c>
      <c r="T917" s="0" t="str">
        <f aca="false">IF(S917&gt;0,"Yes","No")</f>
        <v>No</v>
      </c>
      <c r="U917" s="0" t="n">
        <v>0</v>
      </c>
      <c r="W917" s="0" t="str">
        <f aca="false">IF(OR(AND(M917=1,ISBLANK(V917)),AND(M917=0,NOT(ISBLANK(V917)))),"Yes","No")</f>
        <v>No</v>
      </c>
      <c r="X917" s="0" t="n">
        <v>64.5</v>
      </c>
      <c r="Y917" s="3" t="s">
        <v>30</v>
      </c>
      <c r="Z917" s="0" t="str">
        <f aca="false">IF(M917=1,P917,"")</f>
        <v/>
      </c>
    </row>
    <row r="918" customFormat="false" ht="15" hidden="false" customHeight="false" outlineLevel="0" collapsed="false">
      <c r="A918" s="0" t="s">
        <v>962</v>
      </c>
      <c r="B918" s="2" t="n">
        <v>45711</v>
      </c>
      <c r="C918" s="3" t="s">
        <v>736</v>
      </c>
      <c r="D918" s="3" t="s">
        <v>34</v>
      </c>
      <c r="E918" s="3" t="s">
        <v>29</v>
      </c>
      <c r="F918" s="3" t="s">
        <v>30</v>
      </c>
      <c r="G918" s="3" t="s">
        <v>52</v>
      </c>
      <c r="H918" s="3" t="s">
        <v>30</v>
      </c>
      <c r="I918" s="3" t="s">
        <v>32</v>
      </c>
      <c r="J918" s="0" t="n">
        <v>1</v>
      </c>
      <c r="K918" s="0" t="n">
        <v>1</v>
      </c>
      <c r="L918" s="0" t="n">
        <v>1</v>
      </c>
      <c r="M918" s="0" t="n">
        <v>0</v>
      </c>
      <c r="N918" s="0" t="str">
        <f aca="false">IF(OR(NOT(OR(J918=0,J918=1)),NOT(OR(K918=0,K918=1)),NOT(OR(L918=0,L918=1)),NOT(OR(M918=0,M918=1)),NOT(OR(U918=0,U918=1))),"Yes","No")</f>
        <v>No</v>
      </c>
      <c r="O918" s="0" t="str">
        <f aca="false">IF(OR(AND(M918=1,L918=0),AND(L918=1,K918=0),AND(K918=1,J918=0)),"Yes","No")</f>
        <v>No</v>
      </c>
      <c r="P918" s="0" t="n">
        <v>0</v>
      </c>
      <c r="Q918" s="0" t="str">
        <f aca="false">IF(OR(AND(M918=0,P918&gt;0),AND(M918=1,P918&lt;=0)),"Yes","No")</f>
        <v>No</v>
      </c>
      <c r="R918" s="0" t="str">
        <f aca="false">IF(AND(M918=1,P918&gt;calc_helpers!$B$5),"Yes","No")</f>
        <v>No</v>
      </c>
      <c r="S918" s="0" t="n">
        <v>0</v>
      </c>
      <c r="T918" s="0" t="str">
        <f aca="false">IF(S918&gt;0,"Yes","No")</f>
        <v>No</v>
      </c>
      <c r="U918" s="0" t="n">
        <v>0</v>
      </c>
      <c r="W918" s="0" t="str">
        <f aca="false">IF(OR(AND(M918=1,ISBLANK(V918)),AND(M918=0,NOT(ISBLANK(V918)))),"Yes","No")</f>
        <v>No</v>
      </c>
      <c r="X918" s="0" t="n">
        <v>70.6</v>
      </c>
      <c r="Y918" s="3" t="s">
        <v>30</v>
      </c>
      <c r="Z918" s="0" t="str">
        <f aca="false">IF(M918=1,P918,"")</f>
        <v/>
      </c>
    </row>
    <row r="919" customFormat="false" ht="15" hidden="false" customHeight="false" outlineLevel="0" collapsed="false">
      <c r="A919" s="0" t="s">
        <v>963</v>
      </c>
      <c r="B919" s="2" t="n">
        <v>45705</v>
      </c>
      <c r="C919" s="3" t="s">
        <v>736</v>
      </c>
      <c r="D919" s="3" t="s">
        <v>43</v>
      </c>
      <c r="E919" s="3" t="s">
        <v>29</v>
      </c>
      <c r="F919" s="3" t="s">
        <v>30</v>
      </c>
      <c r="G919" s="3" t="s">
        <v>36</v>
      </c>
      <c r="H919" s="3" t="s">
        <v>30</v>
      </c>
      <c r="I919" s="3" t="s">
        <v>32</v>
      </c>
      <c r="J919" s="0" t="n">
        <v>0</v>
      </c>
      <c r="K919" s="0" t="n">
        <v>0</v>
      </c>
      <c r="L919" s="0" t="n">
        <v>0</v>
      </c>
      <c r="M919" s="0" t="n">
        <v>0</v>
      </c>
      <c r="N919" s="0" t="str">
        <f aca="false">IF(OR(NOT(OR(J919=0,J919=1)),NOT(OR(K919=0,K919=1)),NOT(OR(L919=0,L919=1)),NOT(OR(M919=0,M919=1)),NOT(OR(U919=0,U919=1))),"Yes","No")</f>
        <v>No</v>
      </c>
      <c r="O919" s="0" t="str">
        <f aca="false">IF(OR(AND(M919=1,L919=0),AND(L919=1,K919=0),AND(K919=1,J919=0)),"Yes","No")</f>
        <v>No</v>
      </c>
      <c r="P919" s="0" t="n">
        <v>0</v>
      </c>
      <c r="Q919" s="0" t="str">
        <f aca="false">IF(OR(AND(M919=0,P919&gt;0),AND(M919=1,P919&lt;=0)),"Yes","No")</f>
        <v>No</v>
      </c>
      <c r="R919" s="0" t="str">
        <f aca="false">IF(AND(M919=1,P919&gt;calc_helpers!$B$5),"Yes","No")</f>
        <v>No</v>
      </c>
      <c r="S919" s="0" t="n">
        <v>0</v>
      </c>
      <c r="T919" s="0" t="str">
        <f aca="false">IF(S919&gt;0,"Yes","No")</f>
        <v>No</v>
      </c>
      <c r="U919" s="0" t="n">
        <v>0</v>
      </c>
      <c r="W919" s="0" t="str">
        <f aca="false">IF(OR(AND(M919=1,ISBLANK(V919)),AND(M919=0,NOT(ISBLANK(V919)))),"Yes","No")</f>
        <v>No</v>
      </c>
      <c r="X919" s="0" t="n">
        <v>58.4</v>
      </c>
      <c r="Y919" s="3" t="s">
        <v>30</v>
      </c>
      <c r="Z919" s="0" t="str">
        <f aca="false">IF(M919=1,P919,"")</f>
        <v/>
      </c>
    </row>
    <row r="920" customFormat="false" ht="15" hidden="false" customHeight="false" outlineLevel="0" collapsed="false">
      <c r="A920" s="0" t="s">
        <v>964</v>
      </c>
      <c r="B920" s="2" t="n">
        <v>45798</v>
      </c>
      <c r="C920" s="3" t="s">
        <v>736</v>
      </c>
      <c r="D920" s="3" t="s">
        <v>39</v>
      </c>
      <c r="E920" s="3" t="s">
        <v>35</v>
      </c>
      <c r="F920" s="3" t="s">
        <v>30</v>
      </c>
      <c r="G920" s="3" t="s">
        <v>36</v>
      </c>
      <c r="H920" s="3" t="s">
        <v>30</v>
      </c>
      <c r="I920" s="3" t="s">
        <v>32</v>
      </c>
      <c r="J920" s="0" t="n">
        <v>1</v>
      </c>
      <c r="K920" s="0" t="n">
        <v>0</v>
      </c>
      <c r="L920" s="0" t="n">
        <v>0</v>
      </c>
      <c r="M920" s="0" t="n">
        <v>0</v>
      </c>
      <c r="N920" s="0" t="str">
        <f aca="false">IF(OR(NOT(OR(J920=0,J920=1)),NOT(OR(K920=0,K920=1)),NOT(OR(L920=0,L920=1)),NOT(OR(M920=0,M920=1)),NOT(OR(U920=0,U920=1))),"Yes","No")</f>
        <v>No</v>
      </c>
      <c r="O920" s="0" t="str">
        <f aca="false">IF(OR(AND(M920=1,L920=0),AND(L920=1,K920=0),AND(K920=1,J920=0)),"Yes","No")</f>
        <v>No</v>
      </c>
      <c r="P920" s="0" t="n">
        <v>0</v>
      </c>
      <c r="Q920" s="0" t="str">
        <f aca="false">IF(OR(AND(M920=0,P920&gt;0),AND(M920=1,P920&lt;=0)),"Yes","No")</f>
        <v>No</v>
      </c>
      <c r="R920" s="0" t="str">
        <f aca="false">IF(AND(M920=1,P920&gt;calc_helpers!$B$5),"Yes","No")</f>
        <v>No</v>
      </c>
      <c r="S920" s="0" t="n">
        <v>0</v>
      </c>
      <c r="T920" s="0" t="str">
        <f aca="false">IF(S920&gt;0,"Yes","No")</f>
        <v>No</v>
      </c>
      <c r="U920" s="0" t="n">
        <v>0</v>
      </c>
      <c r="W920" s="0" t="str">
        <f aca="false">IF(OR(AND(M920=1,ISBLANK(V920)),AND(M920=0,NOT(ISBLANK(V920)))),"Yes","No")</f>
        <v>No</v>
      </c>
      <c r="X920" s="0" t="n">
        <v>56.6</v>
      </c>
      <c r="Y920" s="3" t="s">
        <v>30</v>
      </c>
      <c r="Z920" s="0" t="str">
        <f aca="false">IF(M920=1,P920,"")</f>
        <v/>
      </c>
    </row>
    <row r="921" customFormat="false" ht="15" hidden="false" customHeight="false" outlineLevel="0" collapsed="false">
      <c r="A921" s="0" t="s">
        <v>965</v>
      </c>
      <c r="B921" s="2" t="n">
        <v>45687</v>
      </c>
      <c r="C921" s="3" t="s">
        <v>736</v>
      </c>
      <c r="D921" s="3" t="s">
        <v>43</v>
      </c>
      <c r="E921" s="3" t="s">
        <v>35</v>
      </c>
      <c r="F921" s="3" t="s">
        <v>30</v>
      </c>
      <c r="G921" s="3" t="s">
        <v>36</v>
      </c>
      <c r="H921" s="3" t="s">
        <v>30</v>
      </c>
      <c r="I921" s="3" t="s">
        <v>37</v>
      </c>
      <c r="J921" s="0" t="n">
        <v>1</v>
      </c>
      <c r="K921" s="0" t="n">
        <v>0</v>
      </c>
      <c r="L921" s="0" t="n">
        <v>0</v>
      </c>
      <c r="M921" s="0" t="n">
        <v>0</v>
      </c>
      <c r="N921" s="0" t="str">
        <f aca="false">IF(OR(NOT(OR(J921=0,J921=1)),NOT(OR(K921=0,K921=1)),NOT(OR(L921=0,L921=1)),NOT(OR(M921=0,M921=1)),NOT(OR(U921=0,U921=1))),"Yes","No")</f>
        <v>No</v>
      </c>
      <c r="O921" s="0" t="str">
        <f aca="false">IF(OR(AND(M921=1,L921=0),AND(L921=1,K921=0),AND(K921=1,J921=0)),"Yes","No")</f>
        <v>No</v>
      </c>
      <c r="P921" s="0" t="n">
        <v>0</v>
      </c>
      <c r="Q921" s="0" t="str">
        <f aca="false">IF(OR(AND(M921=0,P921&gt;0),AND(M921=1,P921&lt;=0)),"Yes","No")</f>
        <v>No</v>
      </c>
      <c r="R921" s="0" t="str">
        <f aca="false">IF(AND(M921=1,P921&gt;calc_helpers!$B$5),"Yes","No")</f>
        <v>No</v>
      </c>
      <c r="S921" s="0" t="n">
        <v>0</v>
      </c>
      <c r="T921" s="0" t="str">
        <f aca="false">IF(S921&gt;0,"Yes","No")</f>
        <v>No</v>
      </c>
      <c r="U921" s="0" t="n">
        <v>0</v>
      </c>
      <c r="W921" s="0" t="str">
        <f aca="false">IF(OR(AND(M921=1,ISBLANK(V921)),AND(M921=0,NOT(ISBLANK(V921)))),"Yes","No")</f>
        <v>No</v>
      </c>
      <c r="X921" s="0" t="n">
        <v>61.8</v>
      </c>
      <c r="Y921" s="3" t="s">
        <v>30</v>
      </c>
      <c r="Z921" s="0" t="str">
        <f aca="false">IF(M921=1,P921,"")</f>
        <v/>
      </c>
    </row>
    <row r="922" customFormat="false" ht="15" hidden="false" customHeight="false" outlineLevel="0" collapsed="false">
      <c r="A922" s="0" t="s">
        <v>966</v>
      </c>
      <c r="B922" s="2" t="n">
        <v>45736</v>
      </c>
      <c r="C922" s="3" t="s">
        <v>736</v>
      </c>
      <c r="D922" s="3" t="s">
        <v>34</v>
      </c>
      <c r="E922" s="3" t="s">
        <v>35</v>
      </c>
      <c r="F922" s="3" t="s">
        <v>30</v>
      </c>
      <c r="G922" s="3" t="s">
        <v>31</v>
      </c>
      <c r="H922" s="3" t="s">
        <v>30</v>
      </c>
      <c r="I922" s="3" t="s">
        <v>37</v>
      </c>
      <c r="J922" s="0" t="n">
        <v>1</v>
      </c>
      <c r="K922" s="0" t="n">
        <v>1</v>
      </c>
      <c r="L922" s="0" t="n">
        <v>1</v>
      </c>
      <c r="M922" s="0" t="n">
        <v>1</v>
      </c>
      <c r="N922" s="0" t="str">
        <f aca="false">IF(OR(NOT(OR(J922=0,J922=1)),NOT(OR(K922=0,K922=1)),NOT(OR(L922=0,L922=1)),NOT(OR(M922=0,M922=1)),NOT(OR(U922=0,U922=1))),"Yes","No")</f>
        <v>No</v>
      </c>
      <c r="O922" s="0" t="str">
        <f aca="false">IF(OR(AND(M922=1,L922=0),AND(L922=1,K922=0),AND(K922=1,J922=0)),"Yes","No")</f>
        <v>No</v>
      </c>
      <c r="P922" s="0" t="n">
        <v>513.52</v>
      </c>
      <c r="Q922" s="0" t="str">
        <f aca="false">IF(OR(AND(M922=0,P922&gt;0),AND(M922=1,P922&lt;=0)),"Yes","No")</f>
        <v>No</v>
      </c>
      <c r="R922" s="0" t="str">
        <f aca="false">IF(AND(M922=1,P922&gt;calc_helpers!$B$5),"Yes","No")</f>
        <v>No</v>
      </c>
      <c r="S922" s="0" t="n">
        <v>0</v>
      </c>
      <c r="T922" s="0" t="str">
        <f aca="false">IF(S922&gt;0,"Yes","No")</f>
        <v>No</v>
      </c>
      <c r="U922" s="0" t="n">
        <v>0</v>
      </c>
      <c r="V922" s="0" t="n">
        <v>8</v>
      </c>
      <c r="W922" s="0" t="str">
        <f aca="false">IF(OR(AND(M922=1,ISBLANK(V922)),AND(M922=0,NOT(ISBLANK(V922)))),"Yes","No")</f>
        <v>No</v>
      </c>
      <c r="X922" s="0" t="n">
        <v>43.4</v>
      </c>
      <c r="Y922" s="3" t="s">
        <v>30</v>
      </c>
      <c r="Z922" s="3" t="n">
        <f aca="false">IF(M922=1,P922,"")</f>
        <v>513.52</v>
      </c>
    </row>
    <row r="923" customFormat="false" ht="15" hidden="false" customHeight="false" outlineLevel="0" collapsed="false">
      <c r="A923" s="0" t="s">
        <v>967</v>
      </c>
      <c r="B923" s="2" t="n">
        <v>45757</v>
      </c>
      <c r="C923" s="3" t="s">
        <v>736</v>
      </c>
      <c r="D923" s="3" t="s">
        <v>34</v>
      </c>
      <c r="E923" s="3" t="s">
        <v>45</v>
      </c>
      <c r="F923" s="3" t="s">
        <v>30</v>
      </c>
      <c r="G923" s="3" t="s">
        <v>40</v>
      </c>
      <c r="H923" s="3" t="s">
        <v>30</v>
      </c>
      <c r="I923" s="3" t="s">
        <v>37</v>
      </c>
      <c r="J923" s="0" t="n">
        <v>0</v>
      </c>
      <c r="K923" s="0" t="n">
        <v>0</v>
      </c>
      <c r="L923" s="0" t="n">
        <v>0</v>
      </c>
      <c r="M923" s="0" t="n">
        <v>0</v>
      </c>
      <c r="N923" s="0" t="str">
        <f aca="false">IF(OR(NOT(OR(J923=0,J923=1)),NOT(OR(K923=0,K923=1)),NOT(OR(L923=0,L923=1)),NOT(OR(M923=0,M923=1)),NOT(OR(U923=0,U923=1))),"Yes","No")</f>
        <v>No</v>
      </c>
      <c r="O923" s="0" t="str">
        <f aca="false">IF(OR(AND(M923=1,L923=0),AND(L923=1,K923=0),AND(K923=1,J923=0)),"Yes","No")</f>
        <v>No</v>
      </c>
      <c r="P923" s="0" t="n">
        <v>0</v>
      </c>
      <c r="Q923" s="0" t="str">
        <f aca="false">IF(OR(AND(M923=0,P923&gt;0),AND(M923=1,P923&lt;=0)),"Yes","No")</f>
        <v>No</v>
      </c>
      <c r="R923" s="0" t="str">
        <f aca="false">IF(AND(M923=1,P923&gt;calc_helpers!$B$5),"Yes","No")</f>
        <v>No</v>
      </c>
      <c r="S923" s="0" t="n">
        <v>0</v>
      </c>
      <c r="T923" s="0" t="str">
        <f aca="false">IF(S923&gt;0,"Yes","No")</f>
        <v>No</v>
      </c>
      <c r="U923" s="0" t="n">
        <v>0</v>
      </c>
      <c r="W923" s="0" t="str">
        <f aca="false">IF(OR(AND(M923=1,ISBLANK(V923)),AND(M923=0,NOT(ISBLANK(V923)))),"Yes","No")</f>
        <v>No</v>
      </c>
      <c r="X923" s="0" t="n">
        <v>43</v>
      </c>
      <c r="Y923" s="3" t="s">
        <v>30</v>
      </c>
      <c r="Z923" s="0" t="str">
        <f aca="false">IF(M923=1,P923,"")</f>
        <v/>
      </c>
    </row>
    <row r="924" customFormat="false" ht="15" hidden="false" customHeight="false" outlineLevel="0" collapsed="false">
      <c r="A924" s="0" t="s">
        <v>968</v>
      </c>
      <c r="B924" s="2" t="n">
        <v>45723</v>
      </c>
      <c r="C924" s="3" t="s">
        <v>736</v>
      </c>
      <c r="D924" s="3" t="s">
        <v>28</v>
      </c>
      <c r="E924" s="3" t="s">
        <v>29</v>
      </c>
      <c r="F924" s="3" t="s">
        <v>30</v>
      </c>
      <c r="G924" s="3" t="s">
        <v>36</v>
      </c>
      <c r="H924" s="3" t="s">
        <v>30</v>
      </c>
      <c r="I924" s="3" t="s">
        <v>37</v>
      </c>
      <c r="J924" s="0" t="n">
        <v>1</v>
      </c>
      <c r="K924" s="0" t="n">
        <v>1</v>
      </c>
      <c r="L924" s="0" t="n">
        <v>1</v>
      </c>
      <c r="M924" s="0" t="n">
        <v>0</v>
      </c>
      <c r="N924" s="0" t="str">
        <f aca="false">IF(OR(NOT(OR(J924=0,J924=1)),NOT(OR(K924=0,K924=1)),NOT(OR(L924=0,L924=1)),NOT(OR(M924=0,M924=1)),NOT(OR(U924=0,U924=1))),"Yes","No")</f>
        <v>No</v>
      </c>
      <c r="O924" s="0" t="str">
        <f aca="false">IF(OR(AND(M924=1,L924=0),AND(L924=1,K924=0),AND(K924=1,J924=0)),"Yes","No")</f>
        <v>No</v>
      </c>
      <c r="P924" s="0" t="n">
        <v>0</v>
      </c>
      <c r="Q924" s="0" t="str">
        <f aca="false">IF(OR(AND(M924=0,P924&gt;0),AND(M924=1,P924&lt;=0)),"Yes","No")</f>
        <v>No</v>
      </c>
      <c r="R924" s="0" t="str">
        <f aca="false">IF(AND(M924=1,P924&gt;calc_helpers!$B$5),"Yes","No")</f>
        <v>No</v>
      </c>
      <c r="S924" s="0" t="n">
        <v>0</v>
      </c>
      <c r="T924" s="0" t="str">
        <f aca="false">IF(S924&gt;0,"Yes","No")</f>
        <v>No</v>
      </c>
      <c r="U924" s="0" t="n">
        <v>0</v>
      </c>
      <c r="W924" s="0" t="str">
        <f aca="false">IF(OR(AND(M924=1,ISBLANK(V924)),AND(M924=0,NOT(ISBLANK(V924)))),"Yes","No")</f>
        <v>No</v>
      </c>
      <c r="X924" s="0" t="n">
        <v>51.1</v>
      </c>
      <c r="Y924" s="3" t="s">
        <v>30</v>
      </c>
      <c r="Z924" s="0" t="str">
        <f aca="false">IF(M924=1,P924,"")</f>
        <v/>
      </c>
    </row>
    <row r="925" customFormat="false" ht="15" hidden="false" customHeight="false" outlineLevel="0" collapsed="false">
      <c r="A925" s="0" t="s">
        <v>969</v>
      </c>
      <c r="B925" s="2" t="n">
        <v>45728</v>
      </c>
      <c r="C925" s="3" t="s">
        <v>736</v>
      </c>
      <c r="D925" s="3" t="s">
        <v>34</v>
      </c>
      <c r="E925" s="3" t="s">
        <v>35</v>
      </c>
      <c r="F925" s="3" t="s">
        <v>30</v>
      </c>
      <c r="G925" s="3" t="s">
        <v>31</v>
      </c>
      <c r="H925" s="3" t="s">
        <v>30</v>
      </c>
      <c r="I925" s="3" t="s">
        <v>32</v>
      </c>
      <c r="J925" s="0" t="n">
        <v>1</v>
      </c>
      <c r="K925" s="0" t="n">
        <v>0</v>
      </c>
      <c r="L925" s="0" t="n">
        <v>0</v>
      </c>
      <c r="M925" s="0" t="n">
        <v>0</v>
      </c>
      <c r="N925" s="0" t="str">
        <f aca="false">IF(OR(NOT(OR(J925=0,J925=1)),NOT(OR(K925=0,K925=1)),NOT(OR(L925=0,L925=1)),NOT(OR(M925=0,M925=1)),NOT(OR(U925=0,U925=1))),"Yes","No")</f>
        <v>No</v>
      </c>
      <c r="O925" s="0" t="str">
        <f aca="false">IF(OR(AND(M925=1,L925=0),AND(L925=1,K925=0),AND(K925=1,J925=0)),"Yes","No")</f>
        <v>No</v>
      </c>
      <c r="P925" s="0" t="n">
        <v>0</v>
      </c>
      <c r="Q925" s="0" t="str">
        <f aca="false">IF(OR(AND(M925=0,P925&gt;0),AND(M925=1,P925&lt;=0)),"Yes","No")</f>
        <v>No</v>
      </c>
      <c r="R925" s="0" t="str">
        <f aca="false">IF(AND(M925=1,P925&gt;calc_helpers!$B$5),"Yes","No")</f>
        <v>No</v>
      </c>
      <c r="S925" s="0" t="n">
        <v>0</v>
      </c>
      <c r="T925" s="0" t="str">
        <f aca="false">IF(S925&gt;0,"Yes","No")</f>
        <v>No</v>
      </c>
      <c r="U925" s="0" t="n">
        <v>0</v>
      </c>
      <c r="W925" s="0" t="str">
        <f aca="false">IF(OR(AND(M925=1,ISBLANK(V925)),AND(M925=0,NOT(ISBLANK(V925)))),"Yes","No")</f>
        <v>No</v>
      </c>
      <c r="X925" s="0" t="n">
        <v>48.8</v>
      </c>
      <c r="Y925" s="3" t="s">
        <v>30</v>
      </c>
      <c r="Z925" s="0" t="str">
        <f aca="false">IF(M925=1,P925,"")</f>
        <v/>
      </c>
    </row>
    <row r="926" customFormat="false" ht="15" hidden="false" customHeight="false" outlineLevel="0" collapsed="false">
      <c r="A926" s="0" t="s">
        <v>970</v>
      </c>
      <c r="B926" s="2" t="n">
        <v>45712</v>
      </c>
      <c r="C926" s="3" t="s">
        <v>736</v>
      </c>
      <c r="D926" s="3" t="s">
        <v>39</v>
      </c>
      <c r="E926" s="3" t="s">
        <v>35</v>
      </c>
      <c r="F926" s="3" t="s">
        <v>30</v>
      </c>
      <c r="G926" s="3" t="s">
        <v>50</v>
      </c>
      <c r="H926" s="3" t="s">
        <v>30</v>
      </c>
      <c r="I926" s="3" t="s">
        <v>37</v>
      </c>
      <c r="J926" s="0" t="n">
        <v>0</v>
      </c>
      <c r="K926" s="0" t="n">
        <v>0</v>
      </c>
      <c r="L926" s="0" t="n">
        <v>0</v>
      </c>
      <c r="M926" s="0" t="n">
        <v>0</v>
      </c>
      <c r="N926" s="0" t="str">
        <f aca="false">IF(OR(NOT(OR(J926=0,J926=1)),NOT(OR(K926=0,K926=1)),NOT(OR(L926=0,L926=1)),NOT(OR(M926=0,M926=1)),NOT(OR(U926=0,U926=1))),"Yes","No")</f>
        <v>No</v>
      </c>
      <c r="O926" s="0" t="str">
        <f aca="false">IF(OR(AND(M926=1,L926=0),AND(L926=1,K926=0),AND(K926=1,J926=0)),"Yes","No")</f>
        <v>No</v>
      </c>
      <c r="P926" s="0" t="n">
        <v>0</v>
      </c>
      <c r="Q926" s="0" t="str">
        <f aca="false">IF(OR(AND(M926=0,P926&gt;0),AND(M926=1,P926&lt;=0)),"Yes","No")</f>
        <v>No</v>
      </c>
      <c r="R926" s="0" t="str">
        <f aca="false">IF(AND(M926=1,P926&gt;calc_helpers!$B$5),"Yes","No")</f>
        <v>No</v>
      </c>
      <c r="S926" s="0" t="n">
        <v>0</v>
      </c>
      <c r="T926" s="0" t="str">
        <f aca="false">IF(S926&gt;0,"Yes","No")</f>
        <v>No</v>
      </c>
      <c r="U926" s="0" t="n">
        <v>0</v>
      </c>
      <c r="W926" s="0" t="str">
        <f aca="false">IF(OR(AND(M926=1,ISBLANK(V926)),AND(M926=0,NOT(ISBLANK(V926)))),"Yes","No")</f>
        <v>No</v>
      </c>
      <c r="X926" s="0" t="n">
        <v>73.2</v>
      </c>
      <c r="Y926" s="3" t="s">
        <v>30</v>
      </c>
      <c r="Z926" s="0" t="str">
        <f aca="false">IF(M926=1,P926,"")</f>
        <v/>
      </c>
    </row>
    <row r="927" customFormat="false" ht="15" hidden="false" customHeight="false" outlineLevel="0" collapsed="false">
      <c r="A927" s="0" t="s">
        <v>971</v>
      </c>
      <c r="B927" s="2" t="n">
        <v>45672</v>
      </c>
      <c r="C927" s="3" t="s">
        <v>736</v>
      </c>
      <c r="D927" s="3" t="s">
        <v>39</v>
      </c>
      <c r="E927" s="3" t="s">
        <v>35</v>
      </c>
      <c r="F927" s="3" t="s">
        <v>30</v>
      </c>
      <c r="G927" s="3" t="s">
        <v>50</v>
      </c>
      <c r="H927" s="3" t="s">
        <v>30</v>
      </c>
      <c r="I927" s="3" t="s">
        <v>37</v>
      </c>
      <c r="J927" s="0" t="n">
        <v>1</v>
      </c>
      <c r="K927" s="0" t="n">
        <v>1</v>
      </c>
      <c r="L927" s="0" t="n">
        <v>1</v>
      </c>
      <c r="M927" s="0" t="n">
        <v>0</v>
      </c>
      <c r="N927" s="0" t="str">
        <f aca="false">IF(OR(NOT(OR(J927=0,J927=1)),NOT(OR(K927=0,K927=1)),NOT(OR(L927=0,L927=1)),NOT(OR(M927=0,M927=1)),NOT(OR(U927=0,U927=1))),"Yes","No")</f>
        <v>No</v>
      </c>
      <c r="O927" s="0" t="str">
        <f aca="false">IF(OR(AND(M927=1,L927=0),AND(L927=1,K927=0),AND(K927=1,J927=0)),"Yes","No")</f>
        <v>No</v>
      </c>
      <c r="P927" s="0" t="n">
        <v>0</v>
      </c>
      <c r="Q927" s="0" t="str">
        <f aca="false">IF(OR(AND(M927=0,P927&gt;0),AND(M927=1,P927&lt;=0)),"Yes","No")</f>
        <v>No</v>
      </c>
      <c r="R927" s="0" t="str">
        <f aca="false">IF(AND(M927=1,P927&gt;calc_helpers!$B$5),"Yes","No")</f>
        <v>No</v>
      </c>
      <c r="S927" s="0" t="n">
        <v>0</v>
      </c>
      <c r="T927" s="0" t="str">
        <f aca="false">IF(S927&gt;0,"Yes","No")</f>
        <v>No</v>
      </c>
      <c r="U927" s="0" t="n">
        <v>0</v>
      </c>
      <c r="W927" s="0" t="str">
        <f aca="false">IF(OR(AND(M927=1,ISBLANK(V927)),AND(M927=0,NOT(ISBLANK(V927)))),"Yes","No")</f>
        <v>No</v>
      </c>
      <c r="X927" s="0" t="n">
        <v>80</v>
      </c>
      <c r="Y927" s="3" t="s">
        <v>30</v>
      </c>
      <c r="Z927" s="0" t="str">
        <f aca="false">IF(M927=1,P927,"")</f>
        <v/>
      </c>
    </row>
    <row r="928" customFormat="false" ht="15" hidden="false" customHeight="false" outlineLevel="0" collapsed="false">
      <c r="A928" s="0" t="s">
        <v>972</v>
      </c>
      <c r="B928" s="2" t="n">
        <v>45664</v>
      </c>
      <c r="C928" s="3" t="s">
        <v>736</v>
      </c>
      <c r="D928" s="3" t="s">
        <v>28</v>
      </c>
      <c r="E928" s="3" t="s">
        <v>29</v>
      </c>
      <c r="F928" s="3" t="s">
        <v>30</v>
      </c>
      <c r="G928" s="3" t="s">
        <v>40</v>
      </c>
      <c r="H928" s="3" t="s">
        <v>30</v>
      </c>
      <c r="I928" s="3" t="s">
        <v>37</v>
      </c>
      <c r="J928" s="0" t="n">
        <v>1</v>
      </c>
      <c r="K928" s="0" t="n">
        <v>0</v>
      </c>
      <c r="L928" s="0" t="n">
        <v>0</v>
      </c>
      <c r="M928" s="0" t="n">
        <v>0</v>
      </c>
      <c r="N928" s="0" t="str">
        <f aca="false">IF(OR(NOT(OR(J928=0,J928=1)),NOT(OR(K928=0,K928=1)),NOT(OR(L928=0,L928=1)),NOT(OR(M928=0,M928=1)),NOT(OR(U928=0,U928=1))),"Yes","No")</f>
        <v>No</v>
      </c>
      <c r="O928" s="0" t="str">
        <f aca="false">IF(OR(AND(M928=1,L928=0),AND(L928=1,K928=0),AND(K928=1,J928=0)),"Yes","No")</f>
        <v>No</v>
      </c>
      <c r="P928" s="0" t="n">
        <v>0</v>
      </c>
      <c r="Q928" s="0" t="str">
        <f aca="false">IF(OR(AND(M928=0,P928&gt;0),AND(M928=1,P928&lt;=0)),"Yes","No")</f>
        <v>No</v>
      </c>
      <c r="R928" s="0" t="str">
        <f aca="false">IF(AND(M928=1,P928&gt;calc_helpers!$B$5),"Yes","No")</f>
        <v>No</v>
      </c>
      <c r="S928" s="0" t="n">
        <v>0</v>
      </c>
      <c r="T928" s="0" t="str">
        <f aca="false">IF(S928&gt;0,"Yes","No")</f>
        <v>No</v>
      </c>
      <c r="U928" s="0" t="n">
        <v>0</v>
      </c>
      <c r="W928" s="0" t="str">
        <f aca="false">IF(OR(AND(M928=1,ISBLANK(V928)),AND(M928=0,NOT(ISBLANK(V928)))),"Yes","No")</f>
        <v>No</v>
      </c>
      <c r="X928" s="0" t="n">
        <v>52.3</v>
      </c>
      <c r="Y928" s="3" t="s">
        <v>30</v>
      </c>
      <c r="Z928" s="0" t="str">
        <f aca="false">IF(M928=1,P928,"")</f>
        <v/>
      </c>
    </row>
    <row r="929" customFormat="false" ht="15" hidden="false" customHeight="false" outlineLevel="0" collapsed="false">
      <c r="A929" s="0" t="s">
        <v>973</v>
      </c>
      <c r="B929" s="2" t="n">
        <v>45718</v>
      </c>
      <c r="C929" s="3" t="s">
        <v>736</v>
      </c>
      <c r="D929" s="3" t="s">
        <v>28</v>
      </c>
      <c r="E929" s="3" t="s">
        <v>29</v>
      </c>
      <c r="F929" s="3" t="s">
        <v>30</v>
      </c>
      <c r="G929" s="3" t="s">
        <v>36</v>
      </c>
      <c r="H929" s="3" t="s">
        <v>30</v>
      </c>
      <c r="I929" s="3" t="s">
        <v>37</v>
      </c>
      <c r="J929" s="0" t="n">
        <v>0</v>
      </c>
      <c r="K929" s="0" t="n">
        <v>0</v>
      </c>
      <c r="L929" s="0" t="n">
        <v>0</v>
      </c>
      <c r="M929" s="0" t="n">
        <v>0</v>
      </c>
      <c r="N929" s="0" t="str">
        <f aca="false">IF(OR(NOT(OR(J929=0,J929=1)),NOT(OR(K929=0,K929=1)),NOT(OR(L929=0,L929=1)),NOT(OR(M929=0,M929=1)),NOT(OR(U929=0,U929=1))),"Yes","No")</f>
        <v>No</v>
      </c>
      <c r="O929" s="0" t="str">
        <f aca="false">IF(OR(AND(M929=1,L929=0),AND(L929=1,K929=0),AND(K929=1,J929=0)),"Yes","No")</f>
        <v>No</v>
      </c>
      <c r="P929" s="0" t="n">
        <v>0</v>
      </c>
      <c r="Q929" s="0" t="str">
        <f aca="false">IF(OR(AND(M929=0,P929&gt;0),AND(M929=1,P929&lt;=0)),"Yes","No")</f>
        <v>No</v>
      </c>
      <c r="R929" s="0" t="str">
        <f aca="false">IF(AND(M929=1,P929&gt;calc_helpers!$B$5),"Yes","No")</f>
        <v>No</v>
      </c>
      <c r="S929" s="0" t="n">
        <v>0</v>
      </c>
      <c r="T929" s="0" t="str">
        <f aca="false">IF(S929&gt;0,"Yes","No")</f>
        <v>No</v>
      </c>
      <c r="U929" s="0" t="n">
        <v>0</v>
      </c>
      <c r="W929" s="0" t="str">
        <f aca="false">IF(OR(AND(M929=1,ISBLANK(V929)),AND(M929=0,NOT(ISBLANK(V929)))),"Yes","No")</f>
        <v>No</v>
      </c>
      <c r="X929" s="0" t="n">
        <v>49.1</v>
      </c>
      <c r="Y929" s="3" t="s">
        <v>30</v>
      </c>
      <c r="Z929" s="0" t="str">
        <f aca="false">IF(M929=1,P929,"")</f>
        <v/>
      </c>
    </row>
    <row r="930" customFormat="false" ht="15" hidden="false" customHeight="false" outlineLevel="0" collapsed="false">
      <c r="A930" s="0" t="s">
        <v>974</v>
      </c>
      <c r="B930" s="2" t="n">
        <v>45662</v>
      </c>
      <c r="C930" s="3" t="s">
        <v>736</v>
      </c>
      <c r="D930" s="3" t="s">
        <v>43</v>
      </c>
      <c r="E930" s="3" t="s">
        <v>29</v>
      </c>
      <c r="F930" s="3" t="s">
        <v>30</v>
      </c>
      <c r="G930" s="3" t="s">
        <v>50</v>
      </c>
      <c r="H930" s="3" t="s">
        <v>30</v>
      </c>
      <c r="I930" s="3" t="s">
        <v>32</v>
      </c>
      <c r="J930" s="0" t="n">
        <v>0</v>
      </c>
      <c r="K930" s="0" t="n">
        <v>0</v>
      </c>
      <c r="L930" s="0" t="n">
        <v>0</v>
      </c>
      <c r="M930" s="0" t="n">
        <v>0</v>
      </c>
      <c r="N930" s="0" t="str">
        <f aca="false">IF(OR(NOT(OR(J930=0,J930=1)),NOT(OR(K930=0,K930=1)),NOT(OR(L930=0,L930=1)),NOT(OR(M930=0,M930=1)),NOT(OR(U930=0,U930=1))),"Yes","No")</f>
        <v>No</v>
      </c>
      <c r="O930" s="0" t="str">
        <f aca="false">IF(OR(AND(M930=1,L930=0),AND(L930=1,K930=0),AND(K930=1,J930=0)),"Yes","No")</f>
        <v>No</v>
      </c>
      <c r="P930" s="0" t="n">
        <v>0</v>
      </c>
      <c r="Q930" s="0" t="str">
        <f aca="false">IF(OR(AND(M930=0,P930&gt;0),AND(M930=1,P930&lt;=0)),"Yes","No")</f>
        <v>No</v>
      </c>
      <c r="R930" s="0" t="str">
        <f aca="false">IF(AND(M930=1,P930&gt;calc_helpers!$B$5),"Yes","No")</f>
        <v>No</v>
      </c>
      <c r="S930" s="0" t="n">
        <v>0</v>
      </c>
      <c r="T930" s="0" t="str">
        <f aca="false">IF(S930&gt;0,"Yes","No")</f>
        <v>No</v>
      </c>
      <c r="U930" s="0" t="n">
        <v>0</v>
      </c>
      <c r="W930" s="0" t="str">
        <f aca="false">IF(OR(AND(M930=1,ISBLANK(V930)),AND(M930=0,NOT(ISBLANK(V930)))),"Yes","No")</f>
        <v>No</v>
      </c>
      <c r="X930" s="0" t="n">
        <v>45.3</v>
      </c>
      <c r="Y930" s="3" t="s">
        <v>30</v>
      </c>
      <c r="Z930" s="0" t="str">
        <f aca="false">IF(M930=1,P930,"")</f>
        <v/>
      </c>
    </row>
    <row r="931" customFormat="false" ht="15" hidden="false" customHeight="false" outlineLevel="0" collapsed="false">
      <c r="A931" s="0" t="s">
        <v>975</v>
      </c>
      <c r="B931" s="2" t="n">
        <v>45719</v>
      </c>
      <c r="C931" s="3" t="s">
        <v>736</v>
      </c>
      <c r="D931" s="3" t="s">
        <v>43</v>
      </c>
      <c r="E931" s="3" t="s">
        <v>35</v>
      </c>
      <c r="F931" s="3" t="s">
        <v>30</v>
      </c>
      <c r="G931" s="3" t="s">
        <v>36</v>
      </c>
      <c r="H931" s="3" t="s">
        <v>30</v>
      </c>
      <c r="I931" s="3" t="s">
        <v>37</v>
      </c>
      <c r="J931" s="0" t="n">
        <v>1</v>
      </c>
      <c r="K931" s="0" t="n">
        <v>1</v>
      </c>
      <c r="L931" s="0" t="n">
        <v>0</v>
      </c>
      <c r="M931" s="0" t="n">
        <v>0</v>
      </c>
      <c r="N931" s="0" t="str">
        <f aca="false">IF(OR(NOT(OR(J931=0,J931=1)),NOT(OR(K931=0,K931=1)),NOT(OR(L931=0,L931=1)),NOT(OR(M931=0,M931=1)),NOT(OR(U931=0,U931=1))),"Yes","No")</f>
        <v>No</v>
      </c>
      <c r="O931" s="0" t="str">
        <f aca="false">IF(OR(AND(M931=1,L931=0),AND(L931=1,K931=0),AND(K931=1,J931=0)),"Yes","No")</f>
        <v>No</v>
      </c>
      <c r="P931" s="0" t="n">
        <v>0</v>
      </c>
      <c r="Q931" s="0" t="str">
        <f aca="false">IF(OR(AND(M931=0,P931&gt;0),AND(M931=1,P931&lt;=0)),"Yes","No")</f>
        <v>No</v>
      </c>
      <c r="R931" s="0" t="str">
        <f aca="false">IF(AND(M931=1,P931&gt;calc_helpers!$B$5),"Yes","No")</f>
        <v>No</v>
      </c>
      <c r="S931" s="0" t="n">
        <v>0</v>
      </c>
      <c r="T931" s="0" t="str">
        <f aca="false">IF(S931&gt;0,"Yes","No")</f>
        <v>No</v>
      </c>
      <c r="U931" s="0" t="n">
        <v>0</v>
      </c>
      <c r="W931" s="0" t="str">
        <f aca="false">IF(OR(AND(M931=1,ISBLANK(V931)),AND(M931=0,NOT(ISBLANK(V931)))),"Yes","No")</f>
        <v>No</v>
      </c>
      <c r="X931" s="0" t="n">
        <v>49.1</v>
      </c>
      <c r="Y931" s="3" t="s">
        <v>30</v>
      </c>
      <c r="Z931" s="0" t="str">
        <f aca="false">IF(M931=1,P931,"")</f>
        <v/>
      </c>
    </row>
    <row r="932" customFormat="false" ht="15" hidden="false" customHeight="false" outlineLevel="0" collapsed="false">
      <c r="A932" s="0" t="s">
        <v>976</v>
      </c>
      <c r="B932" s="2" t="n">
        <v>45747</v>
      </c>
      <c r="C932" s="3" t="s">
        <v>736</v>
      </c>
      <c r="D932" s="3" t="s">
        <v>39</v>
      </c>
      <c r="E932" s="3" t="s">
        <v>29</v>
      </c>
      <c r="F932" s="3" t="s">
        <v>30</v>
      </c>
      <c r="G932" s="3" t="s">
        <v>50</v>
      </c>
      <c r="H932" s="3" t="s">
        <v>30</v>
      </c>
      <c r="I932" s="3" t="s">
        <v>37</v>
      </c>
      <c r="J932" s="0" t="n">
        <v>1</v>
      </c>
      <c r="K932" s="0" t="n">
        <v>1</v>
      </c>
      <c r="L932" s="0" t="n">
        <v>1</v>
      </c>
      <c r="M932" s="0" t="n">
        <v>1</v>
      </c>
      <c r="N932" s="0" t="str">
        <f aca="false">IF(OR(NOT(OR(J932=0,J932=1)),NOT(OR(K932=0,K932=1)),NOT(OR(L932=0,L932=1)),NOT(OR(M932=0,M932=1)),NOT(OR(U932=0,U932=1))),"Yes","No")</f>
        <v>No</v>
      </c>
      <c r="O932" s="0" t="str">
        <f aca="false">IF(OR(AND(M932=1,L932=0),AND(L932=1,K932=0),AND(K932=1,J932=0)),"Yes","No")</f>
        <v>No</v>
      </c>
      <c r="P932" s="0" t="n">
        <v>476.44</v>
      </c>
      <c r="Q932" s="0" t="str">
        <f aca="false">IF(OR(AND(M932=0,P932&gt;0),AND(M932=1,P932&lt;=0)),"Yes","No")</f>
        <v>No</v>
      </c>
      <c r="R932" s="0" t="str">
        <f aca="false">IF(AND(M932=1,P932&gt;calc_helpers!$B$5),"Yes","No")</f>
        <v>No</v>
      </c>
      <c r="S932" s="0" t="n">
        <v>0</v>
      </c>
      <c r="T932" s="0" t="str">
        <f aca="false">IF(S932&gt;0,"Yes","No")</f>
        <v>No</v>
      </c>
      <c r="U932" s="0" t="n">
        <v>0</v>
      </c>
      <c r="V932" s="0" t="n">
        <v>3</v>
      </c>
      <c r="W932" s="0" t="str">
        <f aca="false">IF(OR(AND(M932=1,ISBLANK(V932)),AND(M932=0,NOT(ISBLANK(V932)))),"Yes","No")</f>
        <v>No</v>
      </c>
      <c r="X932" s="0" t="n">
        <v>88.6</v>
      </c>
      <c r="Y932" s="3" t="s">
        <v>30</v>
      </c>
      <c r="Z932" s="3" t="n">
        <f aca="false">IF(M932=1,P932,"")</f>
        <v>476.44</v>
      </c>
    </row>
    <row r="933" customFormat="false" ht="15" hidden="false" customHeight="false" outlineLevel="0" collapsed="false">
      <c r="A933" s="0" t="s">
        <v>977</v>
      </c>
      <c r="B933" s="2" t="n">
        <v>45671</v>
      </c>
      <c r="C933" s="3" t="s">
        <v>736</v>
      </c>
      <c r="D933" s="3" t="s">
        <v>39</v>
      </c>
      <c r="E933" s="3" t="s">
        <v>29</v>
      </c>
      <c r="F933" s="3" t="s">
        <v>30</v>
      </c>
      <c r="G933" s="3" t="s">
        <v>40</v>
      </c>
      <c r="H933" s="3" t="s">
        <v>30</v>
      </c>
      <c r="I933" s="3" t="s">
        <v>41</v>
      </c>
      <c r="J933" s="0" t="n">
        <v>0</v>
      </c>
      <c r="K933" s="0" t="n">
        <v>0</v>
      </c>
      <c r="L933" s="0" t="n">
        <v>0</v>
      </c>
      <c r="M933" s="0" t="n">
        <v>0</v>
      </c>
      <c r="N933" s="0" t="str">
        <f aca="false">IF(OR(NOT(OR(J933=0,J933=1)),NOT(OR(K933=0,K933=1)),NOT(OR(L933=0,L933=1)),NOT(OR(M933=0,M933=1)),NOT(OR(U933=0,U933=1))),"Yes","No")</f>
        <v>No</v>
      </c>
      <c r="O933" s="0" t="str">
        <f aca="false">IF(OR(AND(M933=1,L933=0),AND(L933=1,K933=0),AND(K933=1,J933=0)),"Yes","No")</f>
        <v>No</v>
      </c>
      <c r="P933" s="0" t="n">
        <v>0</v>
      </c>
      <c r="Q933" s="0" t="str">
        <f aca="false">IF(OR(AND(M933=0,P933&gt;0),AND(M933=1,P933&lt;=0)),"Yes","No")</f>
        <v>No</v>
      </c>
      <c r="R933" s="0" t="str">
        <f aca="false">IF(AND(M933=1,P933&gt;calc_helpers!$B$5),"Yes","No")</f>
        <v>No</v>
      </c>
      <c r="S933" s="0" t="n">
        <v>1</v>
      </c>
      <c r="T933" s="0" t="str">
        <f aca="false">IF(S933&gt;0,"Yes","No")</f>
        <v>Yes</v>
      </c>
      <c r="U933" s="0" t="n">
        <v>0</v>
      </c>
      <c r="W933" s="0" t="str">
        <f aca="false">IF(OR(AND(M933=1,ISBLANK(V933)),AND(M933=0,NOT(ISBLANK(V933)))),"Yes","No")</f>
        <v>No</v>
      </c>
      <c r="X933" s="0" t="n">
        <v>54.4</v>
      </c>
      <c r="Y933" s="3" t="s">
        <v>30</v>
      </c>
      <c r="Z933" s="0" t="str">
        <f aca="false">IF(M933=1,P933,"")</f>
        <v/>
      </c>
    </row>
    <row r="934" customFormat="false" ht="15" hidden="false" customHeight="false" outlineLevel="0" collapsed="false">
      <c r="A934" s="0" t="s">
        <v>978</v>
      </c>
      <c r="B934" s="2" t="n">
        <v>45672</v>
      </c>
      <c r="C934" s="3" t="s">
        <v>736</v>
      </c>
      <c r="D934" s="3" t="s">
        <v>34</v>
      </c>
      <c r="E934" s="3" t="s">
        <v>29</v>
      </c>
      <c r="F934" s="3" t="s">
        <v>30</v>
      </c>
      <c r="G934" s="3" t="s">
        <v>40</v>
      </c>
      <c r="H934" s="3" t="s">
        <v>30</v>
      </c>
      <c r="I934" s="3" t="s">
        <v>41</v>
      </c>
      <c r="J934" s="0" t="n">
        <v>1</v>
      </c>
      <c r="K934" s="0" t="n">
        <v>0</v>
      </c>
      <c r="L934" s="0" t="n">
        <v>0</v>
      </c>
      <c r="M934" s="0" t="n">
        <v>0</v>
      </c>
      <c r="N934" s="0" t="str">
        <f aca="false">IF(OR(NOT(OR(J934=0,J934=1)),NOT(OR(K934=0,K934=1)),NOT(OR(L934=0,L934=1)),NOT(OR(M934=0,M934=1)),NOT(OR(U934=0,U934=1))),"Yes","No")</f>
        <v>No</v>
      </c>
      <c r="O934" s="0" t="str">
        <f aca="false">IF(OR(AND(M934=1,L934=0),AND(L934=1,K934=0),AND(K934=1,J934=0)),"Yes","No")</f>
        <v>No</v>
      </c>
      <c r="P934" s="0" t="n">
        <v>0</v>
      </c>
      <c r="Q934" s="0" t="str">
        <f aca="false">IF(OR(AND(M934=0,P934&gt;0),AND(M934=1,P934&lt;=0)),"Yes","No")</f>
        <v>No</v>
      </c>
      <c r="R934" s="0" t="str">
        <f aca="false">IF(AND(M934=1,P934&gt;calc_helpers!$B$5),"Yes","No")</f>
        <v>No</v>
      </c>
      <c r="S934" s="0" t="n">
        <v>0</v>
      </c>
      <c r="T934" s="0" t="str">
        <f aca="false">IF(S934&gt;0,"Yes","No")</f>
        <v>No</v>
      </c>
      <c r="U934" s="0" t="n">
        <v>0</v>
      </c>
      <c r="W934" s="0" t="str">
        <f aca="false">IF(OR(AND(M934=1,ISBLANK(V934)),AND(M934=0,NOT(ISBLANK(V934)))),"Yes","No")</f>
        <v>No</v>
      </c>
      <c r="X934" s="0" t="n">
        <v>72.9</v>
      </c>
      <c r="Y934" s="3" t="s">
        <v>30</v>
      </c>
      <c r="Z934" s="0" t="str">
        <f aca="false">IF(M934=1,P934,"")</f>
        <v/>
      </c>
    </row>
    <row r="935" customFormat="false" ht="15" hidden="false" customHeight="false" outlineLevel="0" collapsed="false">
      <c r="A935" s="0" t="s">
        <v>979</v>
      </c>
      <c r="B935" s="2" t="n">
        <v>45772</v>
      </c>
      <c r="C935" s="3" t="s">
        <v>736</v>
      </c>
      <c r="D935" s="3" t="s">
        <v>34</v>
      </c>
      <c r="E935" s="3" t="s">
        <v>29</v>
      </c>
      <c r="F935" s="3" t="s">
        <v>30</v>
      </c>
      <c r="G935" s="3" t="s">
        <v>36</v>
      </c>
      <c r="H935" s="3" t="s">
        <v>30</v>
      </c>
      <c r="I935" s="3" t="s">
        <v>37</v>
      </c>
      <c r="J935" s="0" t="n">
        <v>1</v>
      </c>
      <c r="K935" s="0" t="n">
        <v>0</v>
      </c>
      <c r="L935" s="0" t="n">
        <v>0</v>
      </c>
      <c r="M935" s="0" t="n">
        <v>0</v>
      </c>
      <c r="N935" s="0" t="str">
        <f aca="false">IF(OR(NOT(OR(J935=0,J935=1)),NOT(OR(K935=0,K935=1)),NOT(OR(L935=0,L935=1)),NOT(OR(M935=0,M935=1)),NOT(OR(U935=0,U935=1))),"Yes","No")</f>
        <v>No</v>
      </c>
      <c r="O935" s="0" t="str">
        <f aca="false">IF(OR(AND(M935=1,L935=0),AND(L935=1,K935=0),AND(K935=1,J935=0)),"Yes","No")</f>
        <v>No</v>
      </c>
      <c r="P935" s="0" t="n">
        <v>0</v>
      </c>
      <c r="Q935" s="0" t="str">
        <f aca="false">IF(OR(AND(M935=0,P935&gt;0),AND(M935=1,P935&lt;=0)),"Yes","No")</f>
        <v>No</v>
      </c>
      <c r="R935" s="0" t="str">
        <f aca="false">IF(AND(M935=1,P935&gt;calc_helpers!$B$5),"Yes","No")</f>
        <v>No</v>
      </c>
      <c r="S935" s="0" t="n">
        <v>0</v>
      </c>
      <c r="T935" s="0" t="str">
        <f aca="false">IF(S935&gt;0,"Yes","No")</f>
        <v>No</v>
      </c>
      <c r="U935" s="0" t="n">
        <v>0</v>
      </c>
      <c r="W935" s="0" t="str">
        <f aca="false">IF(OR(AND(M935=1,ISBLANK(V935)),AND(M935=0,NOT(ISBLANK(V935)))),"Yes","No")</f>
        <v>No</v>
      </c>
      <c r="X935" s="0" t="n">
        <v>53.2</v>
      </c>
      <c r="Y935" s="3" t="s">
        <v>30</v>
      </c>
      <c r="Z935" s="0" t="str">
        <f aca="false">IF(M935=1,P935,"")</f>
        <v/>
      </c>
    </row>
    <row r="936" customFormat="false" ht="15" hidden="false" customHeight="false" outlineLevel="0" collapsed="false">
      <c r="A936" s="0" t="s">
        <v>980</v>
      </c>
      <c r="B936" s="2" t="n">
        <v>45737</v>
      </c>
      <c r="C936" s="3" t="s">
        <v>736</v>
      </c>
      <c r="D936" s="3" t="s">
        <v>39</v>
      </c>
      <c r="E936" s="3" t="s">
        <v>35</v>
      </c>
      <c r="F936" s="3" t="s">
        <v>30</v>
      </c>
      <c r="G936" s="3" t="s">
        <v>36</v>
      </c>
      <c r="H936" s="3" t="s">
        <v>30</v>
      </c>
      <c r="I936" s="3" t="s">
        <v>32</v>
      </c>
      <c r="J936" s="0" t="n">
        <v>1</v>
      </c>
      <c r="K936" s="0" t="n">
        <v>1</v>
      </c>
      <c r="L936" s="0" t="n">
        <v>0</v>
      </c>
      <c r="M936" s="0" t="n">
        <v>0</v>
      </c>
      <c r="N936" s="0" t="str">
        <f aca="false">IF(OR(NOT(OR(J936=0,J936=1)),NOT(OR(K936=0,K936=1)),NOT(OR(L936=0,L936=1)),NOT(OR(M936=0,M936=1)),NOT(OR(U936=0,U936=1))),"Yes","No")</f>
        <v>No</v>
      </c>
      <c r="O936" s="0" t="str">
        <f aca="false">IF(OR(AND(M936=1,L936=0),AND(L936=1,K936=0),AND(K936=1,J936=0)),"Yes","No")</f>
        <v>No</v>
      </c>
      <c r="P936" s="0" t="n">
        <v>0</v>
      </c>
      <c r="Q936" s="0" t="str">
        <f aca="false">IF(OR(AND(M936=0,P936&gt;0),AND(M936=1,P936&lt;=0)),"Yes","No")</f>
        <v>No</v>
      </c>
      <c r="R936" s="0" t="str">
        <f aca="false">IF(AND(M936=1,P936&gt;calc_helpers!$B$5),"Yes","No")</f>
        <v>No</v>
      </c>
      <c r="S936" s="0" t="n">
        <v>0</v>
      </c>
      <c r="T936" s="0" t="str">
        <f aca="false">IF(S936&gt;0,"Yes","No")</f>
        <v>No</v>
      </c>
      <c r="U936" s="0" t="n">
        <v>0</v>
      </c>
      <c r="W936" s="0" t="str">
        <f aca="false">IF(OR(AND(M936=1,ISBLANK(V936)),AND(M936=0,NOT(ISBLANK(V936)))),"Yes","No")</f>
        <v>No</v>
      </c>
      <c r="X936" s="0" t="n">
        <v>48.7</v>
      </c>
      <c r="Y936" s="3" t="s">
        <v>30</v>
      </c>
      <c r="Z936" s="0" t="str">
        <f aca="false">IF(M936=1,P936,"")</f>
        <v/>
      </c>
    </row>
    <row r="937" customFormat="false" ht="15" hidden="false" customHeight="false" outlineLevel="0" collapsed="false">
      <c r="A937" s="0" t="s">
        <v>981</v>
      </c>
      <c r="B937" s="2" t="n">
        <v>45773</v>
      </c>
      <c r="C937" s="3" t="s">
        <v>736</v>
      </c>
      <c r="D937" s="3" t="s">
        <v>43</v>
      </c>
      <c r="E937" s="3" t="s">
        <v>35</v>
      </c>
      <c r="F937" s="3" t="s">
        <v>30</v>
      </c>
      <c r="G937" s="3" t="s">
        <v>40</v>
      </c>
      <c r="H937" s="3" t="s">
        <v>30</v>
      </c>
      <c r="I937" s="3" t="s">
        <v>32</v>
      </c>
      <c r="J937" s="0" t="n">
        <v>1</v>
      </c>
      <c r="K937" s="0" t="n">
        <v>1</v>
      </c>
      <c r="L937" s="0" t="n">
        <v>1</v>
      </c>
      <c r="M937" s="0" t="n">
        <v>0</v>
      </c>
      <c r="N937" s="0" t="str">
        <f aca="false">IF(OR(NOT(OR(J937=0,J937=1)),NOT(OR(K937=0,K937=1)),NOT(OR(L937=0,L937=1)),NOT(OR(M937=0,M937=1)),NOT(OR(U937=0,U937=1))),"Yes","No")</f>
        <v>No</v>
      </c>
      <c r="O937" s="0" t="str">
        <f aca="false">IF(OR(AND(M937=1,L937=0),AND(L937=1,K937=0),AND(K937=1,J937=0)),"Yes","No")</f>
        <v>No</v>
      </c>
      <c r="P937" s="0" t="n">
        <v>0</v>
      </c>
      <c r="Q937" s="0" t="str">
        <f aca="false">IF(OR(AND(M937=0,P937&gt;0),AND(M937=1,P937&lt;=0)),"Yes","No")</f>
        <v>No</v>
      </c>
      <c r="R937" s="0" t="str">
        <f aca="false">IF(AND(M937=1,P937&gt;calc_helpers!$B$5),"Yes","No")</f>
        <v>No</v>
      </c>
      <c r="S937" s="0" t="n">
        <v>0</v>
      </c>
      <c r="T937" s="0" t="str">
        <f aca="false">IF(S937&gt;0,"Yes","No")</f>
        <v>No</v>
      </c>
      <c r="U937" s="0" t="n">
        <v>0</v>
      </c>
      <c r="W937" s="0" t="str">
        <f aca="false">IF(OR(AND(M937=1,ISBLANK(V937)),AND(M937=0,NOT(ISBLANK(V937)))),"Yes","No")</f>
        <v>No</v>
      </c>
      <c r="X937" s="0" t="n">
        <v>59.9</v>
      </c>
      <c r="Y937" s="3" t="s">
        <v>30</v>
      </c>
      <c r="Z937" s="0" t="str">
        <f aca="false">IF(M937=1,P937,"")</f>
        <v/>
      </c>
    </row>
    <row r="938" customFormat="false" ht="15" hidden="false" customHeight="false" outlineLevel="0" collapsed="false">
      <c r="A938" s="0" t="s">
        <v>982</v>
      </c>
      <c r="B938" s="2" t="n">
        <v>45798</v>
      </c>
      <c r="C938" s="3" t="s">
        <v>736</v>
      </c>
      <c r="D938" s="3" t="s">
        <v>43</v>
      </c>
      <c r="E938" s="3" t="s">
        <v>29</v>
      </c>
      <c r="F938" s="3" t="s">
        <v>30</v>
      </c>
      <c r="G938" s="3" t="s">
        <v>167</v>
      </c>
      <c r="H938" s="3" t="s">
        <v>168</v>
      </c>
      <c r="I938" s="3" t="s">
        <v>32</v>
      </c>
      <c r="J938" s="0" t="n">
        <v>0</v>
      </c>
      <c r="K938" s="0" t="n">
        <v>0</v>
      </c>
      <c r="L938" s="0" t="n">
        <v>0</v>
      </c>
      <c r="M938" s="0" t="n">
        <v>0</v>
      </c>
      <c r="N938" s="0" t="str">
        <f aca="false">IF(OR(NOT(OR(J938=0,J938=1)),NOT(OR(K938=0,K938=1)),NOT(OR(L938=0,L938=1)),NOT(OR(M938=0,M938=1)),NOT(OR(U938=0,U938=1))),"Yes","No")</f>
        <v>No</v>
      </c>
      <c r="O938" s="0" t="str">
        <f aca="false">IF(OR(AND(M938=1,L938=0),AND(L938=1,K938=0),AND(K938=1,J938=0)),"Yes","No")</f>
        <v>No</v>
      </c>
      <c r="P938" s="0" t="n">
        <v>0</v>
      </c>
      <c r="Q938" s="0" t="str">
        <f aca="false">IF(OR(AND(M938=0,P938&gt;0),AND(M938=1,P938&lt;=0)),"Yes","No")</f>
        <v>No</v>
      </c>
      <c r="R938" s="0" t="str">
        <f aca="false">IF(AND(M938=1,P938&gt;calc_helpers!$B$5),"Yes","No")</f>
        <v>No</v>
      </c>
      <c r="S938" s="0" t="n">
        <v>0</v>
      </c>
      <c r="T938" s="0" t="str">
        <f aca="false">IF(S938&gt;0,"Yes","No")</f>
        <v>No</v>
      </c>
      <c r="U938" s="0" t="n">
        <v>0</v>
      </c>
      <c r="W938" s="0" t="str">
        <f aca="false">IF(OR(AND(M938=1,ISBLANK(V938)),AND(M938=0,NOT(ISBLANK(V938)))),"Yes","No")</f>
        <v>No</v>
      </c>
      <c r="X938" s="0" t="n">
        <v>82</v>
      </c>
      <c r="Y938" s="3" t="s">
        <v>30</v>
      </c>
      <c r="Z938" s="0" t="str">
        <f aca="false">IF(M938=1,P938,"")</f>
        <v/>
      </c>
    </row>
    <row r="939" customFormat="false" ht="15" hidden="false" customHeight="false" outlineLevel="0" collapsed="false">
      <c r="A939" s="0" t="s">
        <v>983</v>
      </c>
      <c r="B939" s="2" t="n">
        <v>45765</v>
      </c>
      <c r="C939" s="3" t="s">
        <v>736</v>
      </c>
      <c r="D939" s="3" t="s">
        <v>39</v>
      </c>
      <c r="E939" s="3" t="s">
        <v>35</v>
      </c>
      <c r="F939" s="3" t="s">
        <v>30</v>
      </c>
      <c r="G939" s="3" t="s">
        <v>40</v>
      </c>
      <c r="H939" s="3" t="s">
        <v>30</v>
      </c>
      <c r="I939" s="3" t="s">
        <v>37</v>
      </c>
      <c r="J939" s="0" t="n">
        <v>0</v>
      </c>
      <c r="K939" s="0" t="n">
        <v>0</v>
      </c>
      <c r="L939" s="0" t="n">
        <v>0</v>
      </c>
      <c r="M939" s="0" t="n">
        <v>0</v>
      </c>
      <c r="N939" s="0" t="str">
        <f aca="false">IF(OR(NOT(OR(J939=0,J939=1)),NOT(OR(K939=0,K939=1)),NOT(OR(L939=0,L939=1)),NOT(OR(M939=0,M939=1)),NOT(OR(U939=0,U939=1))),"Yes","No")</f>
        <v>No</v>
      </c>
      <c r="O939" s="0" t="str">
        <f aca="false">IF(OR(AND(M939=1,L939=0),AND(L939=1,K939=0),AND(K939=1,J939=0)),"Yes","No")</f>
        <v>No</v>
      </c>
      <c r="P939" s="0" t="n">
        <v>0</v>
      </c>
      <c r="Q939" s="0" t="str">
        <f aca="false">IF(OR(AND(M939=0,P939&gt;0),AND(M939=1,P939&lt;=0)),"Yes","No")</f>
        <v>No</v>
      </c>
      <c r="R939" s="0" t="str">
        <f aca="false">IF(AND(M939=1,P939&gt;calc_helpers!$B$5),"Yes","No")</f>
        <v>No</v>
      </c>
      <c r="S939" s="0" t="n">
        <v>0</v>
      </c>
      <c r="T939" s="0" t="str">
        <f aca="false">IF(S939&gt;0,"Yes","No")</f>
        <v>No</v>
      </c>
      <c r="U939" s="0" t="n">
        <v>0</v>
      </c>
      <c r="W939" s="0" t="str">
        <f aca="false">IF(OR(AND(M939=1,ISBLANK(V939)),AND(M939=0,NOT(ISBLANK(V939)))),"Yes","No")</f>
        <v>No</v>
      </c>
      <c r="X939" s="0" t="n">
        <v>72.1</v>
      </c>
      <c r="Y939" s="3" t="s">
        <v>30</v>
      </c>
      <c r="Z939" s="0" t="str">
        <f aca="false">IF(M939=1,P939,"")</f>
        <v/>
      </c>
    </row>
    <row r="940" customFormat="false" ht="15" hidden="false" customHeight="false" outlineLevel="0" collapsed="false">
      <c r="A940" s="0" t="s">
        <v>984</v>
      </c>
      <c r="B940" s="2" t="n">
        <v>45686</v>
      </c>
      <c r="C940" s="3" t="s">
        <v>736</v>
      </c>
      <c r="D940" s="3" t="s">
        <v>28</v>
      </c>
      <c r="E940" s="3" t="s">
        <v>29</v>
      </c>
      <c r="F940" s="3" t="s">
        <v>30</v>
      </c>
      <c r="G940" s="3" t="s">
        <v>31</v>
      </c>
      <c r="H940" s="3" t="s">
        <v>30</v>
      </c>
      <c r="I940" s="3" t="s">
        <v>41</v>
      </c>
      <c r="J940" s="0" t="n">
        <v>1</v>
      </c>
      <c r="K940" s="0" t="n">
        <v>1</v>
      </c>
      <c r="L940" s="0" t="n">
        <v>0</v>
      </c>
      <c r="M940" s="0" t="n">
        <v>0</v>
      </c>
      <c r="N940" s="0" t="str">
        <f aca="false">IF(OR(NOT(OR(J940=0,J940=1)),NOT(OR(K940=0,K940=1)),NOT(OR(L940=0,L940=1)),NOT(OR(M940=0,M940=1)),NOT(OR(U940=0,U940=1))),"Yes","No")</f>
        <v>No</v>
      </c>
      <c r="O940" s="0" t="str">
        <f aca="false">IF(OR(AND(M940=1,L940=0),AND(L940=1,K940=0),AND(K940=1,J940=0)),"Yes","No")</f>
        <v>No</v>
      </c>
      <c r="P940" s="0" t="n">
        <v>0</v>
      </c>
      <c r="Q940" s="0" t="str">
        <f aca="false">IF(OR(AND(M940=0,P940&gt;0),AND(M940=1,P940&lt;=0)),"Yes","No")</f>
        <v>No</v>
      </c>
      <c r="R940" s="0" t="str">
        <f aca="false">IF(AND(M940=1,P940&gt;calc_helpers!$B$5),"Yes","No")</f>
        <v>No</v>
      </c>
      <c r="S940" s="0" t="n">
        <v>0</v>
      </c>
      <c r="T940" s="0" t="str">
        <f aca="false">IF(S940&gt;0,"Yes","No")</f>
        <v>No</v>
      </c>
      <c r="U940" s="0" t="n">
        <v>0</v>
      </c>
      <c r="W940" s="0" t="str">
        <f aca="false">IF(OR(AND(M940=1,ISBLANK(V940)),AND(M940=0,NOT(ISBLANK(V940)))),"Yes","No")</f>
        <v>No</v>
      </c>
      <c r="X940" s="0" t="n">
        <v>68.3</v>
      </c>
      <c r="Y940" s="3" t="s">
        <v>30</v>
      </c>
      <c r="Z940" s="0" t="str">
        <f aca="false">IF(M940=1,P940,"")</f>
        <v/>
      </c>
    </row>
    <row r="941" customFormat="false" ht="15" hidden="false" customHeight="false" outlineLevel="0" collapsed="false">
      <c r="A941" s="0" t="s">
        <v>985</v>
      </c>
      <c r="B941" s="2" t="n">
        <v>45805</v>
      </c>
      <c r="C941" s="3" t="s">
        <v>736</v>
      </c>
      <c r="D941" s="3" t="s">
        <v>34</v>
      </c>
      <c r="E941" s="3" t="s">
        <v>35</v>
      </c>
      <c r="F941" s="3" t="s">
        <v>30</v>
      </c>
      <c r="G941" s="3" t="s">
        <v>36</v>
      </c>
      <c r="H941" s="3" t="s">
        <v>30</v>
      </c>
      <c r="I941" s="3" t="s">
        <v>41</v>
      </c>
      <c r="J941" s="0" t="n">
        <v>0</v>
      </c>
      <c r="K941" s="0" t="n">
        <v>0</v>
      </c>
      <c r="L941" s="0" t="n">
        <v>0</v>
      </c>
      <c r="M941" s="0" t="n">
        <v>0</v>
      </c>
      <c r="N941" s="0" t="str">
        <f aca="false">IF(OR(NOT(OR(J941=0,J941=1)),NOT(OR(K941=0,K941=1)),NOT(OR(L941=0,L941=1)),NOT(OR(M941=0,M941=1)),NOT(OR(U941=0,U941=1))),"Yes","No")</f>
        <v>No</v>
      </c>
      <c r="O941" s="0" t="str">
        <f aca="false">IF(OR(AND(M941=1,L941=0),AND(L941=1,K941=0),AND(K941=1,J941=0)),"Yes","No")</f>
        <v>No</v>
      </c>
      <c r="P941" s="0" t="n">
        <v>0</v>
      </c>
      <c r="Q941" s="0" t="str">
        <f aca="false">IF(OR(AND(M941=0,P941&gt;0),AND(M941=1,P941&lt;=0)),"Yes","No")</f>
        <v>No</v>
      </c>
      <c r="R941" s="0" t="str">
        <f aca="false">IF(AND(M941=1,P941&gt;calc_helpers!$B$5),"Yes","No")</f>
        <v>No</v>
      </c>
      <c r="S941" s="0" t="n">
        <v>0</v>
      </c>
      <c r="T941" s="0" t="str">
        <f aca="false">IF(S941&gt;0,"Yes","No")</f>
        <v>No</v>
      </c>
      <c r="U941" s="0" t="n">
        <v>0</v>
      </c>
      <c r="W941" s="0" t="str">
        <f aca="false">IF(OR(AND(M941=1,ISBLANK(V941)),AND(M941=0,NOT(ISBLANK(V941)))),"Yes","No")</f>
        <v>No</v>
      </c>
      <c r="X941" s="0" t="n">
        <v>100</v>
      </c>
      <c r="Y941" s="3" t="s">
        <v>30</v>
      </c>
      <c r="Z941" s="0" t="str">
        <f aca="false">IF(M941=1,P941,"")</f>
        <v/>
      </c>
    </row>
    <row r="942" customFormat="false" ht="15" hidden="false" customHeight="false" outlineLevel="0" collapsed="false">
      <c r="A942" s="0" t="s">
        <v>986</v>
      </c>
      <c r="B942" s="2" t="n">
        <v>45672</v>
      </c>
      <c r="C942" s="3" t="s">
        <v>736</v>
      </c>
      <c r="D942" s="3" t="s">
        <v>39</v>
      </c>
      <c r="E942" s="3" t="s">
        <v>35</v>
      </c>
      <c r="F942" s="3" t="s">
        <v>30</v>
      </c>
      <c r="G942" s="3" t="s">
        <v>31</v>
      </c>
      <c r="H942" s="3" t="s">
        <v>30</v>
      </c>
      <c r="I942" s="3" t="s">
        <v>37</v>
      </c>
      <c r="J942" s="0" t="n">
        <v>1</v>
      </c>
      <c r="K942" s="0" t="n">
        <v>1</v>
      </c>
      <c r="L942" s="0" t="n">
        <v>1</v>
      </c>
      <c r="M942" s="0" t="n">
        <v>0</v>
      </c>
      <c r="N942" s="0" t="str">
        <f aca="false">IF(OR(NOT(OR(J942=0,J942=1)),NOT(OR(K942=0,K942=1)),NOT(OR(L942=0,L942=1)),NOT(OR(M942=0,M942=1)),NOT(OR(U942=0,U942=1))),"Yes","No")</f>
        <v>No</v>
      </c>
      <c r="O942" s="0" t="str">
        <f aca="false">IF(OR(AND(M942=1,L942=0),AND(L942=1,K942=0),AND(K942=1,J942=0)),"Yes","No")</f>
        <v>No</v>
      </c>
      <c r="P942" s="0" t="n">
        <v>0</v>
      </c>
      <c r="Q942" s="0" t="str">
        <f aca="false">IF(OR(AND(M942=0,P942&gt;0),AND(M942=1,P942&lt;=0)),"Yes","No")</f>
        <v>No</v>
      </c>
      <c r="R942" s="0" t="str">
        <f aca="false">IF(AND(M942=1,P942&gt;calc_helpers!$B$5),"Yes","No")</f>
        <v>No</v>
      </c>
      <c r="S942" s="0" t="n">
        <v>2</v>
      </c>
      <c r="T942" s="0" t="str">
        <f aca="false">IF(S942&gt;0,"Yes","No")</f>
        <v>Yes</v>
      </c>
      <c r="U942" s="0" t="n">
        <v>0</v>
      </c>
      <c r="W942" s="0" t="str">
        <f aca="false">IF(OR(AND(M942=1,ISBLANK(V942)),AND(M942=0,NOT(ISBLANK(V942)))),"Yes","No")</f>
        <v>No</v>
      </c>
      <c r="X942" s="0" t="n">
        <v>76.5</v>
      </c>
      <c r="Y942" s="3" t="s">
        <v>30</v>
      </c>
      <c r="Z942" s="0" t="str">
        <f aca="false">IF(M942=1,P942,"")</f>
        <v/>
      </c>
    </row>
    <row r="943" customFormat="false" ht="15" hidden="false" customHeight="false" outlineLevel="0" collapsed="false">
      <c r="A943" s="0" t="s">
        <v>987</v>
      </c>
      <c r="B943" s="2" t="n">
        <v>45660</v>
      </c>
      <c r="C943" s="3" t="s">
        <v>736</v>
      </c>
      <c r="D943" s="3" t="s">
        <v>43</v>
      </c>
      <c r="E943" s="3" t="s">
        <v>35</v>
      </c>
      <c r="F943" s="3" t="s">
        <v>30</v>
      </c>
      <c r="G943" s="3" t="s">
        <v>36</v>
      </c>
      <c r="H943" s="3" t="s">
        <v>30</v>
      </c>
      <c r="I943" s="3" t="s">
        <v>32</v>
      </c>
      <c r="J943" s="0" t="n">
        <v>1</v>
      </c>
      <c r="K943" s="0" t="n">
        <v>1</v>
      </c>
      <c r="L943" s="0" t="n">
        <v>0</v>
      </c>
      <c r="M943" s="0" t="n">
        <v>0</v>
      </c>
      <c r="N943" s="0" t="str">
        <f aca="false">IF(OR(NOT(OR(J943=0,J943=1)),NOT(OR(K943=0,K943=1)),NOT(OR(L943=0,L943=1)),NOT(OR(M943=0,M943=1)),NOT(OR(U943=0,U943=1))),"Yes","No")</f>
        <v>No</v>
      </c>
      <c r="O943" s="0" t="str">
        <f aca="false">IF(OR(AND(M943=1,L943=0),AND(L943=1,K943=0),AND(K943=1,J943=0)),"Yes","No")</f>
        <v>No</v>
      </c>
      <c r="P943" s="0" t="n">
        <v>0</v>
      </c>
      <c r="Q943" s="0" t="str">
        <f aca="false">IF(OR(AND(M943=0,P943&gt;0),AND(M943=1,P943&lt;=0)),"Yes","No")</f>
        <v>No</v>
      </c>
      <c r="R943" s="0" t="str">
        <f aca="false">IF(AND(M943=1,P943&gt;calc_helpers!$B$5),"Yes","No")</f>
        <v>No</v>
      </c>
      <c r="S943" s="0" t="n">
        <v>0</v>
      </c>
      <c r="T943" s="0" t="str">
        <f aca="false">IF(S943&gt;0,"Yes","No")</f>
        <v>No</v>
      </c>
      <c r="U943" s="0" t="n">
        <v>0</v>
      </c>
      <c r="W943" s="0" t="str">
        <f aca="false">IF(OR(AND(M943=1,ISBLANK(V943)),AND(M943=0,NOT(ISBLANK(V943)))),"Yes","No")</f>
        <v>No</v>
      </c>
      <c r="X943" s="0" t="n">
        <v>62</v>
      </c>
      <c r="Y943" s="3" t="s">
        <v>30</v>
      </c>
      <c r="Z943" s="0" t="str">
        <f aca="false">IF(M943=1,P943,"")</f>
        <v/>
      </c>
    </row>
    <row r="944" customFormat="false" ht="15" hidden="false" customHeight="false" outlineLevel="0" collapsed="false">
      <c r="A944" s="0" t="s">
        <v>988</v>
      </c>
      <c r="B944" s="2" t="n">
        <v>45692</v>
      </c>
      <c r="C944" s="3" t="s">
        <v>736</v>
      </c>
      <c r="D944" s="3" t="s">
        <v>43</v>
      </c>
      <c r="E944" s="3" t="s">
        <v>35</v>
      </c>
      <c r="F944" s="3" t="s">
        <v>30</v>
      </c>
      <c r="G944" s="3" t="s">
        <v>40</v>
      </c>
      <c r="H944" s="3" t="s">
        <v>30</v>
      </c>
      <c r="I944" s="3" t="s">
        <v>37</v>
      </c>
      <c r="J944" s="0" t="n">
        <v>1</v>
      </c>
      <c r="K944" s="0" t="n">
        <v>1</v>
      </c>
      <c r="L944" s="0" t="n">
        <v>1</v>
      </c>
      <c r="M944" s="0" t="n">
        <v>1</v>
      </c>
      <c r="N944" s="0" t="str">
        <f aca="false">IF(OR(NOT(OR(J944=0,J944=1)),NOT(OR(K944=0,K944=1)),NOT(OR(L944=0,L944=1)),NOT(OR(M944=0,M944=1)),NOT(OR(U944=0,U944=1))),"Yes","No")</f>
        <v>No</v>
      </c>
      <c r="O944" s="0" t="str">
        <f aca="false">IF(OR(AND(M944=1,L944=0),AND(L944=1,K944=0),AND(K944=1,J944=0)),"Yes","No")</f>
        <v>No</v>
      </c>
      <c r="P944" s="0" t="n">
        <v>324.68</v>
      </c>
      <c r="Q944" s="0" t="str">
        <f aca="false">IF(OR(AND(M944=0,P944&gt;0),AND(M944=1,P944&lt;=0)),"Yes","No")</f>
        <v>No</v>
      </c>
      <c r="R944" s="0" t="str">
        <f aca="false">IF(AND(M944=1,P944&gt;calc_helpers!$B$5),"Yes","No")</f>
        <v>No</v>
      </c>
      <c r="S944" s="0" t="n">
        <v>1</v>
      </c>
      <c r="T944" s="0" t="str">
        <f aca="false">IF(S944&gt;0,"Yes","No")</f>
        <v>Yes</v>
      </c>
      <c r="U944" s="0" t="n">
        <v>0</v>
      </c>
      <c r="V944" s="0" t="n">
        <v>7</v>
      </c>
      <c r="W944" s="0" t="str">
        <f aca="false">IF(OR(AND(M944=1,ISBLANK(V944)),AND(M944=0,NOT(ISBLANK(V944)))),"Yes","No")</f>
        <v>No</v>
      </c>
      <c r="X944" s="0" t="n">
        <v>50.1</v>
      </c>
      <c r="Y944" s="3" t="s">
        <v>30</v>
      </c>
      <c r="Z944" s="3" t="n">
        <f aca="false">IF(M944=1,P944,"")</f>
        <v>324.68</v>
      </c>
    </row>
    <row r="945" customFormat="false" ht="15" hidden="false" customHeight="false" outlineLevel="0" collapsed="false">
      <c r="A945" s="0" t="s">
        <v>989</v>
      </c>
      <c r="B945" s="2" t="n">
        <v>45710</v>
      </c>
      <c r="C945" s="3" t="s">
        <v>736</v>
      </c>
      <c r="D945" s="3" t="s">
        <v>43</v>
      </c>
      <c r="E945" s="3" t="s">
        <v>35</v>
      </c>
      <c r="F945" s="3" t="s">
        <v>30</v>
      </c>
      <c r="G945" s="3" t="s">
        <v>50</v>
      </c>
      <c r="H945" s="3" t="s">
        <v>30</v>
      </c>
      <c r="I945" s="3" t="s">
        <v>41</v>
      </c>
      <c r="J945" s="0" t="n">
        <v>1</v>
      </c>
      <c r="K945" s="0" t="n">
        <v>0</v>
      </c>
      <c r="L945" s="0" t="n">
        <v>0</v>
      </c>
      <c r="M945" s="0" t="n">
        <v>0</v>
      </c>
      <c r="N945" s="0" t="str">
        <f aca="false">IF(OR(NOT(OR(J945=0,J945=1)),NOT(OR(K945=0,K945=1)),NOT(OR(L945=0,L945=1)),NOT(OR(M945=0,M945=1)),NOT(OR(U945=0,U945=1))),"Yes","No")</f>
        <v>No</v>
      </c>
      <c r="O945" s="0" t="str">
        <f aca="false">IF(OR(AND(M945=1,L945=0),AND(L945=1,K945=0),AND(K945=1,J945=0)),"Yes","No")</f>
        <v>No</v>
      </c>
      <c r="P945" s="0" t="n">
        <v>0</v>
      </c>
      <c r="Q945" s="0" t="str">
        <f aca="false">IF(OR(AND(M945=0,P945&gt;0),AND(M945=1,P945&lt;=0)),"Yes","No")</f>
        <v>No</v>
      </c>
      <c r="R945" s="0" t="str">
        <f aca="false">IF(AND(M945=1,P945&gt;calc_helpers!$B$5),"Yes","No")</f>
        <v>No</v>
      </c>
      <c r="S945" s="0" t="n">
        <v>0</v>
      </c>
      <c r="T945" s="0" t="str">
        <f aca="false">IF(S945&gt;0,"Yes","No")</f>
        <v>No</v>
      </c>
      <c r="U945" s="0" t="n">
        <v>0</v>
      </c>
      <c r="W945" s="0" t="str">
        <f aca="false">IF(OR(AND(M945=1,ISBLANK(V945)),AND(M945=0,NOT(ISBLANK(V945)))),"Yes","No")</f>
        <v>No</v>
      </c>
      <c r="X945" s="0" t="n">
        <v>62.1</v>
      </c>
      <c r="Y945" s="3" t="s">
        <v>30</v>
      </c>
      <c r="Z945" s="0" t="str">
        <f aca="false">IF(M945=1,P945,"")</f>
        <v/>
      </c>
    </row>
    <row r="946" customFormat="false" ht="15" hidden="false" customHeight="false" outlineLevel="0" collapsed="false">
      <c r="A946" s="0" t="s">
        <v>990</v>
      </c>
      <c r="B946" s="2" t="n">
        <v>45783</v>
      </c>
      <c r="C946" s="3" t="s">
        <v>736</v>
      </c>
      <c r="D946" s="3" t="s">
        <v>34</v>
      </c>
      <c r="E946" s="3" t="s">
        <v>35</v>
      </c>
      <c r="F946" s="3" t="s">
        <v>30</v>
      </c>
      <c r="G946" s="3" t="s">
        <v>36</v>
      </c>
      <c r="H946" s="3" t="s">
        <v>30</v>
      </c>
      <c r="I946" s="3" t="s">
        <v>32</v>
      </c>
      <c r="J946" s="0" t="n">
        <v>1</v>
      </c>
      <c r="K946" s="0" t="n">
        <v>0</v>
      </c>
      <c r="L946" s="0" t="n">
        <v>0</v>
      </c>
      <c r="M946" s="0" t="n">
        <v>0</v>
      </c>
      <c r="N946" s="0" t="str">
        <f aca="false">IF(OR(NOT(OR(J946=0,J946=1)),NOT(OR(K946=0,K946=1)),NOT(OR(L946=0,L946=1)),NOT(OR(M946=0,M946=1)),NOT(OR(U946=0,U946=1))),"Yes","No")</f>
        <v>No</v>
      </c>
      <c r="O946" s="0" t="str">
        <f aca="false">IF(OR(AND(M946=1,L946=0),AND(L946=1,K946=0),AND(K946=1,J946=0)),"Yes","No")</f>
        <v>No</v>
      </c>
      <c r="P946" s="0" t="n">
        <v>0</v>
      </c>
      <c r="Q946" s="0" t="str">
        <f aca="false">IF(OR(AND(M946=0,P946&gt;0),AND(M946=1,P946&lt;=0)),"Yes","No")</f>
        <v>No</v>
      </c>
      <c r="R946" s="0" t="str">
        <f aca="false">IF(AND(M946=1,P946&gt;calc_helpers!$B$5),"Yes","No")</f>
        <v>No</v>
      </c>
      <c r="S946" s="0" t="n">
        <v>0</v>
      </c>
      <c r="T946" s="0" t="str">
        <f aca="false">IF(S946&gt;0,"Yes","No")</f>
        <v>No</v>
      </c>
      <c r="U946" s="0" t="n">
        <v>0</v>
      </c>
      <c r="W946" s="0" t="str">
        <f aca="false">IF(OR(AND(M946=1,ISBLANK(V946)),AND(M946=0,NOT(ISBLANK(V946)))),"Yes","No")</f>
        <v>No</v>
      </c>
      <c r="X946" s="0" t="n">
        <v>49.7</v>
      </c>
      <c r="Y946" s="3" t="s">
        <v>30</v>
      </c>
      <c r="Z946" s="0" t="str">
        <f aca="false">IF(M946=1,P946,"")</f>
        <v/>
      </c>
    </row>
    <row r="947" customFormat="false" ht="15" hidden="false" customHeight="false" outlineLevel="0" collapsed="false">
      <c r="A947" s="0" t="s">
        <v>991</v>
      </c>
      <c r="B947" s="2" t="n">
        <v>45688</v>
      </c>
      <c r="C947" s="3" t="s">
        <v>736</v>
      </c>
      <c r="D947" s="3" t="s">
        <v>43</v>
      </c>
      <c r="E947" s="3" t="s">
        <v>35</v>
      </c>
      <c r="F947" s="3" t="s">
        <v>30</v>
      </c>
      <c r="G947" s="3" t="s">
        <v>36</v>
      </c>
      <c r="H947" s="3" t="s">
        <v>30</v>
      </c>
      <c r="I947" s="3" t="s">
        <v>37</v>
      </c>
      <c r="J947" s="0" t="n">
        <v>1</v>
      </c>
      <c r="K947" s="0" t="n">
        <v>0</v>
      </c>
      <c r="L947" s="0" t="n">
        <v>0</v>
      </c>
      <c r="M947" s="0" t="n">
        <v>0</v>
      </c>
      <c r="N947" s="0" t="str">
        <f aca="false">IF(OR(NOT(OR(J947=0,J947=1)),NOT(OR(K947=0,K947=1)),NOT(OR(L947=0,L947=1)),NOT(OR(M947=0,M947=1)),NOT(OR(U947=0,U947=1))),"Yes","No")</f>
        <v>No</v>
      </c>
      <c r="O947" s="0" t="str">
        <f aca="false">IF(OR(AND(M947=1,L947=0),AND(L947=1,K947=0),AND(K947=1,J947=0)),"Yes","No")</f>
        <v>No</v>
      </c>
      <c r="P947" s="0" t="n">
        <v>0</v>
      </c>
      <c r="Q947" s="0" t="str">
        <f aca="false">IF(OR(AND(M947=0,P947&gt;0),AND(M947=1,P947&lt;=0)),"Yes","No")</f>
        <v>No</v>
      </c>
      <c r="R947" s="0" t="str">
        <f aca="false">IF(AND(M947=1,P947&gt;calc_helpers!$B$5),"Yes","No")</f>
        <v>No</v>
      </c>
      <c r="S947" s="0" t="n">
        <v>3</v>
      </c>
      <c r="T947" s="0" t="str">
        <f aca="false">IF(S947&gt;0,"Yes","No")</f>
        <v>Yes</v>
      </c>
      <c r="U947" s="0" t="n">
        <v>0</v>
      </c>
      <c r="W947" s="0" t="str">
        <f aca="false">IF(OR(AND(M947=1,ISBLANK(V947)),AND(M947=0,NOT(ISBLANK(V947)))),"Yes","No")</f>
        <v>No</v>
      </c>
      <c r="X947" s="0" t="n">
        <v>71.1</v>
      </c>
      <c r="Y947" s="3" t="s">
        <v>30</v>
      </c>
      <c r="Z947" s="0" t="str">
        <f aca="false">IF(M947=1,P947,"")</f>
        <v/>
      </c>
    </row>
    <row r="948" customFormat="false" ht="15" hidden="false" customHeight="false" outlineLevel="0" collapsed="false">
      <c r="A948" s="0" t="s">
        <v>992</v>
      </c>
      <c r="B948" s="2" t="n">
        <v>45706</v>
      </c>
      <c r="C948" s="3" t="s">
        <v>736</v>
      </c>
      <c r="D948" s="3" t="s">
        <v>28</v>
      </c>
      <c r="E948" s="3" t="s">
        <v>35</v>
      </c>
      <c r="F948" s="3" t="s">
        <v>30</v>
      </c>
      <c r="G948" s="3" t="s">
        <v>52</v>
      </c>
      <c r="H948" s="3" t="s">
        <v>30</v>
      </c>
      <c r="I948" s="3" t="s">
        <v>32</v>
      </c>
      <c r="J948" s="0" t="n">
        <v>0</v>
      </c>
      <c r="K948" s="0" t="n">
        <v>0</v>
      </c>
      <c r="L948" s="0" t="n">
        <v>0</v>
      </c>
      <c r="M948" s="0" t="n">
        <v>0</v>
      </c>
      <c r="N948" s="0" t="str">
        <f aca="false">IF(OR(NOT(OR(J948=0,J948=1)),NOT(OR(K948=0,K948=1)),NOT(OR(L948=0,L948=1)),NOT(OR(M948=0,M948=1)),NOT(OR(U948=0,U948=1))),"Yes","No")</f>
        <v>No</v>
      </c>
      <c r="O948" s="0" t="str">
        <f aca="false">IF(OR(AND(M948=1,L948=0),AND(L948=1,K948=0),AND(K948=1,J948=0)),"Yes","No")</f>
        <v>No</v>
      </c>
      <c r="P948" s="0" t="n">
        <v>0</v>
      </c>
      <c r="Q948" s="0" t="str">
        <f aca="false">IF(OR(AND(M948=0,P948&gt;0),AND(M948=1,P948&lt;=0)),"Yes","No")</f>
        <v>No</v>
      </c>
      <c r="R948" s="0" t="str">
        <f aca="false">IF(AND(M948=1,P948&gt;calc_helpers!$B$5),"Yes","No")</f>
        <v>No</v>
      </c>
      <c r="S948" s="0" t="n">
        <v>0</v>
      </c>
      <c r="T948" s="0" t="str">
        <f aca="false">IF(S948&gt;0,"Yes","No")</f>
        <v>No</v>
      </c>
      <c r="U948" s="0" t="n">
        <v>0</v>
      </c>
      <c r="W948" s="0" t="str">
        <f aca="false">IF(OR(AND(M948=1,ISBLANK(V948)),AND(M948=0,NOT(ISBLANK(V948)))),"Yes","No")</f>
        <v>No</v>
      </c>
      <c r="X948" s="0" t="n">
        <v>70.8</v>
      </c>
      <c r="Y948" s="3" t="s">
        <v>30</v>
      </c>
      <c r="Z948" s="0" t="str">
        <f aca="false">IF(M948=1,P948,"")</f>
        <v/>
      </c>
    </row>
    <row r="949" customFormat="false" ht="15" hidden="false" customHeight="false" outlineLevel="0" collapsed="false">
      <c r="A949" s="0" t="s">
        <v>993</v>
      </c>
      <c r="B949" s="2" t="n">
        <v>45770</v>
      </c>
      <c r="C949" s="3" t="s">
        <v>736</v>
      </c>
      <c r="D949" s="3" t="s">
        <v>39</v>
      </c>
      <c r="E949" s="3" t="s">
        <v>35</v>
      </c>
      <c r="F949" s="3" t="s">
        <v>30</v>
      </c>
      <c r="G949" s="3" t="s">
        <v>40</v>
      </c>
      <c r="H949" s="3" t="s">
        <v>30</v>
      </c>
      <c r="I949" s="3" t="s">
        <v>37</v>
      </c>
      <c r="J949" s="0" t="n">
        <v>1</v>
      </c>
      <c r="K949" s="0" t="n">
        <v>1</v>
      </c>
      <c r="L949" s="0" t="n">
        <v>1</v>
      </c>
      <c r="M949" s="0" t="n">
        <v>1</v>
      </c>
      <c r="N949" s="0" t="str">
        <f aca="false">IF(OR(NOT(OR(J949=0,J949=1)),NOT(OR(K949=0,K949=1)),NOT(OR(L949=0,L949=1)),NOT(OR(M949=0,M949=1)),NOT(OR(U949=0,U949=1))),"Yes","No")</f>
        <v>No</v>
      </c>
      <c r="O949" s="0" t="str">
        <f aca="false">IF(OR(AND(M949=1,L949=0),AND(L949=1,K949=0),AND(K949=1,J949=0)),"Yes","No")</f>
        <v>No</v>
      </c>
      <c r="P949" s="0" t="n">
        <v>301.98</v>
      </c>
      <c r="Q949" s="0" t="str">
        <f aca="false">IF(OR(AND(M949=0,P949&gt;0),AND(M949=1,P949&lt;=0)),"Yes","No")</f>
        <v>No</v>
      </c>
      <c r="R949" s="0" t="str">
        <f aca="false">IF(AND(M949=1,P949&gt;calc_helpers!$B$5),"Yes","No")</f>
        <v>No</v>
      </c>
      <c r="S949" s="0" t="n">
        <v>0</v>
      </c>
      <c r="T949" s="0" t="str">
        <f aca="false">IF(S949&gt;0,"Yes","No")</f>
        <v>No</v>
      </c>
      <c r="U949" s="0" t="n">
        <v>0</v>
      </c>
      <c r="V949" s="0" t="n">
        <v>10</v>
      </c>
      <c r="W949" s="0" t="str">
        <f aca="false">IF(OR(AND(M949=1,ISBLANK(V949)),AND(M949=0,NOT(ISBLANK(V949)))),"Yes","No")</f>
        <v>No</v>
      </c>
      <c r="X949" s="0" t="n">
        <v>52.2</v>
      </c>
      <c r="Y949" s="3" t="s">
        <v>30</v>
      </c>
      <c r="Z949" s="3" t="n">
        <f aca="false">IF(M949=1,P949,"")</f>
        <v>301.98</v>
      </c>
    </row>
    <row r="950" customFormat="false" ht="15" hidden="false" customHeight="false" outlineLevel="0" collapsed="false">
      <c r="A950" s="0" t="s">
        <v>994</v>
      </c>
      <c r="B950" s="2" t="n">
        <v>45694</v>
      </c>
      <c r="C950" s="3" t="s">
        <v>736</v>
      </c>
      <c r="D950" s="3" t="s">
        <v>28</v>
      </c>
      <c r="E950" s="3" t="s">
        <v>35</v>
      </c>
      <c r="F950" s="3" t="s">
        <v>30</v>
      </c>
      <c r="G950" s="3" t="s">
        <v>36</v>
      </c>
      <c r="H950" s="3" t="s">
        <v>30</v>
      </c>
      <c r="I950" s="3" t="s">
        <v>37</v>
      </c>
      <c r="J950" s="0" t="n">
        <v>1</v>
      </c>
      <c r="K950" s="0" t="n">
        <v>1</v>
      </c>
      <c r="L950" s="0" t="n">
        <v>1</v>
      </c>
      <c r="M950" s="0" t="n">
        <v>0</v>
      </c>
      <c r="N950" s="0" t="str">
        <f aca="false">IF(OR(NOT(OR(J950=0,J950=1)),NOT(OR(K950=0,K950=1)),NOT(OR(L950=0,L950=1)),NOT(OR(M950=0,M950=1)),NOT(OR(U950=0,U950=1))),"Yes","No")</f>
        <v>No</v>
      </c>
      <c r="O950" s="0" t="str">
        <f aca="false">IF(OR(AND(M950=1,L950=0),AND(L950=1,K950=0),AND(K950=1,J950=0)),"Yes","No")</f>
        <v>No</v>
      </c>
      <c r="P950" s="0" t="n">
        <v>0</v>
      </c>
      <c r="Q950" s="0" t="str">
        <f aca="false">IF(OR(AND(M950=0,P950&gt;0),AND(M950=1,P950&lt;=0)),"Yes","No")</f>
        <v>No</v>
      </c>
      <c r="R950" s="0" t="str">
        <f aca="false">IF(AND(M950=1,P950&gt;calc_helpers!$B$5),"Yes","No")</f>
        <v>No</v>
      </c>
      <c r="S950" s="0" t="n">
        <v>0</v>
      </c>
      <c r="T950" s="0" t="str">
        <f aca="false">IF(S950&gt;0,"Yes","No")</f>
        <v>No</v>
      </c>
      <c r="U950" s="0" t="n">
        <v>0</v>
      </c>
      <c r="W950" s="0" t="str">
        <f aca="false">IF(OR(AND(M950=1,ISBLANK(V950)),AND(M950=0,NOT(ISBLANK(V950)))),"Yes","No")</f>
        <v>No</v>
      </c>
      <c r="X950" s="0" t="n">
        <v>73</v>
      </c>
      <c r="Y950" s="3" t="s">
        <v>30</v>
      </c>
      <c r="Z950" s="0" t="str">
        <f aca="false">IF(M950=1,P950,"")</f>
        <v/>
      </c>
    </row>
    <row r="951" customFormat="false" ht="15" hidden="false" customHeight="false" outlineLevel="0" collapsed="false">
      <c r="A951" s="0" t="s">
        <v>995</v>
      </c>
      <c r="B951" s="2" t="n">
        <v>45773</v>
      </c>
      <c r="C951" s="3" t="s">
        <v>736</v>
      </c>
      <c r="D951" s="3" t="s">
        <v>43</v>
      </c>
      <c r="E951" s="3" t="s">
        <v>29</v>
      </c>
      <c r="F951" s="3" t="s">
        <v>30</v>
      </c>
      <c r="G951" s="3" t="s">
        <v>40</v>
      </c>
      <c r="H951" s="3" t="s">
        <v>30</v>
      </c>
      <c r="I951" s="3" t="s">
        <v>37</v>
      </c>
      <c r="J951" s="0" t="n">
        <v>0</v>
      </c>
      <c r="K951" s="0" t="n">
        <v>0</v>
      </c>
      <c r="L951" s="0" t="n">
        <v>0</v>
      </c>
      <c r="M951" s="0" t="n">
        <v>0</v>
      </c>
      <c r="N951" s="0" t="str">
        <f aca="false">IF(OR(NOT(OR(J951=0,J951=1)),NOT(OR(K951=0,K951=1)),NOT(OR(L951=0,L951=1)),NOT(OR(M951=0,M951=1)),NOT(OR(U951=0,U951=1))),"Yes","No")</f>
        <v>No</v>
      </c>
      <c r="O951" s="0" t="str">
        <f aca="false">IF(OR(AND(M951=1,L951=0),AND(L951=1,K951=0),AND(K951=1,J951=0)),"Yes","No")</f>
        <v>No</v>
      </c>
      <c r="P951" s="0" t="n">
        <v>0</v>
      </c>
      <c r="Q951" s="0" t="str">
        <f aca="false">IF(OR(AND(M951=0,P951&gt;0),AND(M951=1,P951&lt;=0)),"Yes","No")</f>
        <v>No</v>
      </c>
      <c r="R951" s="0" t="str">
        <f aca="false">IF(AND(M951=1,P951&gt;calc_helpers!$B$5),"Yes","No")</f>
        <v>No</v>
      </c>
      <c r="S951" s="0" t="n">
        <v>0</v>
      </c>
      <c r="T951" s="0" t="str">
        <f aca="false">IF(S951&gt;0,"Yes","No")</f>
        <v>No</v>
      </c>
      <c r="U951" s="0" t="n">
        <v>0</v>
      </c>
      <c r="W951" s="0" t="str">
        <f aca="false">IF(OR(AND(M951=1,ISBLANK(V951)),AND(M951=0,NOT(ISBLANK(V951)))),"Yes","No")</f>
        <v>No</v>
      </c>
      <c r="X951" s="0" t="n">
        <v>78.2</v>
      </c>
      <c r="Y951" s="3" t="s">
        <v>30</v>
      </c>
      <c r="Z951" s="0" t="str">
        <f aca="false">IF(M951=1,P951,"")</f>
        <v/>
      </c>
    </row>
    <row r="952" customFormat="false" ht="15" hidden="false" customHeight="false" outlineLevel="0" collapsed="false">
      <c r="A952" s="0" t="s">
        <v>996</v>
      </c>
      <c r="B952" s="2" t="n">
        <v>45746</v>
      </c>
      <c r="C952" s="3" t="s">
        <v>736</v>
      </c>
      <c r="D952" s="3" t="s">
        <v>34</v>
      </c>
      <c r="E952" s="3" t="s">
        <v>29</v>
      </c>
      <c r="F952" s="3" t="s">
        <v>30</v>
      </c>
      <c r="G952" s="3" t="s">
        <v>40</v>
      </c>
      <c r="H952" s="3" t="s">
        <v>30</v>
      </c>
      <c r="I952" s="3" t="s">
        <v>32</v>
      </c>
      <c r="J952" s="0" t="n">
        <v>1</v>
      </c>
      <c r="K952" s="0" t="n">
        <v>0</v>
      </c>
      <c r="L952" s="0" t="n">
        <v>0</v>
      </c>
      <c r="M952" s="0" t="n">
        <v>0</v>
      </c>
      <c r="N952" s="0" t="str">
        <f aca="false">IF(OR(NOT(OR(J952=0,J952=1)),NOT(OR(K952=0,K952=1)),NOT(OR(L952=0,L952=1)),NOT(OR(M952=0,M952=1)),NOT(OR(U952=0,U952=1))),"Yes","No")</f>
        <v>No</v>
      </c>
      <c r="O952" s="0" t="str">
        <f aca="false">IF(OR(AND(M952=1,L952=0),AND(L952=1,K952=0),AND(K952=1,J952=0)),"Yes","No")</f>
        <v>No</v>
      </c>
      <c r="P952" s="0" t="n">
        <v>0</v>
      </c>
      <c r="Q952" s="0" t="str">
        <f aca="false">IF(OR(AND(M952=0,P952&gt;0),AND(M952=1,P952&lt;=0)),"Yes","No")</f>
        <v>No</v>
      </c>
      <c r="R952" s="0" t="str">
        <f aca="false">IF(AND(M952=1,P952&gt;calc_helpers!$B$5),"Yes","No")</f>
        <v>No</v>
      </c>
      <c r="S952" s="0" t="n">
        <v>0</v>
      </c>
      <c r="T952" s="0" t="str">
        <f aca="false">IF(S952&gt;0,"Yes","No")</f>
        <v>No</v>
      </c>
      <c r="U952" s="0" t="n">
        <v>0</v>
      </c>
      <c r="W952" s="0" t="str">
        <f aca="false">IF(OR(AND(M952=1,ISBLANK(V952)),AND(M952=0,NOT(ISBLANK(V952)))),"Yes","No")</f>
        <v>No</v>
      </c>
      <c r="X952" s="0" t="n">
        <v>68.8</v>
      </c>
      <c r="Y952" s="3" t="s">
        <v>30</v>
      </c>
      <c r="Z952" s="0" t="str">
        <f aca="false">IF(M952=1,P952,"")</f>
        <v/>
      </c>
    </row>
    <row r="953" customFormat="false" ht="15" hidden="false" customHeight="false" outlineLevel="0" collapsed="false">
      <c r="A953" s="0" t="s">
        <v>997</v>
      </c>
      <c r="B953" s="2" t="n">
        <v>45760</v>
      </c>
      <c r="C953" s="3" t="s">
        <v>736</v>
      </c>
      <c r="D953" s="3" t="s">
        <v>34</v>
      </c>
      <c r="E953" s="3" t="s">
        <v>35</v>
      </c>
      <c r="F953" s="3" t="s">
        <v>30</v>
      </c>
      <c r="G953" s="3" t="s">
        <v>167</v>
      </c>
      <c r="H953" s="3" t="s">
        <v>168</v>
      </c>
      <c r="I953" s="3" t="s">
        <v>41</v>
      </c>
      <c r="J953" s="0" t="n">
        <v>1</v>
      </c>
      <c r="K953" s="0" t="n">
        <v>0</v>
      </c>
      <c r="L953" s="0" t="n">
        <v>0</v>
      </c>
      <c r="M953" s="0" t="n">
        <v>0</v>
      </c>
      <c r="N953" s="0" t="str">
        <f aca="false">IF(OR(NOT(OR(J953=0,J953=1)),NOT(OR(K953=0,K953=1)),NOT(OR(L953=0,L953=1)),NOT(OR(M953=0,M953=1)),NOT(OR(U953=0,U953=1))),"Yes","No")</f>
        <v>No</v>
      </c>
      <c r="O953" s="0" t="str">
        <f aca="false">IF(OR(AND(M953=1,L953=0),AND(L953=1,K953=0),AND(K953=1,J953=0)),"Yes","No")</f>
        <v>No</v>
      </c>
      <c r="P953" s="0" t="n">
        <v>0</v>
      </c>
      <c r="Q953" s="0" t="str">
        <f aca="false">IF(OR(AND(M953=0,P953&gt;0),AND(M953=1,P953&lt;=0)),"Yes","No")</f>
        <v>No</v>
      </c>
      <c r="R953" s="0" t="str">
        <f aca="false">IF(AND(M953=1,P953&gt;calc_helpers!$B$5),"Yes","No")</f>
        <v>No</v>
      </c>
      <c r="S953" s="0" t="n">
        <v>0</v>
      </c>
      <c r="T953" s="0" t="str">
        <f aca="false">IF(S953&gt;0,"Yes","No")</f>
        <v>No</v>
      </c>
      <c r="U953" s="0" t="n">
        <v>0</v>
      </c>
      <c r="W953" s="0" t="str">
        <f aca="false">IF(OR(AND(M953=1,ISBLANK(V953)),AND(M953=0,NOT(ISBLANK(V953)))),"Yes","No")</f>
        <v>No</v>
      </c>
      <c r="X953" s="0" t="n">
        <v>57.1</v>
      </c>
      <c r="Y953" s="3" t="s">
        <v>30</v>
      </c>
      <c r="Z953" s="0" t="str">
        <f aca="false">IF(M953=1,P953,"")</f>
        <v/>
      </c>
    </row>
    <row r="954" customFormat="false" ht="15" hidden="false" customHeight="false" outlineLevel="0" collapsed="false">
      <c r="A954" s="0" t="s">
        <v>998</v>
      </c>
      <c r="B954" s="2" t="n">
        <v>45751</v>
      </c>
      <c r="C954" s="3" t="s">
        <v>736</v>
      </c>
      <c r="D954" s="3" t="s">
        <v>39</v>
      </c>
      <c r="E954" s="3" t="s">
        <v>29</v>
      </c>
      <c r="F954" s="3" t="s">
        <v>30</v>
      </c>
      <c r="G954" s="3" t="s">
        <v>36</v>
      </c>
      <c r="H954" s="3" t="s">
        <v>30</v>
      </c>
      <c r="I954" s="3" t="s">
        <v>41</v>
      </c>
      <c r="J954" s="0" t="n">
        <v>0</v>
      </c>
      <c r="K954" s="0" t="n">
        <v>0</v>
      </c>
      <c r="L954" s="0" t="n">
        <v>0</v>
      </c>
      <c r="M954" s="0" t="n">
        <v>0</v>
      </c>
      <c r="N954" s="0" t="str">
        <f aca="false">IF(OR(NOT(OR(J954=0,J954=1)),NOT(OR(K954=0,K954=1)),NOT(OR(L954=0,L954=1)),NOT(OR(M954=0,M954=1)),NOT(OR(U954=0,U954=1))),"Yes","No")</f>
        <v>No</v>
      </c>
      <c r="O954" s="0" t="str">
        <f aca="false">IF(OR(AND(M954=1,L954=0),AND(L954=1,K954=0),AND(K954=1,J954=0)),"Yes","No")</f>
        <v>No</v>
      </c>
      <c r="P954" s="0" t="n">
        <v>0</v>
      </c>
      <c r="Q954" s="0" t="str">
        <f aca="false">IF(OR(AND(M954=0,P954&gt;0),AND(M954=1,P954&lt;=0)),"Yes","No")</f>
        <v>No</v>
      </c>
      <c r="R954" s="0" t="str">
        <f aca="false">IF(AND(M954=1,P954&gt;calc_helpers!$B$5),"Yes","No")</f>
        <v>No</v>
      </c>
      <c r="S954" s="0" t="n">
        <v>1</v>
      </c>
      <c r="T954" s="0" t="str">
        <f aca="false">IF(S954&gt;0,"Yes","No")</f>
        <v>Yes</v>
      </c>
      <c r="U954" s="0" t="n">
        <v>0</v>
      </c>
      <c r="W954" s="0" t="str">
        <f aca="false">IF(OR(AND(M954=1,ISBLANK(V954)),AND(M954=0,NOT(ISBLANK(V954)))),"Yes","No")</f>
        <v>No</v>
      </c>
      <c r="X954" s="0" t="n">
        <v>74.6</v>
      </c>
      <c r="Y954" s="3" t="s">
        <v>30</v>
      </c>
      <c r="Z954" s="0" t="str">
        <f aca="false">IF(M954=1,P954,"")</f>
        <v/>
      </c>
    </row>
    <row r="955" customFormat="false" ht="15" hidden="false" customHeight="false" outlineLevel="0" collapsed="false">
      <c r="A955" s="0" t="s">
        <v>999</v>
      </c>
      <c r="B955" s="2" t="n">
        <v>45750</v>
      </c>
      <c r="C955" s="3" t="s">
        <v>736</v>
      </c>
      <c r="D955" s="3" t="s">
        <v>28</v>
      </c>
      <c r="E955" s="3" t="s">
        <v>29</v>
      </c>
      <c r="F955" s="3" t="s">
        <v>30</v>
      </c>
      <c r="G955" s="3" t="s">
        <v>50</v>
      </c>
      <c r="H955" s="3" t="s">
        <v>30</v>
      </c>
      <c r="I955" s="3" t="s">
        <v>37</v>
      </c>
      <c r="J955" s="0" t="n">
        <v>1</v>
      </c>
      <c r="K955" s="0" t="n">
        <v>0</v>
      </c>
      <c r="L955" s="0" t="n">
        <v>0</v>
      </c>
      <c r="M955" s="0" t="n">
        <v>0</v>
      </c>
      <c r="N955" s="0" t="str">
        <f aca="false">IF(OR(NOT(OR(J955=0,J955=1)),NOT(OR(K955=0,K955=1)),NOT(OR(L955=0,L955=1)),NOT(OR(M955=0,M955=1)),NOT(OR(U955=0,U955=1))),"Yes","No")</f>
        <v>No</v>
      </c>
      <c r="O955" s="0" t="str">
        <f aca="false">IF(OR(AND(M955=1,L955=0),AND(L955=1,K955=0),AND(K955=1,J955=0)),"Yes","No")</f>
        <v>No</v>
      </c>
      <c r="P955" s="0" t="n">
        <v>0</v>
      </c>
      <c r="Q955" s="0" t="str">
        <f aca="false">IF(OR(AND(M955=0,P955&gt;0),AND(M955=1,P955&lt;=0)),"Yes","No")</f>
        <v>No</v>
      </c>
      <c r="R955" s="0" t="str">
        <f aca="false">IF(AND(M955=1,P955&gt;calc_helpers!$B$5),"Yes","No")</f>
        <v>No</v>
      </c>
      <c r="S955" s="0" t="n">
        <v>1</v>
      </c>
      <c r="T955" s="0" t="str">
        <f aca="false">IF(S955&gt;0,"Yes","No")</f>
        <v>Yes</v>
      </c>
      <c r="U955" s="0" t="n">
        <v>0</v>
      </c>
      <c r="W955" s="0" t="str">
        <f aca="false">IF(OR(AND(M955=1,ISBLANK(V955)),AND(M955=0,NOT(ISBLANK(V955)))),"Yes","No")</f>
        <v>No</v>
      </c>
      <c r="X955" s="0" t="n">
        <v>64.1</v>
      </c>
      <c r="Y955" s="3" t="s">
        <v>30</v>
      </c>
      <c r="Z955" s="0" t="str">
        <f aca="false">IF(M955=1,P955,"")</f>
        <v/>
      </c>
    </row>
    <row r="956" customFormat="false" ht="15" hidden="false" customHeight="false" outlineLevel="0" collapsed="false">
      <c r="A956" s="0" t="s">
        <v>1000</v>
      </c>
      <c r="B956" s="2" t="n">
        <v>45730</v>
      </c>
      <c r="C956" s="3" t="s">
        <v>736</v>
      </c>
      <c r="D956" s="3" t="s">
        <v>34</v>
      </c>
      <c r="E956" s="3" t="s">
        <v>35</v>
      </c>
      <c r="F956" s="3" t="s">
        <v>30</v>
      </c>
      <c r="G956" s="3" t="s">
        <v>40</v>
      </c>
      <c r="H956" s="3" t="s">
        <v>30</v>
      </c>
      <c r="I956" s="3" t="s">
        <v>41</v>
      </c>
      <c r="J956" s="0" t="n">
        <v>1</v>
      </c>
      <c r="K956" s="0" t="n">
        <v>0</v>
      </c>
      <c r="L956" s="0" t="n">
        <v>0</v>
      </c>
      <c r="M956" s="0" t="n">
        <v>0</v>
      </c>
      <c r="N956" s="0" t="str">
        <f aca="false">IF(OR(NOT(OR(J956=0,J956=1)),NOT(OR(K956=0,K956=1)),NOT(OR(L956=0,L956=1)),NOT(OR(M956=0,M956=1)),NOT(OR(U956=0,U956=1))),"Yes","No")</f>
        <v>No</v>
      </c>
      <c r="O956" s="0" t="str">
        <f aca="false">IF(OR(AND(M956=1,L956=0),AND(L956=1,K956=0),AND(K956=1,J956=0)),"Yes","No")</f>
        <v>No</v>
      </c>
      <c r="P956" s="0" t="n">
        <v>0</v>
      </c>
      <c r="Q956" s="0" t="str">
        <f aca="false">IF(OR(AND(M956=0,P956&gt;0),AND(M956=1,P956&lt;=0)),"Yes","No")</f>
        <v>No</v>
      </c>
      <c r="R956" s="0" t="str">
        <f aca="false">IF(AND(M956=1,P956&gt;calc_helpers!$B$5),"Yes","No")</f>
        <v>No</v>
      </c>
      <c r="S956" s="0" t="n">
        <v>0</v>
      </c>
      <c r="T956" s="0" t="str">
        <f aca="false">IF(S956&gt;0,"Yes","No")</f>
        <v>No</v>
      </c>
      <c r="U956" s="0" t="n">
        <v>0</v>
      </c>
      <c r="W956" s="0" t="str">
        <f aca="false">IF(OR(AND(M956=1,ISBLANK(V956)),AND(M956=0,NOT(ISBLANK(V956)))),"Yes","No")</f>
        <v>No</v>
      </c>
      <c r="X956" s="0" t="n">
        <v>67.3</v>
      </c>
      <c r="Y956" s="3" t="s">
        <v>30</v>
      </c>
      <c r="Z956" s="0" t="str">
        <f aca="false">IF(M956=1,P956,"")</f>
        <v/>
      </c>
    </row>
    <row r="957" customFormat="false" ht="15" hidden="false" customHeight="false" outlineLevel="0" collapsed="false">
      <c r="A957" s="0" t="s">
        <v>1001</v>
      </c>
      <c r="B957" s="2" t="n">
        <v>45671</v>
      </c>
      <c r="C957" s="3" t="s">
        <v>736</v>
      </c>
      <c r="D957" s="3" t="s">
        <v>34</v>
      </c>
      <c r="E957" s="3" t="s">
        <v>35</v>
      </c>
      <c r="F957" s="3" t="s">
        <v>30</v>
      </c>
      <c r="G957" s="3" t="s">
        <v>50</v>
      </c>
      <c r="H957" s="3" t="s">
        <v>30</v>
      </c>
      <c r="I957" s="3" t="s">
        <v>37</v>
      </c>
      <c r="J957" s="0" t="n">
        <v>0</v>
      </c>
      <c r="K957" s="0" t="n">
        <v>0</v>
      </c>
      <c r="L957" s="0" t="n">
        <v>0</v>
      </c>
      <c r="M957" s="0" t="n">
        <v>0</v>
      </c>
      <c r="N957" s="0" t="str">
        <f aca="false">IF(OR(NOT(OR(J957=0,J957=1)),NOT(OR(K957=0,K957=1)),NOT(OR(L957=0,L957=1)),NOT(OR(M957=0,M957=1)),NOT(OR(U957=0,U957=1))),"Yes","No")</f>
        <v>No</v>
      </c>
      <c r="O957" s="0" t="str">
        <f aca="false">IF(OR(AND(M957=1,L957=0),AND(L957=1,K957=0),AND(K957=1,J957=0)),"Yes","No")</f>
        <v>No</v>
      </c>
      <c r="P957" s="0" t="n">
        <v>0</v>
      </c>
      <c r="Q957" s="0" t="str">
        <f aca="false">IF(OR(AND(M957=0,P957&gt;0),AND(M957=1,P957&lt;=0)),"Yes","No")</f>
        <v>No</v>
      </c>
      <c r="R957" s="0" t="str">
        <f aca="false">IF(AND(M957=1,P957&gt;calc_helpers!$B$5),"Yes","No")</f>
        <v>No</v>
      </c>
      <c r="S957" s="0" t="n">
        <v>2</v>
      </c>
      <c r="T957" s="0" t="str">
        <f aca="false">IF(S957&gt;0,"Yes","No")</f>
        <v>Yes</v>
      </c>
      <c r="U957" s="0" t="n">
        <v>0</v>
      </c>
      <c r="W957" s="0" t="str">
        <f aca="false">IF(OR(AND(M957=1,ISBLANK(V957)),AND(M957=0,NOT(ISBLANK(V957)))),"Yes","No")</f>
        <v>No</v>
      </c>
      <c r="X957" s="0" t="n">
        <v>41</v>
      </c>
      <c r="Y957" s="3" t="s">
        <v>30</v>
      </c>
      <c r="Z957" s="0" t="str">
        <f aca="false">IF(M957=1,P957,"")</f>
        <v/>
      </c>
    </row>
    <row r="958" customFormat="false" ht="15" hidden="false" customHeight="false" outlineLevel="0" collapsed="false">
      <c r="A958" s="0" t="s">
        <v>1002</v>
      </c>
      <c r="B958" s="2" t="n">
        <v>45782</v>
      </c>
      <c r="C958" s="3" t="s">
        <v>736</v>
      </c>
      <c r="D958" s="3" t="s">
        <v>34</v>
      </c>
      <c r="E958" s="3" t="s">
        <v>35</v>
      </c>
      <c r="F958" s="3" t="s">
        <v>30</v>
      </c>
      <c r="G958" s="3" t="s">
        <v>40</v>
      </c>
      <c r="H958" s="3" t="s">
        <v>30</v>
      </c>
      <c r="I958" s="3" t="s">
        <v>37</v>
      </c>
      <c r="J958" s="0" t="n">
        <v>0</v>
      </c>
      <c r="K958" s="0" t="n">
        <v>0</v>
      </c>
      <c r="L958" s="0" t="n">
        <v>0</v>
      </c>
      <c r="M958" s="0" t="n">
        <v>0</v>
      </c>
      <c r="N958" s="0" t="str">
        <f aca="false">IF(OR(NOT(OR(J958=0,J958=1)),NOT(OR(K958=0,K958=1)),NOT(OR(L958=0,L958=1)),NOT(OR(M958=0,M958=1)),NOT(OR(U958=0,U958=1))),"Yes","No")</f>
        <v>No</v>
      </c>
      <c r="O958" s="0" t="str">
        <f aca="false">IF(OR(AND(M958=1,L958=0),AND(L958=1,K958=0),AND(K958=1,J958=0)),"Yes","No")</f>
        <v>No</v>
      </c>
      <c r="P958" s="0" t="n">
        <v>0</v>
      </c>
      <c r="Q958" s="0" t="str">
        <f aca="false">IF(OR(AND(M958=0,P958&gt;0),AND(M958=1,P958&lt;=0)),"Yes","No")</f>
        <v>No</v>
      </c>
      <c r="R958" s="0" t="str">
        <f aca="false">IF(AND(M958=1,P958&gt;calc_helpers!$B$5),"Yes","No")</f>
        <v>No</v>
      </c>
      <c r="S958" s="0" t="n">
        <v>0</v>
      </c>
      <c r="T958" s="0" t="str">
        <f aca="false">IF(S958&gt;0,"Yes","No")</f>
        <v>No</v>
      </c>
      <c r="U958" s="0" t="n">
        <v>0</v>
      </c>
      <c r="W958" s="0" t="str">
        <f aca="false">IF(OR(AND(M958=1,ISBLANK(V958)),AND(M958=0,NOT(ISBLANK(V958)))),"Yes","No")</f>
        <v>No</v>
      </c>
      <c r="X958" s="0" t="n">
        <v>48.1</v>
      </c>
      <c r="Y958" s="3" t="s">
        <v>30</v>
      </c>
      <c r="Z958" s="0" t="str">
        <f aca="false">IF(M958=1,P958,"")</f>
        <v/>
      </c>
    </row>
    <row r="959" customFormat="false" ht="15" hidden="false" customHeight="false" outlineLevel="0" collapsed="false">
      <c r="A959" s="0" t="s">
        <v>1003</v>
      </c>
      <c r="B959" s="2" t="n">
        <v>45779</v>
      </c>
      <c r="C959" s="3" t="s">
        <v>736</v>
      </c>
      <c r="D959" s="3" t="s">
        <v>34</v>
      </c>
      <c r="E959" s="3" t="s">
        <v>29</v>
      </c>
      <c r="F959" s="3" t="s">
        <v>30</v>
      </c>
      <c r="G959" s="3" t="s">
        <v>52</v>
      </c>
      <c r="H959" s="3" t="s">
        <v>30</v>
      </c>
      <c r="I959" s="3" t="s">
        <v>37</v>
      </c>
      <c r="J959" s="0" t="n">
        <v>0</v>
      </c>
      <c r="K959" s="0" t="n">
        <v>0</v>
      </c>
      <c r="L959" s="0" t="n">
        <v>0</v>
      </c>
      <c r="M959" s="0" t="n">
        <v>0</v>
      </c>
      <c r="N959" s="0" t="str">
        <f aca="false">IF(OR(NOT(OR(J959=0,J959=1)),NOT(OR(K959=0,K959=1)),NOT(OR(L959=0,L959=1)),NOT(OR(M959=0,M959=1)),NOT(OR(U959=0,U959=1))),"Yes","No")</f>
        <v>No</v>
      </c>
      <c r="O959" s="0" t="str">
        <f aca="false">IF(OR(AND(M959=1,L959=0),AND(L959=1,K959=0),AND(K959=1,J959=0)),"Yes","No")</f>
        <v>No</v>
      </c>
      <c r="P959" s="0" t="n">
        <v>0</v>
      </c>
      <c r="Q959" s="0" t="str">
        <f aca="false">IF(OR(AND(M959=0,P959&gt;0),AND(M959=1,P959&lt;=0)),"Yes","No")</f>
        <v>No</v>
      </c>
      <c r="R959" s="0" t="str">
        <f aca="false">IF(AND(M959=1,P959&gt;calc_helpers!$B$5),"Yes","No")</f>
        <v>No</v>
      </c>
      <c r="S959" s="0" t="n">
        <v>1</v>
      </c>
      <c r="T959" s="0" t="str">
        <f aca="false">IF(S959&gt;0,"Yes","No")</f>
        <v>Yes</v>
      </c>
      <c r="U959" s="0" t="n">
        <v>0</v>
      </c>
      <c r="W959" s="0" t="str">
        <f aca="false">IF(OR(AND(M959=1,ISBLANK(V959)),AND(M959=0,NOT(ISBLANK(V959)))),"Yes","No")</f>
        <v>No</v>
      </c>
      <c r="X959" s="0" t="n">
        <v>60.8</v>
      </c>
      <c r="Y959" s="3" t="s">
        <v>30</v>
      </c>
      <c r="Z959" s="0" t="str">
        <f aca="false">IF(M959=1,P959,"")</f>
        <v/>
      </c>
    </row>
    <row r="960" customFormat="false" ht="15" hidden="false" customHeight="false" outlineLevel="0" collapsed="false">
      <c r="A960" s="0" t="s">
        <v>1004</v>
      </c>
      <c r="B960" s="2" t="n">
        <v>45798</v>
      </c>
      <c r="C960" s="3" t="s">
        <v>736</v>
      </c>
      <c r="D960" s="3" t="s">
        <v>39</v>
      </c>
      <c r="E960" s="3" t="s">
        <v>35</v>
      </c>
      <c r="F960" s="3" t="s">
        <v>30</v>
      </c>
      <c r="G960" s="3" t="s">
        <v>36</v>
      </c>
      <c r="H960" s="3" t="s">
        <v>30</v>
      </c>
      <c r="I960" s="3" t="s">
        <v>37</v>
      </c>
      <c r="J960" s="0" t="n">
        <v>1</v>
      </c>
      <c r="K960" s="0" t="n">
        <v>0</v>
      </c>
      <c r="L960" s="0" t="n">
        <v>0</v>
      </c>
      <c r="M960" s="0" t="n">
        <v>0</v>
      </c>
      <c r="N960" s="0" t="str">
        <f aca="false">IF(OR(NOT(OR(J960=0,J960=1)),NOT(OR(K960=0,K960=1)),NOT(OR(L960=0,L960=1)),NOT(OR(M960=0,M960=1)),NOT(OR(U960=0,U960=1))),"Yes","No")</f>
        <v>No</v>
      </c>
      <c r="O960" s="0" t="str">
        <f aca="false">IF(OR(AND(M960=1,L960=0),AND(L960=1,K960=0),AND(K960=1,J960=0)),"Yes","No")</f>
        <v>No</v>
      </c>
      <c r="P960" s="0" t="n">
        <v>0</v>
      </c>
      <c r="Q960" s="0" t="str">
        <f aca="false">IF(OR(AND(M960=0,P960&gt;0),AND(M960=1,P960&lt;=0)),"Yes","No")</f>
        <v>No</v>
      </c>
      <c r="R960" s="0" t="str">
        <f aca="false">IF(AND(M960=1,P960&gt;calc_helpers!$B$5),"Yes","No")</f>
        <v>No</v>
      </c>
      <c r="S960" s="0" t="n">
        <v>0</v>
      </c>
      <c r="T960" s="0" t="str">
        <f aca="false">IF(S960&gt;0,"Yes","No")</f>
        <v>No</v>
      </c>
      <c r="U960" s="0" t="n">
        <v>0</v>
      </c>
      <c r="W960" s="0" t="str">
        <f aca="false">IF(OR(AND(M960=1,ISBLANK(V960)),AND(M960=0,NOT(ISBLANK(V960)))),"Yes","No")</f>
        <v>No</v>
      </c>
      <c r="X960" s="0" t="n">
        <v>63.1</v>
      </c>
      <c r="Y960" s="3" t="s">
        <v>30</v>
      </c>
      <c r="Z960" s="0" t="str">
        <f aca="false">IF(M960=1,P960,"")</f>
        <v/>
      </c>
    </row>
    <row r="961" customFormat="false" ht="15" hidden="false" customHeight="false" outlineLevel="0" collapsed="false">
      <c r="A961" s="0" t="s">
        <v>1005</v>
      </c>
      <c r="B961" s="2" t="n">
        <v>45793</v>
      </c>
      <c r="C961" s="3" t="s">
        <v>736</v>
      </c>
      <c r="D961" s="3" t="s">
        <v>28</v>
      </c>
      <c r="E961" s="3" t="s">
        <v>35</v>
      </c>
      <c r="F961" s="3" t="s">
        <v>30</v>
      </c>
      <c r="G961" s="3" t="s">
        <v>50</v>
      </c>
      <c r="H961" s="3" t="s">
        <v>30</v>
      </c>
      <c r="I961" s="3" t="s">
        <v>41</v>
      </c>
      <c r="J961" s="0" t="n">
        <v>1</v>
      </c>
      <c r="K961" s="0" t="n">
        <v>0</v>
      </c>
      <c r="L961" s="0" t="n">
        <v>0</v>
      </c>
      <c r="M961" s="0" t="n">
        <v>0</v>
      </c>
      <c r="N961" s="0" t="str">
        <f aca="false">IF(OR(NOT(OR(J961=0,J961=1)),NOT(OR(K961=0,K961=1)),NOT(OR(L961=0,L961=1)),NOT(OR(M961=0,M961=1)),NOT(OR(U961=0,U961=1))),"Yes","No")</f>
        <v>No</v>
      </c>
      <c r="O961" s="0" t="str">
        <f aca="false">IF(OR(AND(M961=1,L961=0),AND(L961=1,K961=0),AND(K961=1,J961=0)),"Yes","No")</f>
        <v>No</v>
      </c>
      <c r="P961" s="0" t="n">
        <v>0</v>
      </c>
      <c r="Q961" s="0" t="str">
        <f aca="false">IF(OR(AND(M961=0,P961&gt;0),AND(M961=1,P961&lt;=0)),"Yes","No")</f>
        <v>No</v>
      </c>
      <c r="R961" s="0" t="str">
        <f aca="false">IF(AND(M961=1,P961&gt;calc_helpers!$B$5),"Yes","No")</f>
        <v>No</v>
      </c>
      <c r="S961" s="0" t="n">
        <v>2</v>
      </c>
      <c r="T961" s="0" t="str">
        <f aca="false">IF(S961&gt;0,"Yes","No")</f>
        <v>Yes</v>
      </c>
      <c r="U961" s="0" t="n">
        <v>0</v>
      </c>
      <c r="W961" s="0" t="str">
        <f aca="false">IF(OR(AND(M961=1,ISBLANK(V961)),AND(M961=0,NOT(ISBLANK(V961)))),"Yes","No")</f>
        <v>No</v>
      </c>
      <c r="X961" s="0" t="n">
        <v>49.7</v>
      </c>
      <c r="Y961" s="3" t="s">
        <v>30</v>
      </c>
      <c r="Z961" s="0" t="str">
        <f aca="false">IF(M961=1,P961,"")</f>
        <v/>
      </c>
    </row>
    <row r="962" customFormat="false" ht="15" hidden="false" customHeight="false" outlineLevel="0" collapsed="false">
      <c r="A962" s="0" t="s">
        <v>1006</v>
      </c>
      <c r="B962" s="2" t="n">
        <v>45801</v>
      </c>
      <c r="C962" s="3" t="s">
        <v>736</v>
      </c>
      <c r="D962" s="3" t="s">
        <v>39</v>
      </c>
      <c r="E962" s="3" t="s">
        <v>29</v>
      </c>
      <c r="F962" s="3" t="s">
        <v>30</v>
      </c>
      <c r="G962" s="3" t="s">
        <v>36</v>
      </c>
      <c r="H962" s="3" t="s">
        <v>30</v>
      </c>
      <c r="I962" s="3" t="s">
        <v>41</v>
      </c>
      <c r="J962" s="0" t="n">
        <v>1</v>
      </c>
      <c r="K962" s="0" t="n">
        <v>1</v>
      </c>
      <c r="L962" s="0" t="n">
        <v>1</v>
      </c>
      <c r="M962" s="0" t="n">
        <v>0</v>
      </c>
      <c r="N962" s="0" t="str">
        <f aca="false">IF(OR(NOT(OR(J962=0,J962=1)),NOT(OR(K962=0,K962=1)),NOT(OR(L962=0,L962=1)),NOT(OR(M962=0,M962=1)),NOT(OR(U962=0,U962=1))),"Yes","No")</f>
        <v>No</v>
      </c>
      <c r="O962" s="0" t="str">
        <f aca="false">IF(OR(AND(M962=1,L962=0),AND(L962=1,K962=0),AND(K962=1,J962=0)),"Yes","No")</f>
        <v>No</v>
      </c>
      <c r="P962" s="0" t="n">
        <v>0</v>
      </c>
      <c r="Q962" s="0" t="str">
        <f aca="false">IF(OR(AND(M962=0,P962&gt;0),AND(M962=1,P962&lt;=0)),"Yes","No")</f>
        <v>No</v>
      </c>
      <c r="R962" s="0" t="str">
        <f aca="false">IF(AND(M962=1,P962&gt;calc_helpers!$B$5),"Yes","No")</f>
        <v>No</v>
      </c>
      <c r="S962" s="0" t="n">
        <v>1</v>
      </c>
      <c r="T962" s="0" t="str">
        <f aca="false">IF(S962&gt;0,"Yes","No")</f>
        <v>Yes</v>
      </c>
      <c r="U962" s="0" t="n">
        <v>0</v>
      </c>
      <c r="W962" s="0" t="str">
        <f aca="false">IF(OR(AND(M962=1,ISBLANK(V962)),AND(M962=0,NOT(ISBLANK(V962)))),"Yes","No")</f>
        <v>No</v>
      </c>
      <c r="X962" s="0" t="n">
        <v>83.4</v>
      </c>
      <c r="Y962" s="3" t="s">
        <v>30</v>
      </c>
      <c r="Z962" s="0" t="str">
        <f aca="false">IF(M962=1,P962,"")</f>
        <v/>
      </c>
    </row>
    <row r="963" customFormat="false" ht="15" hidden="false" customHeight="false" outlineLevel="0" collapsed="false">
      <c r="A963" s="0" t="s">
        <v>1007</v>
      </c>
      <c r="B963" s="2" t="n">
        <v>45734</v>
      </c>
      <c r="C963" s="3" t="s">
        <v>736</v>
      </c>
      <c r="D963" s="3" t="s">
        <v>39</v>
      </c>
      <c r="E963" s="3" t="s">
        <v>35</v>
      </c>
      <c r="F963" s="3" t="s">
        <v>30</v>
      </c>
      <c r="G963" s="3" t="s">
        <v>36</v>
      </c>
      <c r="H963" s="3" t="s">
        <v>30</v>
      </c>
      <c r="I963" s="3" t="s">
        <v>32</v>
      </c>
      <c r="J963" s="0" t="n">
        <v>1</v>
      </c>
      <c r="K963" s="0" t="n">
        <v>0</v>
      </c>
      <c r="L963" s="0" t="n">
        <v>0</v>
      </c>
      <c r="M963" s="0" t="n">
        <v>0</v>
      </c>
      <c r="N963" s="0" t="str">
        <f aca="false">IF(OR(NOT(OR(J963=0,J963=1)),NOT(OR(K963=0,K963=1)),NOT(OR(L963=0,L963=1)),NOT(OR(M963=0,M963=1)),NOT(OR(U963=0,U963=1))),"Yes","No")</f>
        <v>No</v>
      </c>
      <c r="O963" s="0" t="str">
        <f aca="false">IF(OR(AND(M963=1,L963=0),AND(L963=1,K963=0),AND(K963=1,J963=0)),"Yes","No")</f>
        <v>No</v>
      </c>
      <c r="P963" s="0" t="n">
        <v>0</v>
      </c>
      <c r="Q963" s="0" t="str">
        <f aca="false">IF(OR(AND(M963=0,P963&gt;0),AND(M963=1,P963&lt;=0)),"Yes","No")</f>
        <v>No</v>
      </c>
      <c r="R963" s="0" t="str">
        <f aca="false">IF(AND(M963=1,P963&gt;calc_helpers!$B$5),"Yes","No")</f>
        <v>No</v>
      </c>
      <c r="S963" s="0" t="n">
        <v>0</v>
      </c>
      <c r="T963" s="0" t="str">
        <f aca="false">IF(S963&gt;0,"Yes","No")</f>
        <v>No</v>
      </c>
      <c r="U963" s="0" t="n">
        <v>0</v>
      </c>
      <c r="W963" s="0" t="str">
        <f aca="false">IF(OR(AND(M963=1,ISBLANK(V963)),AND(M963=0,NOT(ISBLANK(V963)))),"Yes","No")</f>
        <v>No</v>
      </c>
      <c r="X963" s="0" t="n">
        <v>75.9</v>
      </c>
      <c r="Y963" s="3" t="s">
        <v>30</v>
      </c>
      <c r="Z963" s="0" t="str">
        <f aca="false">IF(M963=1,P963,"")</f>
        <v/>
      </c>
    </row>
    <row r="964" customFormat="false" ht="15" hidden="false" customHeight="false" outlineLevel="0" collapsed="false">
      <c r="A964" s="0" t="s">
        <v>1008</v>
      </c>
      <c r="B964" s="2" t="n">
        <v>45668</v>
      </c>
      <c r="C964" s="3" t="s">
        <v>736</v>
      </c>
      <c r="D964" s="3" t="s">
        <v>39</v>
      </c>
      <c r="E964" s="3" t="s">
        <v>29</v>
      </c>
      <c r="F964" s="3" t="s">
        <v>30</v>
      </c>
      <c r="G964" s="3" t="s">
        <v>40</v>
      </c>
      <c r="H964" s="3" t="s">
        <v>30</v>
      </c>
      <c r="I964" s="3" t="s">
        <v>37</v>
      </c>
      <c r="J964" s="0" t="n">
        <v>0</v>
      </c>
      <c r="K964" s="0" t="n">
        <v>0</v>
      </c>
      <c r="L964" s="0" t="n">
        <v>0</v>
      </c>
      <c r="M964" s="0" t="n">
        <v>0</v>
      </c>
      <c r="N964" s="0" t="str">
        <f aca="false">IF(OR(NOT(OR(J964=0,J964=1)),NOT(OR(K964=0,K964=1)),NOT(OR(L964=0,L964=1)),NOT(OR(M964=0,M964=1)),NOT(OR(U964=0,U964=1))),"Yes","No")</f>
        <v>No</v>
      </c>
      <c r="O964" s="0" t="str">
        <f aca="false">IF(OR(AND(M964=1,L964=0),AND(L964=1,K964=0),AND(K964=1,J964=0)),"Yes","No")</f>
        <v>No</v>
      </c>
      <c r="P964" s="0" t="n">
        <v>0</v>
      </c>
      <c r="Q964" s="0" t="str">
        <f aca="false">IF(OR(AND(M964=0,P964&gt;0),AND(M964=1,P964&lt;=0)),"Yes","No")</f>
        <v>No</v>
      </c>
      <c r="R964" s="0" t="str">
        <f aca="false">IF(AND(M964=1,P964&gt;calc_helpers!$B$5),"Yes","No")</f>
        <v>No</v>
      </c>
      <c r="S964" s="0" t="n">
        <v>1</v>
      </c>
      <c r="T964" s="0" t="str">
        <f aca="false">IF(S964&gt;0,"Yes","No")</f>
        <v>Yes</v>
      </c>
      <c r="U964" s="0" t="n">
        <v>0</v>
      </c>
      <c r="W964" s="0" t="str">
        <f aca="false">IF(OR(AND(M964=1,ISBLANK(V964)),AND(M964=0,NOT(ISBLANK(V964)))),"Yes","No")</f>
        <v>No</v>
      </c>
      <c r="X964" s="0" t="n">
        <v>71.8</v>
      </c>
      <c r="Y964" s="3" t="s">
        <v>30</v>
      </c>
      <c r="Z964" s="0" t="str">
        <f aca="false">IF(M964=1,P964,"")</f>
        <v/>
      </c>
    </row>
    <row r="965" customFormat="false" ht="15" hidden="false" customHeight="false" outlineLevel="0" collapsed="false">
      <c r="A965" s="0" t="s">
        <v>1009</v>
      </c>
      <c r="B965" s="2" t="n">
        <v>45697</v>
      </c>
      <c r="C965" s="3" t="s">
        <v>736</v>
      </c>
      <c r="D965" s="3" t="s">
        <v>43</v>
      </c>
      <c r="E965" s="3" t="s">
        <v>35</v>
      </c>
      <c r="F965" s="3" t="s">
        <v>30</v>
      </c>
      <c r="G965" s="3" t="s">
        <v>36</v>
      </c>
      <c r="H965" s="3" t="s">
        <v>30</v>
      </c>
      <c r="I965" s="3" t="s">
        <v>32</v>
      </c>
      <c r="J965" s="0" t="n">
        <v>0</v>
      </c>
      <c r="K965" s="0" t="n">
        <v>0</v>
      </c>
      <c r="L965" s="0" t="n">
        <v>0</v>
      </c>
      <c r="M965" s="0" t="n">
        <v>0</v>
      </c>
      <c r="N965" s="0" t="str">
        <f aca="false">IF(OR(NOT(OR(J965=0,J965=1)),NOT(OR(K965=0,K965=1)),NOT(OR(L965=0,L965=1)),NOT(OR(M965=0,M965=1)),NOT(OR(U965=0,U965=1))),"Yes","No")</f>
        <v>No</v>
      </c>
      <c r="O965" s="0" t="str">
        <f aca="false">IF(OR(AND(M965=1,L965=0),AND(L965=1,K965=0),AND(K965=1,J965=0)),"Yes","No")</f>
        <v>No</v>
      </c>
      <c r="P965" s="0" t="n">
        <v>0</v>
      </c>
      <c r="Q965" s="0" t="str">
        <f aca="false">IF(OR(AND(M965=0,P965&gt;0),AND(M965=1,P965&lt;=0)),"Yes","No")</f>
        <v>No</v>
      </c>
      <c r="R965" s="0" t="str">
        <f aca="false">IF(AND(M965=1,P965&gt;calc_helpers!$B$5),"Yes","No")</f>
        <v>No</v>
      </c>
      <c r="S965" s="0" t="n">
        <v>0</v>
      </c>
      <c r="T965" s="0" t="str">
        <f aca="false">IF(S965&gt;0,"Yes","No")</f>
        <v>No</v>
      </c>
      <c r="U965" s="0" t="n">
        <v>0</v>
      </c>
      <c r="W965" s="0" t="str">
        <f aca="false">IF(OR(AND(M965=1,ISBLANK(V965)),AND(M965=0,NOT(ISBLANK(V965)))),"Yes","No")</f>
        <v>No</v>
      </c>
      <c r="X965" s="0" t="n">
        <v>37.9</v>
      </c>
      <c r="Y965" s="3" t="s">
        <v>30</v>
      </c>
      <c r="Z965" s="0" t="str">
        <f aca="false">IF(M965=1,P965,"")</f>
        <v/>
      </c>
    </row>
    <row r="966" customFormat="false" ht="15" hidden="false" customHeight="false" outlineLevel="0" collapsed="false">
      <c r="A966" s="0" t="s">
        <v>1010</v>
      </c>
      <c r="B966" s="2" t="n">
        <v>45717</v>
      </c>
      <c r="C966" s="3" t="s">
        <v>736</v>
      </c>
      <c r="D966" s="3" t="s">
        <v>28</v>
      </c>
      <c r="E966" s="3" t="s">
        <v>29</v>
      </c>
      <c r="F966" s="3" t="s">
        <v>30</v>
      </c>
      <c r="G966" s="3" t="s">
        <v>52</v>
      </c>
      <c r="H966" s="3" t="s">
        <v>30</v>
      </c>
      <c r="I966" s="3" t="s">
        <v>37</v>
      </c>
      <c r="J966" s="0" t="n">
        <v>1</v>
      </c>
      <c r="K966" s="0" t="n">
        <v>0</v>
      </c>
      <c r="L966" s="0" t="n">
        <v>0</v>
      </c>
      <c r="M966" s="0" t="n">
        <v>0</v>
      </c>
      <c r="N966" s="0" t="str">
        <f aca="false">IF(OR(NOT(OR(J966=0,J966=1)),NOT(OR(K966=0,K966=1)),NOT(OR(L966=0,L966=1)),NOT(OR(M966=0,M966=1)),NOT(OR(U966=0,U966=1))),"Yes","No")</f>
        <v>No</v>
      </c>
      <c r="O966" s="0" t="str">
        <f aca="false">IF(OR(AND(M966=1,L966=0),AND(L966=1,K966=0),AND(K966=1,J966=0)),"Yes","No")</f>
        <v>No</v>
      </c>
      <c r="P966" s="0" t="n">
        <v>0</v>
      </c>
      <c r="Q966" s="0" t="str">
        <f aca="false">IF(OR(AND(M966=0,P966&gt;0),AND(M966=1,P966&lt;=0)),"Yes","No")</f>
        <v>No</v>
      </c>
      <c r="R966" s="0" t="str">
        <f aca="false">IF(AND(M966=1,P966&gt;calc_helpers!$B$5),"Yes","No")</f>
        <v>No</v>
      </c>
      <c r="S966" s="0" t="n">
        <v>0</v>
      </c>
      <c r="T966" s="0" t="str">
        <f aca="false">IF(S966&gt;0,"Yes","No")</f>
        <v>No</v>
      </c>
      <c r="U966" s="0" t="n">
        <v>0</v>
      </c>
      <c r="W966" s="0" t="str">
        <f aca="false">IF(OR(AND(M966=1,ISBLANK(V966)),AND(M966=0,NOT(ISBLANK(V966)))),"Yes","No")</f>
        <v>No</v>
      </c>
      <c r="X966" s="0" t="n">
        <v>59.8</v>
      </c>
      <c r="Y966" s="3" t="s">
        <v>30</v>
      </c>
      <c r="Z966" s="0" t="str">
        <f aca="false">IF(M966=1,P966,"")</f>
        <v/>
      </c>
    </row>
    <row r="967" customFormat="false" ht="15" hidden="false" customHeight="false" outlineLevel="0" collapsed="false">
      <c r="A967" s="0" t="s">
        <v>1011</v>
      </c>
      <c r="B967" s="2" t="n">
        <v>45784</v>
      </c>
      <c r="C967" s="3" t="s">
        <v>736</v>
      </c>
      <c r="D967" s="3" t="s">
        <v>28</v>
      </c>
      <c r="E967" s="3" t="s">
        <v>35</v>
      </c>
      <c r="F967" s="3" t="s">
        <v>30</v>
      </c>
      <c r="G967" s="3" t="s">
        <v>36</v>
      </c>
      <c r="H967" s="3" t="s">
        <v>30</v>
      </c>
      <c r="I967" s="3" t="s">
        <v>32</v>
      </c>
      <c r="J967" s="0" t="n">
        <v>0</v>
      </c>
      <c r="K967" s="0" t="n">
        <v>0</v>
      </c>
      <c r="L967" s="0" t="n">
        <v>0</v>
      </c>
      <c r="M967" s="0" t="n">
        <v>0</v>
      </c>
      <c r="N967" s="0" t="str">
        <f aca="false">IF(OR(NOT(OR(J967=0,J967=1)),NOT(OR(K967=0,K967=1)),NOT(OR(L967=0,L967=1)),NOT(OR(M967=0,M967=1)),NOT(OR(U967=0,U967=1))),"Yes","No")</f>
        <v>No</v>
      </c>
      <c r="O967" s="0" t="str">
        <f aca="false">IF(OR(AND(M967=1,L967=0),AND(L967=1,K967=0),AND(K967=1,J967=0)),"Yes","No")</f>
        <v>No</v>
      </c>
      <c r="P967" s="0" t="n">
        <v>0</v>
      </c>
      <c r="Q967" s="0" t="str">
        <f aca="false">IF(OR(AND(M967=0,P967&gt;0),AND(M967=1,P967&lt;=0)),"Yes","No")</f>
        <v>No</v>
      </c>
      <c r="R967" s="0" t="str">
        <f aca="false">IF(AND(M967=1,P967&gt;calc_helpers!$B$5),"Yes","No")</f>
        <v>No</v>
      </c>
      <c r="S967" s="0" t="n">
        <v>0</v>
      </c>
      <c r="T967" s="0" t="str">
        <f aca="false">IF(S967&gt;0,"Yes","No")</f>
        <v>No</v>
      </c>
      <c r="U967" s="0" t="n">
        <v>0</v>
      </c>
      <c r="W967" s="0" t="str">
        <f aca="false">IF(OR(AND(M967=1,ISBLANK(V967)),AND(M967=0,NOT(ISBLANK(V967)))),"Yes","No")</f>
        <v>No</v>
      </c>
      <c r="X967" s="0" t="n">
        <v>66.9</v>
      </c>
      <c r="Y967" s="3" t="s">
        <v>30</v>
      </c>
      <c r="Z967" s="0" t="str">
        <f aca="false">IF(M967=1,P967,"")</f>
        <v/>
      </c>
    </row>
    <row r="968" customFormat="false" ht="15" hidden="false" customHeight="false" outlineLevel="0" collapsed="false">
      <c r="A968" s="0" t="s">
        <v>1012</v>
      </c>
      <c r="B968" s="2" t="n">
        <v>45707</v>
      </c>
      <c r="C968" s="3" t="s">
        <v>736</v>
      </c>
      <c r="D968" s="3" t="s">
        <v>43</v>
      </c>
      <c r="E968" s="3" t="s">
        <v>29</v>
      </c>
      <c r="F968" s="3" t="s">
        <v>30</v>
      </c>
      <c r="G968" s="3" t="s">
        <v>167</v>
      </c>
      <c r="H968" s="3" t="s">
        <v>168</v>
      </c>
      <c r="I968" s="3" t="s">
        <v>37</v>
      </c>
      <c r="J968" s="0" t="n">
        <v>1</v>
      </c>
      <c r="K968" s="0" t="n">
        <v>0</v>
      </c>
      <c r="L968" s="0" t="n">
        <v>0</v>
      </c>
      <c r="M968" s="0" t="n">
        <v>0</v>
      </c>
      <c r="N968" s="0" t="str">
        <f aca="false">IF(OR(NOT(OR(J968=0,J968=1)),NOT(OR(K968=0,K968=1)),NOT(OR(L968=0,L968=1)),NOT(OR(M968=0,M968=1)),NOT(OR(U968=0,U968=1))),"Yes","No")</f>
        <v>No</v>
      </c>
      <c r="O968" s="0" t="str">
        <f aca="false">IF(OR(AND(M968=1,L968=0),AND(L968=1,K968=0),AND(K968=1,J968=0)),"Yes","No")</f>
        <v>No</v>
      </c>
      <c r="P968" s="0" t="n">
        <v>0</v>
      </c>
      <c r="Q968" s="0" t="str">
        <f aca="false">IF(OR(AND(M968=0,P968&gt;0),AND(M968=1,P968&lt;=0)),"Yes","No")</f>
        <v>No</v>
      </c>
      <c r="R968" s="0" t="str">
        <f aca="false">IF(AND(M968=1,P968&gt;calc_helpers!$B$5),"Yes","No")</f>
        <v>No</v>
      </c>
      <c r="S968" s="0" t="n">
        <v>0</v>
      </c>
      <c r="T968" s="0" t="str">
        <f aca="false">IF(S968&gt;0,"Yes","No")</f>
        <v>No</v>
      </c>
      <c r="U968" s="0" t="n">
        <v>0</v>
      </c>
      <c r="W968" s="0" t="str">
        <f aca="false">IF(OR(AND(M968=1,ISBLANK(V968)),AND(M968=0,NOT(ISBLANK(V968)))),"Yes","No")</f>
        <v>No</v>
      </c>
      <c r="X968" s="0" t="n">
        <v>59</v>
      </c>
      <c r="Y968" s="3" t="s">
        <v>30</v>
      </c>
      <c r="Z968" s="0" t="str">
        <f aca="false">IF(M968=1,P968,"")</f>
        <v/>
      </c>
    </row>
    <row r="969" customFormat="false" ht="15" hidden="false" customHeight="false" outlineLevel="0" collapsed="false">
      <c r="A969" s="0" t="s">
        <v>1013</v>
      </c>
      <c r="B969" s="2" t="n">
        <v>45714</v>
      </c>
      <c r="C969" s="3" t="s">
        <v>736</v>
      </c>
      <c r="D969" s="3" t="s">
        <v>34</v>
      </c>
      <c r="E969" s="3" t="s">
        <v>35</v>
      </c>
      <c r="F969" s="3" t="s">
        <v>30</v>
      </c>
      <c r="G969" s="3" t="s">
        <v>36</v>
      </c>
      <c r="H969" s="3" t="s">
        <v>30</v>
      </c>
      <c r="I969" s="3" t="s">
        <v>41</v>
      </c>
      <c r="J969" s="0" t="n">
        <v>1</v>
      </c>
      <c r="K969" s="0" t="n">
        <v>0</v>
      </c>
      <c r="L969" s="0" t="n">
        <v>0</v>
      </c>
      <c r="M969" s="0" t="n">
        <v>0</v>
      </c>
      <c r="N969" s="0" t="str">
        <f aca="false">IF(OR(NOT(OR(J969=0,J969=1)),NOT(OR(K969=0,K969=1)),NOT(OR(L969=0,L969=1)),NOT(OR(M969=0,M969=1)),NOT(OR(U969=0,U969=1))),"Yes","No")</f>
        <v>No</v>
      </c>
      <c r="O969" s="0" t="str">
        <f aca="false">IF(OR(AND(M969=1,L969=0),AND(L969=1,K969=0),AND(K969=1,J969=0)),"Yes","No")</f>
        <v>No</v>
      </c>
      <c r="P969" s="0" t="n">
        <v>0</v>
      </c>
      <c r="Q969" s="0" t="str">
        <f aca="false">IF(OR(AND(M969=0,P969&gt;0),AND(M969=1,P969&lt;=0)),"Yes","No")</f>
        <v>No</v>
      </c>
      <c r="R969" s="0" t="str">
        <f aca="false">IF(AND(M969=1,P969&gt;calc_helpers!$B$5),"Yes","No")</f>
        <v>No</v>
      </c>
      <c r="S969" s="0" t="n">
        <v>0</v>
      </c>
      <c r="T969" s="0" t="str">
        <f aca="false">IF(S969&gt;0,"Yes","No")</f>
        <v>No</v>
      </c>
      <c r="U969" s="0" t="n">
        <v>0</v>
      </c>
      <c r="W969" s="0" t="str">
        <f aca="false">IF(OR(AND(M969=1,ISBLANK(V969)),AND(M969=0,NOT(ISBLANK(V969)))),"Yes","No")</f>
        <v>No</v>
      </c>
      <c r="X969" s="0" t="n">
        <v>80.1</v>
      </c>
      <c r="Y969" s="3" t="s">
        <v>30</v>
      </c>
      <c r="Z969" s="0" t="str">
        <f aca="false">IF(M969=1,P969,"")</f>
        <v/>
      </c>
    </row>
    <row r="970" customFormat="false" ht="15" hidden="false" customHeight="false" outlineLevel="0" collapsed="false">
      <c r="A970" s="0" t="s">
        <v>1014</v>
      </c>
      <c r="B970" s="2" t="n">
        <v>45739</v>
      </c>
      <c r="C970" s="3" t="s">
        <v>736</v>
      </c>
      <c r="D970" s="3" t="s">
        <v>43</v>
      </c>
      <c r="E970" s="3" t="s">
        <v>35</v>
      </c>
      <c r="F970" s="3" t="s">
        <v>30</v>
      </c>
      <c r="G970" s="3" t="s">
        <v>52</v>
      </c>
      <c r="H970" s="3" t="s">
        <v>30</v>
      </c>
      <c r="I970" s="3" t="s">
        <v>37</v>
      </c>
      <c r="J970" s="0" t="n">
        <v>0</v>
      </c>
      <c r="K970" s="0" t="n">
        <v>0</v>
      </c>
      <c r="L970" s="0" t="n">
        <v>0</v>
      </c>
      <c r="M970" s="0" t="n">
        <v>0</v>
      </c>
      <c r="N970" s="0" t="str">
        <f aca="false">IF(OR(NOT(OR(J970=0,J970=1)),NOT(OR(K970=0,K970=1)),NOT(OR(L970=0,L970=1)),NOT(OR(M970=0,M970=1)),NOT(OR(U970=0,U970=1))),"Yes","No")</f>
        <v>No</v>
      </c>
      <c r="O970" s="0" t="str">
        <f aca="false">IF(OR(AND(M970=1,L970=0),AND(L970=1,K970=0),AND(K970=1,J970=0)),"Yes","No")</f>
        <v>No</v>
      </c>
      <c r="P970" s="0" t="n">
        <v>0</v>
      </c>
      <c r="Q970" s="0" t="str">
        <f aca="false">IF(OR(AND(M970=0,P970&gt;0),AND(M970=1,P970&lt;=0)),"Yes","No")</f>
        <v>No</v>
      </c>
      <c r="R970" s="0" t="str">
        <f aca="false">IF(AND(M970=1,P970&gt;calc_helpers!$B$5),"Yes","No")</f>
        <v>No</v>
      </c>
      <c r="S970" s="0" t="n">
        <v>0</v>
      </c>
      <c r="T970" s="0" t="str">
        <f aca="false">IF(S970&gt;0,"Yes","No")</f>
        <v>No</v>
      </c>
      <c r="U970" s="0" t="n">
        <v>0</v>
      </c>
      <c r="W970" s="0" t="str">
        <f aca="false">IF(OR(AND(M970=1,ISBLANK(V970)),AND(M970=0,NOT(ISBLANK(V970)))),"Yes","No")</f>
        <v>No</v>
      </c>
      <c r="X970" s="0" t="n">
        <v>64.3</v>
      </c>
      <c r="Y970" s="3" t="s">
        <v>30</v>
      </c>
      <c r="Z970" s="0" t="str">
        <f aca="false">IF(M970=1,P970,"")</f>
        <v/>
      </c>
    </row>
    <row r="971" customFormat="false" ht="15" hidden="false" customHeight="false" outlineLevel="0" collapsed="false">
      <c r="A971" s="0" t="s">
        <v>1015</v>
      </c>
      <c r="B971" s="2" t="n">
        <v>45772</v>
      </c>
      <c r="C971" s="3" t="s">
        <v>736</v>
      </c>
      <c r="D971" s="3" t="s">
        <v>43</v>
      </c>
      <c r="E971" s="3" t="s">
        <v>29</v>
      </c>
      <c r="F971" s="3" t="s">
        <v>30</v>
      </c>
      <c r="G971" s="3" t="s">
        <v>52</v>
      </c>
      <c r="H971" s="3" t="s">
        <v>30</v>
      </c>
      <c r="I971" s="3" t="s">
        <v>37</v>
      </c>
      <c r="J971" s="0" t="n">
        <v>0</v>
      </c>
      <c r="K971" s="0" t="n">
        <v>0</v>
      </c>
      <c r="L971" s="0" t="n">
        <v>0</v>
      </c>
      <c r="M971" s="0" t="n">
        <v>0</v>
      </c>
      <c r="N971" s="0" t="str">
        <f aca="false">IF(OR(NOT(OR(J971=0,J971=1)),NOT(OR(K971=0,K971=1)),NOT(OR(L971=0,L971=1)),NOT(OR(M971=0,M971=1)),NOT(OR(U971=0,U971=1))),"Yes","No")</f>
        <v>No</v>
      </c>
      <c r="O971" s="0" t="str">
        <f aca="false">IF(OR(AND(M971=1,L971=0),AND(L971=1,K971=0),AND(K971=1,J971=0)),"Yes","No")</f>
        <v>No</v>
      </c>
      <c r="P971" s="0" t="n">
        <v>0</v>
      </c>
      <c r="Q971" s="0" t="str">
        <f aca="false">IF(OR(AND(M971=0,P971&gt;0),AND(M971=1,P971&lt;=0)),"Yes","No")</f>
        <v>No</v>
      </c>
      <c r="R971" s="0" t="str">
        <f aca="false">IF(AND(M971=1,P971&gt;calc_helpers!$B$5),"Yes","No")</f>
        <v>No</v>
      </c>
      <c r="S971" s="0" t="n">
        <v>1</v>
      </c>
      <c r="T971" s="0" t="str">
        <f aca="false">IF(S971&gt;0,"Yes","No")</f>
        <v>Yes</v>
      </c>
      <c r="U971" s="0" t="n">
        <v>0</v>
      </c>
      <c r="W971" s="0" t="str">
        <f aca="false">IF(OR(AND(M971=1,ISBLANK(V971)),AND(M971=0,NOT(ISBLANK(V971)))),"Yes","No")</f>
        <v>No</v>
      </c>
      <c r="X971" s="0" t="n">
        <v>57.4</v>
      </c>
      <c r="Y971" s="3" t="s">
        <v>30</v>
      </c>
      <c r="Z971" s="0" t="str">
        <f aca="false">IF(M971=1,P971,"")</f>
        <v/>
      </c>
    </row>
    <row r="972" customFormat="false" ht="15" hidden="false" customHeight="false" outlineLevel="0" collapsed="false">
      <c r="A972" s="0" t="s">
        <v>1016</v>
      </c>
      <c r="B972" s="2" t="n">
        <v>45787</v>
      </c>
      <c r="C972" s="3" t="s">
        <v>736</v>
      </c>
      <c r="D972" s="3" t="s">
        <v>28</v>
      </c>
      <c r="E972" s="3" t="s">
        <v>29</v>
      </c>
      <c r="F972" s="3" t="s">
        <v>30</v>
      </c>
      <c r="G972" s="3" t="s">
        <v>52</v>
      </c>
      <c r="H972" s="3" t="s">
        <v>30</v>
      </c>
      <c r="I972" s="3" t="s">
        <v>37</v>
      </c>
      <c r="J972" s="0" t="n">
        <v>1</v>
      </c>
      <c r="K972" s="0" t="n">
        <v>1</v>
      </c>
      <c r="L972" s="0" t="n">
        <v>1</v>
      </c>
      <c r="M972" s="0" t="n">
        <v>0</v>
      </c>
      <c r="N972" s="0" t="str">
        <f aca="false">IF(OR(NOT(OR(J972=0,J972=1)),NOT(OR(K972=0,K972=1)),NOT(OR(L972=0,L972=1)),NOT(OR(M972=0,M972=1)),NOT(OR(U972=0,U972=1))),"Yes","No")</f>
        <v>No</v>
      </c>
      <c r="O972" s="0" t="str">
        <f aca="false">IF(OR(AND(M972=1,L972=0),AND(L972=1,K972=0),AND(K972=1,J972=0)),"Yes","No")</f>
        <v>No</v>
      </c>
      <c r="P972" s="0" t="n">
        <v>0</v>
      </c>
      <c r="Q972" s="0" t="str">
        <f aca="false">IF(OR(AND(M972=0,P972&gt;0),AND(M972=1,P972&lt;=0)),"Yes","No")</f>
        <v>No</v>
      </c>
      <c r="R972" s="0" t="str">
        <f aca="false">IF(AND(M972=1,P972&gt;calc_helpers!$B$5),"Yes","No")</f>
        <v>No</v>
      </c>
      <c r="S972" s="0" t="n">
        <v>0</v>
      </c>
      <c r="T972" s="0" t="str">
        <f aca="false">IF(S972&gt;0,"Yes","No")</f>
        <v>No</v>
      </c>
      <c r="U972" s="0" t="n">
        <v>0</v>
      </c>
      <c r="W972" s="0" t="str">
        <f aca="false">IF(OR(AND(M972=1,ISBLANK(V972)),AND(M972=0,NOT(ISBLANK(V972)))),"Yes","No")</f>
        <v>No</v>
      </c>
      <c r="X972" s="0" t="n">
        <v>83.6</v>
      </c>
      <c r="Y972" s="3" t="s">
        <v>30</v>
      </c>
      <c r="Z972" s="0" t="str">
        <f aca="false">IF(M972=1,P972,"")</f>
        <v/>
      </c>
    </row>
    <row r="973" customFormat="false" ht="15" hidden="false" customHeight="false" outlineLevel="0" collapsed="false">
      <c r="A973" s="0" t="s">
        <v>1017</v>
      </c>
      <c r="B973" s="2" t="n">
        <v>45769</v>
      </c>
      <c r="C973" s="3" t="s">
        <v>736</v>
      </c>
      <c r="D973" s="3" t="s">
        <v>39</v>
      </c>
      <c r="E973" s="3" t="s">
        <v>35</v>
      </c>
      <c r="F973" s="3" t="s">
        <v>30</v>
      </c>
      <c r="G973" s="3" t="s">
        <v>40</v>
      </c>
      <c r="H973" s="3" t="s">
        <v>30</v>
      </c>
      <c r="I973" s="3" t="s">
        <v>41</v>
      </c>
      <c r="J973" s="0" t="n">
        <v>0</v>
      </c>
      <c r="K973" s="0" t="n">
        <v>0</v>
      </c>
      <c r="L973" s="0" t="n">
        <v>0</v>
      </c>
      <c r="M973" s="0" t="n">
        <v>0</v>
      </c>
      <c r="N973" s="0" t="str">
        <f aca="false">IF(OR(NOT(OR(J973=0,J973=1)),NOT(OR(K973=0,K973=1)),NOT(OR(L973=0,L973=1)),NOT(OR(M973=0,M973=1)),NOT(OR(U973=0,U973=1))),"Yes","No")</f>
        <v>No</v>
      </c>
      <c r="O973" s="0" t="str">
        <f aca="false">IF(OR(AND(M973=1,L973=0),AND(L973=1,K973=0),AND(K973=1,J973=0)),"Yes","No")</f>
        <v>No</v>
      </c>
      <c r="P973" s="0" t="n">
        <v>0</v>
      </c>
      <c r="Q973" s="0" t="str">
        <f aca="false">IF(OR(AND(M973=0,P973&gt;0),AND(M973=1,P973&lt;=0)),"Yes","No")</f>
        <v>No</v>
      </c>
      <c r="R973" s="0" t="str">
        <f aca="false">IF(AND(M973=1,P973&gt;calc_helpers!$B$5),"Yes","No")</f>
        <v>No</v>
      </c>
      <c r="S973" s="0" t="n">
        <v>0</v>
      </c>
      <c r="T973" s="0" t="str">
        <f aca="false">IF(S973&gt;0,"Yes","No")</f>
        <v>No</v>
      </c>
      <c r="U973" s="0" t="n">
        <v>0</v>
      </c>
      <c r="W973" s="0" t="str">
        <f aca="false">IF(OR(AND(M973=1,ISBLANK(V973)),AND(M973=0,NOT(ISBLANK(V973)))),"Yes","No")</f>
        <v>No</v>
      </c>
      <c r="X973" s="0" t="n">
        <v>45.8</v>
      </c>
      <c r="Y973" s="3" t="s">
        <v>30</v>
      </c>
      <c r="Z973" s="0" t="str">
        <f aca="false">IF(M973=1,P973,"")</f>
        <v/>
      </c>
    </row>
    <row r="974" customFormat="false" ht="15" hidden="false" customHeight="false" outlineLevel="0" collapsed="false">
      <c r="A974" s="0" t="s">
        <v>1018</v>
      </c>
      <c r="B974" s="2" t="n">
        <v>45706</v>
      </c>
      <c r="C974" s="3" t="s">
        <v>736</v>
      </c>
      <c r="D974" s="3" t="s">
        <v>34</v>
      </c>
      <c r="E974" s="3" t="s">
        <v>35</v>
      </c>
      <c r="F974" s="3" t="s">
        <v>30</v>
      </c>
      <c r="G974" s="3" t="s">
        <v>50</v>
      </c>
      <c r="H974" s="3" t="s">
        <v>30</v>
      </c>
      <c r="I974" s="3" t="s">
        <v>32</v>
      </c>
      <c r="J974" s="0" t="n">
        <v>1</v>
      </c>
      <c r="K974" s="0" t="n">
        <v>1</v>
      </c>
      <c r="L974" s="0" t="n">
        <v>1</v>
      </c>
      <c r="M974" s="0" t="n">
        <v>0</v>
      </c>
      <c r="N974" s="0" t="str">
        <f aca="false">IF(OR(NOT(OR(J974=0,J974=1)),NOT(OR(K974=0,K974=1)),NOT(OR(L974=0,L974=1)),NOT(OR(M974=0,M974=1)),NOT(OR(U974=0,U974=1))),"Yes","No")</f>
        <v>No</v>
      </c>
      <c r="O974" s="0" t="str">
        <f aca="false">IF(OR(AND(M974=1,L974=0),AND(L974=1,K974=0),AND(K974=1,J974=0)),"Yes","No")</f>
        <v>No</v>
      </c>
      <c r="P974" s="0" t="n">
        <v>0</v>
      </c>
      <c r="Q974" s="0" t="str">
        <f aca="false">IF(OR(AND(M974=0,P974&gt;0),AND(M974=1,P974&lt;=0)),"Yes","No")</f>
        <v>No</v>
      </c>
      <c r="R974" s="0" t="str">
        <f aca="false">IF(AND(M974=1,P974&gt;calc_helpers!$B$5),"Yes","No")</f>
        <v>No</v>
      </c>
      <c r="S974" s="0" t="n">
        <v>0</v>
      </c>
      <c r="T974" s="0" t="str">
        <f aca="false">IF(S974&gt;0,"Yes","No")</f>
        <v>No</v>
      </c>
      <c r="U974" s="0" t="n">
        <v>0</v>
      </c>
      <c r="W974" s="0" t="str">
        <f aca="false">IF(OR(AND(M974=1,ISBLANK(V974)),AND(M974=0,NOT(ISBLANK(V974)))),"Yes","No")</f>
        <v>No</v>
      </c>
      <c r="X974" s="0" t="n">
        <v>64.3</v>
      </c>
      <c r="Y974" s="3" t="s">
        <v>30</v>
      </c>
      <c r="Z974" s="0" t="str">
        <f aca="false">IF(M974=1,P974,"")</f>
        <v/>
      </c>
    </row>
    <row r="975" customFormat="false" ht="15" hidden="false" customHeight="false" outlineLevel="0" collapsed="false">
      <c r="A975" s="0" t="s">
        <v>1019</v>
      </c>
      <c r="B975" s="2" t="n">
        <v>45683</v>
      </c>
      <c r="C975" s="3" t="s">
        <v>736</v>
      </c>
      <c r="D975" s="3" t="s">
        <v>43</v>
      </c>
      <c r="E975" s="3" t="s">
        <v>35</v>
      </c>
      <c r="F975" s="3" t="s">
        <v>30</v>
      </c>
      <c r="G975" s="3" t="s">
        <v>40</v>
      </c>
      <c r="H975" s="3" t="s">
        <v>30</v>
      </c>
      <c r="I975" s="3" t="s">
        <v>41</v>
      </c>
      <c r="J975" s="0" t="n">
        <v>1</v>
      </c>
      <c r="K975" s="0" t="n">
        <v>1</v>
      </c>
      <c r="L975" s="0" t="n">
        <v>1</v>
      </c>
      <c r="M975" s="0" t="n">
        <v>0</v>
      </c>
      <c r="N975" s="0" t="str">
        <f aca="false">IF(OR(NOT(OR(J975=0,J975=1)),NOT(OR(K975=0,K975=1)),NOT(OR(L975=0,L975=1)),NOT(OR(M975=0,M975=1)),NOT(OR(U975=0,U975=1))),"Yes","No")</f>
        <v>No</v>
      </c>
      <c r="O975" s="0" t="str">
        <f aca="false">IF(OR(AND(M975=1,L975=0),AND(L975=1,K975=0),AND(K975=1,J975=0)),"Yes","No")</f>
        <v>No</v>
      </c>
      <c r="P975" s="0" t="n">
        <v>0</v>
      </c>
      <c r="Q975" s="0" t="str">
        <f aca="false">IF(OR(AND(M975=0,P975&gt;0),AND(M975=1,P975&lt;=0)),"Yes","No")</f>
        <v>No</v>
      </c>
      <c r="R975" s="0" t="str">
        <f aca="false">IF(AND(M975=1,P975&gt;calc_helpers!$B$5),"Yes","No")</f>
        <v>No</v>
      </c>
      <c r="S975" s="0" t="n">
        <v>0</v>
      </c>
      <c r="T975" s="0" t="str">
        <f aca="false">IF(S975&gt;0,"Yes","No")</f>
        <v>No</v>
      </c>
      <c r="U975" s="0" t="n">
        <v>0</v>
      </c>
      <c r="W975" s="0" t="str">
        <f aca="false">IF(OR(AND(M975=1,ISBLANK(V975)),AND(M975=0,NOT(ISBLANK(V975)))),"Yes","No")</f>
        <v>No</v>
      </c>
      <c r="X975" s="0" t="n">
        <v>80.5</v>
      </c>
      <c r="Y975" s="3" t="s">
        <v>30</v>
      </c>
      <c r="Z975" s="0" t="str">
        <f aca="false">IF(M975=1,P975,"")</f>
        <v/>
      </c>
    </row>
    <row r="976" customFormat="false" ht="15" hidden="false" customHeight="false" outlineLevel="0" collapsed="false">
      <c r="A976" s="0" t="s">
        <v>1020</v>
      </c>
      <c r="B976" s="2" t="n">
        <v>45775</v>
      </c>
      <c r="C976" s="3" t="s">
        <v>736</v>
      </c>
      <c r="D976" s="3" t="s">
        <v>28</v>
      </c>
      <c r="E976" s="3" t="s">
        <v>35</v>
      </c>
      <c r="F976" s="3" t="s">
        <v>30</v>
      </c>
      <c r="G976" s="3" t="s">
        <v>36</v>
      </c>
      <c r="H976" s="3" t="s">
        <v>30</v>
      </c>
      <c r="I976" s="3" t="s">
        <v>37</v>
      </c>
      <c r="J976" s="0" t="n">
        <v>1</v>
      </c>
      <c r="K976" s="0" t="n">
        <v>0</v>
      </c>
      <c r="L976" s="0" t="n">
        <v>0</v>
      </c>
      <c r="M976" s="0" t="n">
        <v>0</v>
      </c>
      <c r="N976" s="0" t="str">
        <f aca="false">IF(OR(NOT(OR(J976=0,J976=1)),NOT(OR(K976=0,K976=1)),NOT(OR(L976=0,L976=1)),NOT(OR(M976=0,M976=1)),NOT(OR(U976=0,U976=1))),"Yes","No")</f>
        <v>No</v>
      </c>
      <c r="O976" s="0" t="str">
        <f aca="false">IF(OR(AND(M976=1,L976=0),AND(L976=1,K976=0),AND(K976=1,J976=0)),"Yes","No")</f>
        <v>No</v>
      </c>
      <c r="P976" s="0" t="n">
        <v>0</v>
      </c>
      <c r="Q976" s="0" t="str">
        <f aca="false">IF(OR(AND(M976=0,P976&gt;0),AND(M976=1,P976&lt;=0)),"Yes","No")</f>
        <v>No</v>
      </c>
      <c r="R976" s="0" t="str">
        <f aca="false">IF(AND(M976=1,P976&gt;calc_helpers!$B$5),"Yes","No")</f>
        <v>No</v>
      </c>
      <c r="S976" s="0" t="n">
        <v>0</v>
      </c>
      <c r="T976" s="0" t="str">
        <f aca="false">IF(S976&gt;0,"Yes","No")</f>
        <v>No</v>
      </c>
      <c r="U976" s="0" t="n">
        <v>0</v>
      </c>
      <c r="W976" s="0" t="str">
        <f aca="false">IF(OR(AND(M976=1,ISBLANK(V976)),AND(M976=0,NOT(ISBLANK(V976)))),"Yes","No")</f>
        <v>No</v>
      </c>
      <c r="X976" s="0" t="n">
        <v>46.3</v>
      </c>
      <c r="Y976" s="3" t="s">
        <v>30</v>
      </c>
      <c r="Z976" s="0" t="str">
        <f aca="false">IF(M976=1,P976,"")</f>
        <v/>
      </c>
    </row>
    <row r="977" customFormat="false" ht="15" hidden="false" customHeight="false" outlineLevel="0" collapsed="false">
      <c r="A977" s="0" t="s">
        <v>1021</v>
      </c>
      <c r="B977" s="2" t="n">
        <v>45749</v>
      </c>
      <c r="C977" s="3" t="s">
        <v>736</v>
      </c>
      <c r="D977" s="3" t="s">
        <v>43</v>
      </c>
      <c r="E977" s="3" t="s">
        <v>29</v>
      </c>
      <c r="F977" s="3" t="s">
        <v>30</v>
      </c>
      <c r="G977" s="3" t="s">
        <v>31</v>
      </c>
      <c r="H977" s="3" t="s">
        <v>30</v>
      </c>
      <c r="I977" s="3" t="s">
        <v>32</v>
      </c>
      <c r="J977" s="0" t="n">
        <v>1</v>
      </c>
      <c r="K977" s="0" t="n">
        <v>0</v>
      </c>
      <c r="L977" s="0" t="n">
        <v>0</v>
      </c>
      <c r="M977" s="0" t="n">
        <v>0</v>
      </c>
      <c r="N977" s="0" t="str">
        <f aca="false">IF(OR(NOT(OR(J977=0,J977=1)),NOT(OR(K977=0,K977=1)),NOT(OR(L977=0,L977=1)),NOT(OR(M977=0,M977=1)),NOT(OR(U977=0,U977=1))),"Yes","No")</f>
        <v>No</v>
      </c>
      <c r="O977" s="0" t="str">
        <f aca="false">IF(OR(AND(M977=1,L977=0),AND(L977=1,K977=0),AND(K977=1,J977=0)),"Yes","No")</f>
        <v>No</v>
      </c>
      <c r="P977" s="0" t="n">
        <v>0</v>
      </c>
      <c r="Q977" s="0" t="str">
        <f aca="false">IF(OR(AND(M977=0,P977&gt;0),AND(M977=1,P977&lt;=0)),"Yes","No")</f>
        <v>No</v>
      </c>
      <c r="R977" s="0" t="str">
        <f aca="false">IF(AND(M977=1,P977&gt;calc_helpers!$B$5),"Yes","No")</f>
        <v>No</v>
      </c>
      <c r="S977" s="0" t="n">
        <v>0</v>
      </c>
      <c r="T977" s="0" t="str">
        <f aca="false">IF(S977&gt;0,"Yes","No")</f>
        <v>No</v>
      </c>
      <c r="U977" s="0" t="n">
        <v>0</v>
      </c>
      <c r="W977" s="0" t="str">
        <f aca="false">IF(OR(AND(M977=1,ISBLANK(V977)),AND(M977=0,NOT(ISBLANK(V977)))),"Yes","No")</f>
        <v>No</v>
      </c>
      <c r="X977" s="0" t="n">
        <v>71.6</v>
      </c>
      <c r="Y977" s="3" t="s">
        <v>30</v>
      </c>
      <c r="Z977" s="0" t="str">
        <f aca="false">IF(M977=1,P977,"")</f>
        <v/>
      </c>
    </row>
    <row r="978" customFormat="false" ht="15" hidden="false" customHeight="false" outlineLevel="0" collapsed="false">
      <c r="A978" s="0" t="s">
        <v>1022</v>
      </c>
      <c r="B978" s="2" t="n">
        <v>45759</v>
      </c>
      <c r="C978" s="3" t="s">
        <v>736</v>
      </c>
      <c r="D978" s="3" t="s">
        <v>43</v>
      </c>
      <c r="E978" s="3" t="s">
        <v>29</v>
      </c>
      <c r="F978" s="3" t="s">
        <v>30</v>
      </c>
      <c r="G978" s="3" t="s">
        <v>31</v>
      </c>
      <c r="H978" s="3" t="s">
        <v>30</v>
      </c>
      <c r="I978" s="3" t="s">
        <v>41</v>
      </c>
      <c r="J978" s="0" t="n">
        <v>1</v>
      </c>
      <c r="K978" s="0" t="n">
        <v>1</v>
      </c>
      <c r="L978" s="0" t="n">
        <v>0</v>
      </c>
      <c r="M978" s="0" t="n">
        <v>0</v>
      </c>
      <c r="N978" s="0" t="str">
        <f aca="false">IF(OR(NOT(OR(J978=0,J978=1)),NOT(OR(K978=0,K978=1)),NOT(OR(L978=0,L978=1)),NOT(OR(M978=0,M978=1)),NOT(OR(U978=0,U978=1))),"Yes","No")</f>
        <v>No</v>
      </c>
      <c r="O978" s="0" t="str">
        <f aca="false">IF(OR(AND(M978=1,L978=0),AND(L978=1,K978=0),AND(K978=1,J978=0)),"Yes","No")</f>
        <v>No</v>
      </c>
      <c r="P978" s="0" t="n">
        <v>0</v>
      </c>
      <c r="Q978" s="0" t="str">
        <f aca="false">IF(OR(AND(M978=0,P978&gt;0),AND(M978=1,P978&lt;=0)),"Yes","No")</f>
        <v>No</v>
      </c>
      <c r="R978" s="0" t="str">
        <f aca="false">IF(AND(M978=1,P978&gt;calc_helpers!$B$5),"Yes","No")</f>
        <v>No</v>
      </c>
      <c r="S978" s="0" t="n">
        <v>0</v>
      </c>
      <c r="T978" s="0" t="str">
        <f aca="false">IF(S978&gt;0,"Yes","No")</f>
        <v>No</v>
      </c>
      <c r="U978" s="0" t="n">
        <v>0</v>
      </c>
      <c r="W978" s="0" t="str">
        <f aca="false">IF(OR(AND(M978=1,ISBLANK(V978)),AND(M978=0,NOT(ISBLANK(V978)))),"Yes","No")</f>
        <v>No</v>
      </c>
      <c r="X978" s="0" t="n">
        <v>57.8</v>
      </c>
      <c r="Y978" s="3" t="s">
        <v>30</v>
      </c>
      <c r="Z978" s="0" t="str">
        <f aca="false">IF(M978=1,P978,"")</f>
        <v/>
      </c>
    </row>
    <row r="979" customFormat="false" ht="15" hidden="false" customHeight="false" outlineLevel="0" collapsed="false">
      <c r="A979" s="0" t="s">
        <v>1023</v>
      </c>
      <c r="B979" s="2" t="n">
        <v>45660</v>
      </c>
      <c r="C979" s="3" t="s">
        <v>736</v>
      </c>
      <c r="D979" s="3" t="s">
        <v>34</v>
      </c>
      <c r="E979" s="3" t="s">
        <v>29</v>
      </c>
      <c r="F979" s="3" t="s">
        <v>30</v>
      </c>
      <c r="G979" s="3" t="s">
        <v>31</v>
      </c>
      <c r="H979" s="3" t="s">
        <v>30</v>
      </c>
      <c r="I979" s="3" t="s">
        <v>32</v>
      </c>
      <c r="J979" s="0" t="n">
        <v>1</v>
      </c>
      <c r="K979" s="0" t="n">
        <v>1</v>
      </c>
      <c r="L979" s="0" t="n">
        <v>1</v>
      </c>
      <c r="M979" s="0" t="n">
        <v>0</v>
      </c>
      <c r="N979" s="0" t="str">
        <f aca="false">IF(OR(NOT(OR(J979=0,J979=1)),NOT(OR(K979=0,K979=1)),NOT(OR(L979=0,L979=1)),NOT(OR(M979=0,M979=1)),NOT(OR(U979=0,U979=1))),"Yes","No")</f>
        <v>No</v>
      </c>
      <c r="O979" s="0" t="str">
        <f aca="false">IF(OR(AND(M979=1,L979=0),AND(L979=1,K979=0),AND(K979=1,J979=0)),"Yes","No")</f>
        <v>No</v>
      </c>
      <c r="P979" s="0" t="n">
        <v>0</v>
      </c>
      <c r="Q979" s="0" t="str">
        <f aca="false">IF(OR(AND(M979=0,P979&gt;0),AND(M979=1,P979&lt;=0)),"Yes","No")</f>
        <v>No</v>
      </c>
      <c r="R979" s="0" t="str">
        <f aca="false">IF(AND(M979=1,P979&gt;calc_helpers!$B$5),"Yes","No")</f>
        <v>No</v>
      </c>
      <c r="S979" s="0" t="n">
        <v>1</v>
      </c>
      <c r="T979" s="0" t="str">
        <f aca="false">IF(S979&gt;0,"Yes","No")</f>
        <v>Yes</v>
      </c>
      <c r="U979" s="0" t="n">
        <v>0</v>
      </c>
      <c r="W979" s="0" t="str">
        <f aca="false">IF(OR(AND(M979=1,ISBLANK(V979)),AND(M979=0,NOT(ISBLANK(V979)))),"Yes","No")</f>
        <v>No</v>
      </c>
      <c r="X979" s="0" t="n">
        <v>57.8</v>
      </c>
      <c r="Y979" s="3" t="s">
        <v>30</v>
      </c>
      <c r="Z979" s="0" t="str">
        <f aca="false">IF(M979=1,P979,"")</f>
        <v/>
      </c>
    </row>
    <row r="980" customFormat="false" ht="15" hidden="false" customHeight="false" outlineLevel="0" collapsed="false">
      <c r="A980" s="0" t="s">
        <v>1024</v>
      </c>
      <c r="B980" s="2" t="n">
        <v>45785</v>
      </c>
      <c r="C980" s="3" t="s">
        <v>736</v>
      </c>
      <c r="D980" s="3" t="s">
        <v>28</v>
      </c>
      <c r="E980" s="3" t="s">
        <v>35</v>
      </c>
      <c r="F980" s="3" t="s">
        <v>30</v>
      </c>
      <c r="G980" s="3" t="s">
        <v>40</v>
      </c>
      <c r="H980" s="3" t="s">
        <v>30</v>
      </c>
      <c r="I980" s="3" t="s">
        <v>37</v>
      </c>
      <c r="J980" s="0" t="n">
        <v>1</v>
      </c>
      <c r="K980" s="0" t="n">
        <v>0</v>
      </c>
      <c r="L980" s="0" t="n">
        <v>0</v>
      </c>
      <c r="M980" s="0" t="n">
        <v>0</v>
      </c>
      <c r="N980" s="0" t="str">
        <f aca="false">IF(OR(NOT(OR(J980=0,J980=1)),NOT(OR(K980=0,K980=1)),NOT(OR(L980=0,L980=1)),NOT(OR(M980=0,M980=1)),NOT(OR(U980=0,U980=1))),"Yes","No")</f>
        <v>No</v>
      </c>
      <c r="O980" s="0" t="str">
        <f aca="false">IF(OR(AND(M980=1,L980=0),AND(L980=1,K980=0),AND(K980=1,J980=0)),"Yes","No")</f>
        <v>No</v>
      </c>
      <c r="P980" s="0" t="n">
        <v>0</v>
      </c>
      <c r="Q980" s="0" t="str">
        <f aca="false">IF(OR(AND(M980=0,P980&gt;0),AND(M980=1,P980&lt;=0)),"Yes","No")</f>
        <v>No</v>
      </c>
      <c r="R980" s="0" t="str">
        <f aca="false">IF(AND(M980=1,P980&gt;calc_helpers!$B$5),"Yes","No")</f>
        <v>No</v>
      </c>
      <c r="S980" s="0" t="n">
        <v>0</v>
      </c>
      <c r="T980" s="0" t="str">
        <f aca="false">IF(S980&gt;0,"Yes","No")</f>
        <v>No</v>
      </c>
      <c r="U980" s="0" t="n">
        <v>0</v>
      </c>
      <c r="W980" s="0" t="str">
        <f aca="false">IF(OR(AND(M980=1,ISBLANK(V980)),AND(M980=0,NOT(ISBLANK(V980)))),"Yes","No")</f>
        <v>No</v>
      </c>
      <c r="X980" s="0" t="n">
        <v>38.3</v>
      </c>
      <c r="Y980" s="3" t="s">
        <v>30</v>
      </c>
      <c r="Z980" s="0" t="str">
        <f aca="false">IF(M980=1,P980,"")</f>
        <v/>
      </c>
    </row>
    <row r="981" customFormat="false" ht="15" hidden="false" customHeight="false" outlineLevel="0" collapsed="false">
      <c r="A981" s="0" t="s">
        <v>1025</v>
      </c>
      <c r="B981" s="2" t="n">
        <v>45708</v>
      </c>
      <c r="C981" s="3" t="s">
        <v>736</v>
      </c>
      <c r="D981" s="3" t="s">
        <v>28</v>
      </c>
      <c r="E981" s="3" t="s">
        <v>35</v>
      </c>
      <c r="F981" s="3" t="s">
        <v>30</v>
      </c>
      <c r="G981" s="3" t="s">
        <v>50</v>
      </c>
      <c r="H981" s="3" t="s">
        <v>30</v>
      </c>
      <c r="I981" s="3" t="s">
        <v>41</v>
      </c>
      <c r="J981" s="0" t="n">
        <v>1</v>
      </c>
      <c r="K981" s="0" t="n">
        <v>0</v>
      </c>
      <c r="L981" s="0" t="n">
        <v>0</v>
      </c>
      <c r="M981" s="0" t="n">
        <v>0</v>
      </c>
      <c r="N981" s="0" t="str">
        <f aca="false">IF(OR(NOT(OR(J981=0,J981=1)),NOT(OR(K981=0,K981=1)),NOT(OR(L981=0,L981=1)),NOT(OR(M981=0,M981=1)),NOT(OR(U981=0,U981=1))),"Yes","No")</f>
        <v>No</v>
      </c>
      <c r="O981" s="0" t="str">
        <f aca="false">IF(OR(AND(M981=1,L981=0),AND(L981=1,K981=0),AND(K981=1,J981=0)),"Yes","No")</f>
        <v>No</v>
      </c>
      <c r="P981" s="0" t="n">
        <v>0</v>
      </c>
      <c r="Q981" s="0" t="str">
        <f aca="false">IF(OR(AND(M981=0,P981&gt;0),AND(M981=1,P981&lt;=0)),"Yes","No")</f>
        <v>No</v>
      </c>
      <c r="R981" s="0" t="str">
        <f aca="false">IF(AND(M981=1,P981&gt;calc_helpers!$B$5),"Yes","No")</f>
        <v>No</v>
      </c>
      <c r="S981" s="0" t="n">
        <v>1</v>
      </c>
      <c r="T981" s="0" t="str">
        <f aca="false">IF(S981&gt;0,"Yes","No")</f>
        <v>Yes</v>
      </c>
      <c r="U981" s="0" t="n">
        <v>0</v>
      </c>
      <c r="W981" s="0" t="str">
        <f aca="false">IF(OR(AND(M981=1,ISBLANK(V981)),AND(M981=0,NOT(ISBLANK(V981)))),"Yes","No")</f>
        <v>No</v>
      </c>
      <c r="X981" s="0" t="n">
        <v>66.1</v>
      </c>
      <c r="Y981" s="3" t="s">
        <v>30</v>
      </c>
      <c r="Z981" s="0" t="str">
        <f aca="false">IF(M981=1,P981,"")</f>
        <v/>
      </c>
    </row>
    <row r="982" customFormat="false" ht="15" hidden="false" customHeight="false" outlineLevel="0" collapsed="false">
      <c r="A982" s="0" t="s">
        <v>1026</v>
      </c>
      <c r="B982" s="2" t="n">
        <v>45733</v>
      </c>
      <c r="C982" s="3" t="s">
        <v>736</v>
      </c>
      <c r="D982" s="3" t="s">
        <v>28</v>
      </c>
      <c r="E982" s="3" t="s">
        <v>29</v>
      </c>
      <c r="F982" s="3" t="s">
        <v>30</v>
      </c>
      <c r="G982" s="3" t="s">
        <v>40</v>
      </c>
      <c r="H982" s="3" t="s">
        <v>30</v>
      </c>
      <c r="I982" s="3" t="s">
        <v>41</v>
      </c>
      <c r="J982" s="0" t="n">
        <v>1</v>
      </c>
      <c r="K982" s="0" t="n">
        <v>0</v>
      </c>
      <c r="L982" s="0" t="n">
        <v>0</v>
      </c>
      <c r="M982" s="0" t="n">
        <v>0</v>
      </c>
      <c r="N982" s="0" t="str">
        <f aca="false">IF(OR(NOT(OR(J982=0,J982=1)),NOT(OR(K982=0,K982=1)),NOT(OR(L982=0,L982=1)),NOT(OR(M982=0,M982=1)),NOT(OR(U982=0,U982=1))),"Yes","No")</f>
        <v>No</v>
      </c>
      <c r="O982" s="0" t="str">
        <f aca="false">IF(OR(AND(M982=1,L982=0),AND(L982=1,K982=0),AND(K982=1,J982=0)),"Yes","No")</f>
        <v>No</v>
      </c>
      <c r="P982" s="0" t="n">
        <v>0</v>
      </c>
      <c r="Q982" s="0" t="str">
        <f aca="false">IF(OR(AND(M982=0,P982&gt;0),AND(M982=1,P982&lt;=0)),"Yes","No")</f>
        <v>No</v>
      </c>
      <c r="R982" s="0" t="str">
        <f aca="false">IF(AND(M982=1,P982&gt;calc_helpers!$B$5),"Yes","No")</f>
        <v>No</v>
      </c>
      <c r="S982" s="0" t="n">
        <v>0</v>
      </c>
      <c r="T982" s="0" t="str">
        <f aca="false">IF(S982&gt;0,"Yes","No")</f>
        <v>No</v>
      </c>
      <c r="U982" s="0" t="n">
        <v>0</v>
      </c>
      <c r="W982" s="0" t="str">
        <f aca="false">IF(OR(AND(M982=1,ISBLANK(V982)),AND(M982=0,NOT(ISBLANK(V982)))),"Yes","No")</f>
        <v>No</v>
      </c>
      <c r="X982" s="0" t="n">
        <v>66.5</v>
      </c>
      <c r="Y982" s="3" t="s">
        <v>30</v>
      </c>
      <c r="Z982" s="0" t="str">
        <f aca="false">IF(M982=1,P982,"")</f>
        <v/>
      </c>
    </row>
    <row r="983" customFormat="false" ht="15" hidden="false" customHeight="false" outlineLevel="0" collapsed="false">
      <c r="A983" s="0" t="s">
        <v>1027</v>
      </c>
      <c r="B983" s="2" t="n">
        <v>45757</v>
      </c>
      <c r="C983" s="3" t="s">
        <v>736</v>
      </c>
      <c r="D983" s="3" t="s">
        <v>43</v>
      </c>
      <c r="E983" s="3" t="s">
        <v>29</v>
      </c>
      <c r="F983" s="3" t="s">
        <v>30</v>
      </c>
      <c r="G983" s="3" t="s">
        <v>31</v>
      </c>
      <c r="H983" s="3" t="s">
        <v>30</v>
      </c>
      <c r="I983" s="3" t="s">
        <v>37</v>
      </c>
      <c r="J983" s="0" t="n">
        <v>1</v>
      </c>
      <c r="K983" s="0" t="n">
        <v>0</v>
      </c>
      <c r="L983" s="0" t="n">
        <v>0</v>
      </c>
      <c r="M983" s="0" t="n">
        <v>0</v>
      </c>
      <c r="N983" s="0" t="str">
        <f aca="false">IF(OR(NOT(OR(J983=0,J983=1)),NOT(OR(K983=0,K983=1)),NOT(OR(L983=0,L983=1)),NOT(OR(M983=0,M983=1)),NOT(OR(U983=0,U983=1))),"Yes","No")</f>
        <v>No</v>
      </c>
      <c r="O983" s="0" t="str">
        <f aca="false">IF(OR(AND(M983=1,L983=0),AND(L983=1,K983=0),AND(K983=1,J983=0)),"Yes","No")</f>
        <v>No</v>
      </c>
      <c r="P983" s="0" t="n">
        <v>0</v>
      </c>
      <c r="Q983" s="0" t="str">
        <f aca="false">IF(OR(AND(M983=0,P983&gt;0),AND(M983=1,P983&lt;=0)),"Yes","No")</f>
        <v>No</v>
      </c>
      <c r="R983" s="0" t="str">
        <f aca="false">IF(AND(M983=1,P983&gt;calc_helpers!$B$5),"Yes","No")</f>
        <v>No</v>
      </c>
      <c r="S983" s="0" t="n">
        <v>3</v>
      </c>
      <c r="T983" s="0" t="str">
        <f aca="false">IF(S983&gt;0,"Yes","No")</f>
        <v>Yes</v>
      </c>
      <c r="U983" s="0" t="n">
        <v>0</v>
      </c>
      <c r="W983" s="0" t="str">
        <f aca="false">IF(OR(AND(M983=1,ISBLANK(V983)),AND(M983=0,NOT(ISBLANK(V983)))),"Yes","No")</f>
        <v>No</v>
      </c>
      <c r="X983" s="0" t="n">
        <v>51.5</v>
      </c>
      <c r="Y983" s="3" t="s">
        <v>30</v>
      </c>
      <c r="Z983" s="0" t="str">
        <f aca="false">IF(M983=1,P983,"")</f>
        <v/>
      </c>
    </row>
    <row r="984" customFormat="false" ht="15" hidden="false" customHeight="false" outlineLevel="0" collapsed="false">
      <c r="A984" s="0" t="s">
        <v>1028</v>
      </c>
      <c r="B984" s="2" t="n">
        <v>45785</v>
      </c>
      <c r="C984" s="3" t="s">
        <v>736</v>
      </c>
      <c r="D984" s="3" t="s">
        <v>28</v>
      </c>
      <c r="E984" s="3" t="s">
        <v>29</v>
      </c>
      <c r="F984" s="3" t="s">
        <v>30</v>
      </c>
      <c r="G984" s="3" t="s">
        <v>50</v>
      </c>
      <c r="H984" s="3" t="s">
        <v>30</v>
      </c>
      <c r="I984" s="3" t="s">
        <v>37</v>
      </c>
      <c r="J984" s="0" t="n">
        <v>1</v>
      </c>
      <c r="K984" s="0" t="n">
        <v>0</v>
      </c>
      <c r="L984" s="0" t="n">
        <v>0</v>
      </c>
      <c r="M984" s="0" t="n">
        <v>0</v>
      </c>
      <c r="N984" s="0" t="str">
        <f aca="false">IF(OR(NOT(OR(J984=0,J984=1)),NOT(OR(K984=0,K984=1)),NOT(OR(L984=0,L984=1)),NOT(OR(M984=0,M984=1)),NOT(OR(U984=0,U984=1))),"Yes","No")</f>
        <v>No</v>
      </c>
      <c r="O984" s="0" t="str">
        <f aca="false">IF(OR(AND(M984=1,L984=0),AND(L984=1,K984=0),AND(K984=1,J984=0)),"Yes","No")</f>
        <v>No</v>
      </c>
      <c r="P984" s="0" t="n">
        <v>0</v>
      </c>
      <c r="Q984" s="0" t="str">
        <f aca="false">IF(OR(AND(M984=0,P984&gt;0),AND(M984=1,P984&lt;=0)),"Yes","No")</f>
        <v>No</v>
      </c>
      <c r="R984" s="0" t="str">
        <f aca="false">IF(AND(M984=1,P984&gt;calc_helpers!$B$5),"Yes","No")</f>
        <v>No</v>
      </c>
      <c r="S984" s="0" t="n">
        <v>0</v>
      </c>
      <c r="T984" s="0" t="str">
        <f aca="false">IF(S984&gt;0,"Yes","No")</f>
        <v>No</v>
      </c>
      <c r="U984" s="0" t="n">
        <v>0</v>
      </c>
      <c r="W984" s="0" t="str">
        <f aca="false">IF(OR(AND(M984=1,ISBLANK(V984)),AND(M984=0,NOT(ISBLANK(V984)))),"Yes","No")</f>
        <v>No</v>
      </c>
      <c r="X984" s="0" t="n">
        <v>59.9</v>
      </c>
      <c r="Y984" s="3" t="s">
        <v>30</v>
      </c>
      <c r="Z984" s="0" t="str">
        <f aca="false">IF(M984=1,P984,"")</f>
        <v/>
      </c>
    </row>
    <row r="985" customFormat="false" ht="15" hidden="false" customHeight="false" outlineLevel="0" collapsed="false">
      <c r="A985" s="0" t="s">
        <v>1029</v>
      </c>
      <c r="B985" s="2" t="n">
        <v>45766</v>
      </c>
      <c r="C985" s="3" t="s">
        <v>736</v>
      </c>
      <c r="D985" s="3" t="s">
        <v>34</v>
      </c>
      <c r="E985" s="3" t="s">
        <v>35</v>
      </c>
      <c r="F985" s="3" t="s">
        <v>30</v>
      </c>
      <c r="G985" s="3" t="s">
        <v>40</v>
      </c>
      <c r="H985" s="3" t="s">
        <v>30</v>
      </c>
      <c r="I985" s="3" t="s">
        <v>32</v>
      </c>
      <c r="J985" s="0" t="n">
        <v>1</v>
      </c>
      <c r="K985" s="0" t="n">
        <v>0</v>
      </c>
      <c r="L985" s="0" t="n">
        <v>0</v>
      </c>
      <c r="M985" s="0" t="n">
        <v>0</v>
      </c>
      <c r="N985" s="0" t="str">
        <f aca="false">IF(OR(NOT(OR(J985=0,J985=1)),NOT(OR(K985=0,K985=1)),NOT(OR(L985=0,L985=1)),NOT(OR(M985=0,M985=1)),NOT(OR(U985=0,U985=1))),"Yes","No")</f>
        <v>No</v>
      </c>
      <c r="O985" s="0" t="str">
        <f aca="false">IF(OR(AND(M985=1,L985=0),AND(L985=1,K985=0),AND(K985=1,J985=0)),"Yes","No")</f>
        <v>No</v>
      </c>
      <c r="P985" s="0" t="n">
        <v>0</v>
      </c>
      <c r="Q985" s="0" t="str">
        <f aca="false">IF(OR(AND(M985=0,P985&gt;0),AND(M985=1,P985&lt;=0)),"Yes","No")</f>
        <v>No</v>
      </c>
      <c r="R985" s="0" t="str">
        <f aca="false">IF(AND(M985=1,P985&gt;calc_helpers!$B$5),"Yes","No")</f>
        <v>No</v>
      </c>
      <c r="S985" s="0" t="n">
        <v>0</v>
      </c>
      <c r="T985" s="0" t="str">
        <f aca="false">IF(S985&gt;0,"Yes","No")</f>
        <v>No</v>
      </c>
      <c r="U985" s="0" t="n">
        <v>0</v>
      </c>
      <c r="W985" s="0" t="str">
        <f aca="false">IF(OR(AND(M985=1,ISBLANK(V985)),AND(M985=0,NOT(ISBLANK(V985)))),"Yes","No")</f>
        <v>No</v>
      </c>
      <c r="X985" s="0" t="n">
        <v>58.8</v>
      </c>
      <c r="Y985" s="3" t="s">
        <v>30</v>
      </c>
      <c r="Z985" s="0" t="str">
        <f aca="false">IF(M985=1,P985,"")</f>
        <v/>
      </c>
    </row>
    <row r="986" customFormat="false" ht="15" hidden="false" customHeight="false" outlineLevel="0" collapsed="false">
      <c r="A986" s="0" t="s">
        <v>1030</v>
      </c>
      <c r="B986" s="2" t="n">
        <v>45658</v>
      </c>
      <c r="C986" s="3" t="s">
        <v>736</v>
      </c>
      <c r="D986" s="3" t="s">
        <v>43</v>
      </c>
      <c r="E986" s="3" t="s">
        <v>45</v>
      </c>
      <c r="F986" s="3" t="s">
        <v>30</v>
      </c>
      <c r="G986" s="3" t="s">
        <v>40</v>
      </c>
      <c r="H986" s="3" t="s">
        <v>30</v>
      </c>
      <c r="I986" s="3" t="s">
        <v>32</v>
      </c>
      <c r="J986" s="0" t="n">
        <v>1</v>
      </c>
      <c r="K986" s="0" t="n">
        <v>0</v>
      </c>
      <c r="L986" s="0" t="n">
        <v>0</v>
      </c>
      <c r="M986" s="0" t="n">
        <v>0</v>
      </c>
      <c r="N986" s="0" t="str">
        <f aca="false">IF(OR(NOT(OR(J986=0,J986=1)),NOT(OR(K986=0,K986=1)),NOT(OR(L986=0,L986=1)),NOT(OR(M986=0,M986=1)),NOT(OR(U986=0,U986=1))),"Yes","No")</f>
        <v>No</v>
      </c>
      <c r="O986" s="0" t="str">
        <f aca="false">IF(OR(AND(M986=1,L986=0),AND(L986=1,K986=0),AND(K986=1,J986=0)),"Yes","No")</f>
        <v>No</v>
      </c>
      <c r="P986" s="0" t="n">
        <v>0</v>
      </c>
      <c r="Q986" s="0" t="str">
        <f aca="false">IF(OR(AND(M986=0,P986&gt;0),AND(M986=1,P986&lt;=0)),"Yes","No")</f>
        <v>No</v>
      </c>
      <c r="R986" s="0" t="str">
        <f aca="false">IF(AND(M986=1,P986&gt;calc_helpers!$B$5),"Yes","No")</f>
        <v>No</v>
      </c>
      <c r="S986" s="0" t="n">
        <v>0</v>
      </c>
      <c r="T986" s="0" t="str">
        <f aca="false">IF(S986&gt;0,"Yes","No")</f>
        <v>No</v>
      </c>
      <c r="U986" s="0" t="n">
        <v>0</v>
      </c>
      <c r="W986" s="0" t="str">
        <f aca="false">IF(OR(AND(M986=1,ISBLANK(V986)),AND(M986=0,NOT(ISBLANK(V986)))),"Yes","No")</f>
        <v>No</v>
      </c>
      <c r="X986" s="0" t="n">
        <v>69.6</v>
      </c>
      <c r="Y986" s="3" t="s">
        <v>30</v>
      </c>
      <c r="Z986" s="0" t="str">
        <f aca="false">IF(M986=1,P986,"")</f>
        <v/>
      </c>
    </row>
    <row r="987" customFormat="false" ht="15" hidden="false" customHeight="false" outlineLevel="0" collapsed="false">
      <c r="A987" s="0" t="s">
        <v>1031</v>
      </c>
      <c r="B987" s="2" t="n">
        <v>45726</v>
      </c>
      <c r="C987" s="3" t="s">
        <v>736</v>
      </c>
      <c r="D987" s="3" t="s">
        <v>39</v>
      </c>
      <c r="E987" s="3" t="s">
        <v>35</v>
      </c>
      <c r="F987" s="3" t="s">
        <v>30</v>
      </c>
      <c r="G987" s="3" t="s">
        <v>40</v>
      </c>
      <c r="H987" s="3" t="s">
        <v>30</v>
      </c>
      <c r="I987" s="3" t="s">
        <v>37</v>
      </c>
      <c r="J987" s="0" t="n">
        <v>1</v>
      </c>
      <c r="K987" s="0" t="n">
        <v>0</v>
      </c>
      <c r="L987" s="0" t="n">
        <v>0</v>
      </c>
      <c r="M987" s="0" t="n">
        <v>0</v>
      </c>
      <c r="N987" s="0" t="str">
        <f aca="false">IF(OR(NOT(OR(J987=0,J987=1)),NOT(OR(K987=0,K987=1)),NOT(OR(L987=0,L987=1)),NOT(OR(M987=0,M987=1)),NOT(OR(U987=0,U987=1))),"Yes","No")</f>
        <v>No</v>
      </c>
      <c r="O987" s="0" t="str">
        <f aca="false">IF(OR(AND(M987=1,L987=0),AND(L987=1,K987=0),AND(K987=1,J987=0)),"Yes","No")</f>
        <v>No</v>
      </c>
      <c r="P987" s="0" t="n">
        <v>0</v>
      </c>
      <c r="Q987" s="0" t="str">
        <f aca="false">IF(OR(AND(M987=0,P987&gt;0),AND(M987=1,P987&lt;=0)),"Yes","No")</f>
        <v>No</v>
      </c>
      <c r="R987" s="0" t="str">
        <f aca="false">IF(AND(M987=1,P987&gt;calc_helpers!$B$5),"Yes","No")</f>
        <v>No</v>
      </c>
      <c r="S987" s="0" t="n">
        <v>0</v>
      </c>
      <c r="T987" s="0" t="str">
        <f aca="false">IF(S987&gt;0,"Yes","No")</f>
        <v>No</v>
      </c>
      <c r="U987" s="0" t="n">
        <v>0</v>
      </c>
      <c r="W987" s="0" t="str">
        <f aca="false">IF(OR(AND(M987=1,ISBLANK(V987)),AND(M987=0,NOT(ISBLANK(V987)))),"Yes","No")</f>
        <v>No</v>
      </c>
      <c r="X987" s="0" t="n">
        <v>77.5</v>
      </c>
      <c r="Y987" s="3" t="s">
        <v>30</v>
      </c>
      <c r="Z987" s="0" t="str">
        <f aca="false">IF(M987=1,P987,"")</f>
        <v/>
      </c>
    </row>
    <row r="988" customFormat="false" ht="15" hidden="false" customHeight="false" outlineLevel="0" collapsed="false">
      <c r="A988" s="0" t="s">
        <v>1032</v>
      </c>
      <c r="B988" s="2" t="n">
        <v>45726</v>
      </c>
      <c r="C988" s="3" t="s">
        <v>736</v>
      </c>
      <c r="D988" s="3" t="s">
        <v>39</v>
      </c>
      <c r="E988" s="3" t="s">
        <v>45</v>
      </c>
      <c r="F988" s="3" t="s">
        <v>30</v>
      </c>
      <c r="G988" s="3" t="s">
        <v>52</v>
      </c>
      <c r="H988" s="3" t="s">
        <v>30</v>
      </c>
      <c r="I988" s="3" t="s">
        <v>41</v>
      </c>
      <c r="J988" s="0" t="n">
        <v>0</v>
      </c>
      <c r="K988" s="0" t="n">
        <v>0</v>
      </c>
      <c r="L988" s="0" t="n">
        <v>0</v>
      </c>
      <c r="M988" s="0" t="n">
        <v>0</v>
      </c>
      <c r="N988" s="0" t="str">
        <f aca="false">IF(OR(NOT(OR(J988=0,J988=1)),NOT(OR(K988=0,K988=1)),NOT(OR(L988=0,L988=1)),NOT(OR(M988=0,M988=1)),NOT(OR(U988=0,U988=1))),"Yes","No")</f>
        <v>No</v>
      </c>
      <c r="O988" s="0" t="str">
        <f aca="false">IF(OR(AND(M988=1,L988=0),AND(L988=1,K988=0),AND(K988=1,J988=0)),"Yes","No")</f>
        <v>No</v>
      </c>
      <c r="P988" s="0" t="n">
        <v>0</v>
      </c>
      <c r="Q988" s="0" t="str">
        <f aca="false">IF(OR(AND(M988=0,P988&gt;0),AND(M988=1,P988&lt;=0)),"Yes","No")</f>
        <v>No</v>
      </c>
      <c r="R988" s="0" t="str">
        <f aca="false">IF(AND(M988=1,P988&gt;calc_helpers!$B$5),"Yes","No")</f>
        <v>No</v>
      </c>
      <c r="S988" s="0" t="n">
        <v>2</v>
      </c>
      <c r="T988" s="0" t="str">
        <f aca="false">IF(S988&gt;0,"Yes","No")</f>
        <v>Yes</v>
      </c>
      <c r="U988" s="0" t="n">
        <v>0</v>
      </c>
      <c r="W988" s="0" t="str">
        <f aca="false">IF(OR(AND(M988=1,ISBLANK(V988)),AND(M988=0,NOT(ISBLANK(V988)))),"Yes","No")</f>
        <v>No</v>
      </c>
      <c r="X988" s="0" t="n">
        <v>57.5</v>
      </c>
      <c r="Y988" s="3" t="s">
        <v>30</v>
      </c>
      <c r="Z988" s="0" t="str">
        <f aca="false">IF(M988=1,P988,"")</f>
        <v/>
      </c>
    </row>
    <row r="989" customFormat="false" ht="15" hidden="false" customHeight="false" outlineLevel="0" collapsed="false">
      <c r="A989" s="0" t="s">
        <v>1033</v>
      </c>
      <c r="B989" s="2" t="n">
        <v>45766</v>
      </c>
      <c r="C989" s="3" t="s">
        <v>736</v>
      </c>
      <c r="D989" s="3" t="s">
        <v>34</v>
      </c>
      <c r="E989" s="3" t="s">
        <v>45</v>
      </c>
      <c r="F989" s="3" t="s">
        <v>30</v>
      </c>
      <c r="G989" s="3" t="s">
        <v>31</v>
      </c>
      <c r="H989" s="3" t="s">
        <v>30</v>
      </c>
      <c r="I989" s="3" t="s">
        <v>32</v>
      </c>
      <c r="J989" s="0" t="n">
        <v>1</v>
      </c>
      <c r="K989" s="0" t="n">
        <v>0</v>
      </c>
      <c r="L989" s="0" t="n">
        <v>0</v>
      </c>
      <c r="M989" s="0" t="n">
        <v>0</v>
      </c>
      <c r="N989" s="0" t="str">
        <f aca="false">IF(OR(NOT(OR(J989=0,J989=1)),NOT(OR(K989=0,K989=1)),NOT(OR(L989=0,L989=1)),NOT(OR(M989=0,M989=1)),NOT(OR(U989=0,U989=1))),"Yes","No")</f>
        <v>No</v>
      </c>
      <c r="O989" s="0" t="str">
        <f aca="false">IF(OR(AND(M989=1,L989=0),AND(L989=1,K989=0),AND(K989=1,J989=0)),"Yes","No")</f>
        <v>No</v>
      </c>
      <c r="P989" s="0" t="n">
        <v>0</v>
      </c>
      <c r="Q989" s="0" t="str">
        <f aca="false">IF(OR(AND(M989=0,P989&gt;0),AND(M989=1,P989&lt;=0)),"Yes","No")</f>
        <v>No</v>
      </c>
      <c r="R989" s="0" t="str">
        <f aca="false">IF(AND(M989=1,P989&gt;calc_helpers!$B$5),"Yes","No")</f>
        <v>No</v>
      </c>
      <c r="S989" s="0" t="n">
        <v>0</v>
      </c>
      <c r="T989" s="0" t="str">
        <f aca="false">IF(S989&gt;0,"Yes","No")</f>
        <v>No</v>
      </c>
      <c r="U989" s="0" t="n">
        <v>0</v>
      </c>
      <c r="W989" s="0" t="str">
        <f aca="false">IF(OR(AND(M989=1,ISBLANK(V989)),AND(M989=0,NOT(ISBLANK(V989)))),"Yes","No")</f>
        <v>No</v>
      </c>
      <c r="X989" s="0" t="n">
        <v>64.2</v>
      </c>
      <c r="Y989" s="3" t="s">
        <v>30</v>
      </c>
      <c r="Z989" s="0" t="str">
        <f aca="false">IF(M989=1,P989,"")</f>
        <v/>
      </c>
    </row>
    <row r="990" customFormat="false" ht="15" hidden="false" customHeight="false" outlineLevel="0" collapsed="false">
      <c r="A990" s="0" t="s">
        <v>1034</v>
      </c>
      <c r="B990" s="2" t="n">
        <v>45758</v>
      </c>
      <c r="C990" s="3" t="s">
        <v>736</v>
      </c>
      <c r="D990" s="3" t="s">
        <v>34</v>
      </c>
      <c r="E990" s="3" t="s">
        <v>29</v>
      </c>
      <c r="F990" s="3" t="s">
        <v>30</v>
      </c>
      <c r="G990" s="3" t="s">
        <v>36</v>
      </c>
      <c r="H990" s="3" t="s">
        <v>30</v>
      </c>
      <c r="I990" s="3" t="s">
        <v>37</v>
      </c>
      <c r="J990" s="0" t="n">
        <v>0</v>
      </c>
      <c r="K990" s="0" t="n">
        <v>0</v>
      </c>
      <c r="L990" s="0" t="n">
        <v>0</v>
      </c>
      <c r="M990" s="0" t="n">
        <v>0</v>
      </c>
      <c r="N990" s="0" t="str">
        <f aca="false">IF(OR(NOT(OR(J990=0,J990=1)),NOT(OR(K990=0,K990=1)),NOT(OR(L990=0,L990=1)),NOT(OR(M990=0,M990=1)),NOT(OR(U990=0,U990=1))),"Yes","No")</f>
        <v>No</v>
      </c>
      <c r="O990" s="0" t="str">
        <f aca="false">IF(OR(AND(M990=1,L990=0),AND(L990=1,K990=0),AND(K990=1,J990=0)),"Yes","No")</f>
        <v>No</v>
      </c>
      <c r="P990" s="0" t="n">
        <v>0</v>
      </c>
      <c r="Q990" s="0" t="str">
        <f aca="false">IF(OR(AND(M990=0,P990&gt;0),AND(M990=1,P990&lt;=0)),"Yes","No")</f>
        <v>No</v>
      </c>
      <c r="R990" s="0" t="str">
        <f aca="false">IF(AND(M990=1,P990&gt;calc_helpers!$B$5),"Yes","No")</f>
        <v>No</v>
      </c>
      <c r="S990" s="0" t="n">
        <v>0</v>
      </c>
      <c r="T990" s="0" t="str">
        <f aca="false">IF(S990&gt;0,"Yes","No")</f>
        <v>No</v>
      </c>
      <c r="U990" s="0" t="n">
        <v>0</v>
      </c>
      <c r="W990" s="0" t="str">
        <f aca="false">IF(OR(AND(M990=1,ISBLANK(V990)),AND(M990=0,NOT(ISBLANK(V990)))),"Yes","No")</f>
        <v>No</v>
      </c>
      <c r="X990" s="0" t="n">
        <v>60</v>
      </c>
      <c r="Y990" s="3" t="s">
        <v>30</v>
      </c>
      <c r="Z990" s="0" t="str">
        <f aca="false">IF(M990=1,P990,"")</f>
        <v/>
      </c>
    </row>
    <row r="991" customFormat="false" ht="15" hidden="false" customHeight="false" outlineLevel="0" collapsed="false">
      <c r="A991" s="0" t="s">
        <v>1035</v>
      </c>
      <c r="B991" s="2" t="n">
        <v>45757</v>
      </c>
      <c r="C991" s="3" t="s">
        <v>736</v>
      </c>
      <c r="D991" s="3" t="s">
        <v>39</v>
      </c>
      <c r="E991" s="3" t="s">
        <v>35</v>
      </c>
      <c r="F991" s="3" t="s">
        <v>30</v>
      </c>
      <c r="G991" s="3" t="s">
        <v>36</v>
      </c>
      <c r="H991" s="3" t="s">
        <v>30</v>
      </c>
      <c r="I991" s="3" t="s">
        <v>32</v>
      </c>
      <c r="J991" s="0" t="n">
        <v>1</v>
      </c>
      <c r="K991" s="0" t="n">
        <v>0</v>
      </c>
      <c r="L991" s="0" t="n">
        <v>0</v>
      </c>
      <c r="M991" s="0" t="n">
        <v>0</v>
      </c>
      <c r="N991" s="0" t="str">
        <f aca="false">IF(OR(NOT(OR(J991=0,J991=1)),NOT(OR(K991=0,K991=1)),NOT(OR(L991=0,L991=1)),NOT(OR(M991=0,M991=1)),NOT(OR(U991=0,U991=1))),"Yes","No")</f>
        <v>No</v>
      </c>
      <c r="O991" s="0" t="str">
        <f aca="false">IF(OR(AND(M991=1,L991=0),AND(L991=1,K991=0),AND(K991=1,J991=0)),"Yes","No")</f>
        <v>No</v>
      </c>
      <c r="P991" s="0" t="n">
        <v>0</v>
      </c>
      <c r="Q991" s="0" t="str">
        <f aca="false">IF(OR(AND(M991=0,P991&gt;0),AND(M991=1,P991&lt;=0)),"Yes","No")</f>
        <v>No</v>
      </c>
      <c r="R991" s="0" t="str">
        <f aca="false">IF(AND(M991=1,P991&gt;calc_helpers!$B$5),"Yes","No")</f>
        <v>No</v>
      </c>
      <c r="S991" s="0" t="n">
        <v>1</v>
      </c>
      <c r="T991" s="0" t="str">
        <f aca="false">IF(S991&gt;0,"Yes","No")</f>
        <v>Yes</v>
      </c>
      <c r="U991" s="0" t="n">
        <v>0</v>
      </c>
      <c r="W991" s="0" t="str">
        <f aca="false">IF(OR(AND(M991=1,ISBLANK(V991)),AND(M991=0,NOT(ISBLANK(V991)))),"Yes","No")</f>
        <v>No</v>
      </c>
      <c r="X991" s="0" t="n">
        <v>43.7</v>
      </c>
      <c r="Y991" s="3" t="s">
        <v>30</v>
      </c>
      <c r="Z991" s="0" t="str">
        <f aca="false">IF(M991=1,P991,"")</f>
        <v/>
      </c>
    </row>
    <row r="992" customFormat="false" ht="15" hidden="false" customHeight="false" outlineLevel="0" collapsed="false">
      <c r="A992" s="0" t="s">
        <v>1036</v>
      </c>
      <c r="B992" s="2" t="n">
        <v>45670</v>
      </c>
      <c r="C992" s="3" t="s">
        <v>736</v>
      </c>
      <c r="D992" s="3" t="s">
        <v>34</v>
      </c>
      <c r="E992" s="3" t="s">
        <v>29</v>
      </c>
      <c r="F992" s="3" t="s">
        <v>30</v>
      </c>
      <c r="G992" s="3" t="s">
        <v>52</v>
      </c>
      <c r="H992" s="3" t="s">
        <v>30</v>
      </c>
      <c r="I992" s="3" t="s">
        <v>37</v>
      </c>
      <c r="J992" s="0" t="n">
        <v>1</v>
      </c>
      <c r="K992" s="0" t="n">
        <v>0</v>
      </c>
      <c r="L992" s="0" t="n">
        <v>0</v>
      </c>
      <c r="M992" s="0" t="n">
        <v>0</v>
      </c>
      <c r="N992" s="0" t="str">
        <f aca="false">IF(OR(NOT(OR(J992=0,J992=1)),NOT(OR(K992=0,K992=1)),NOT(OR(L992=0,L992=1)),NOT(OR(M992=0,M992=1)),NOT(OR(U992=0,U992=1))),"Yes","No")</f>
        <v>No</v>
      </c>
      <c r="O992" s="0" t="str">
        <f aca="false">IF(OR(AND(M992=1,L992=0),AND(L992=1,K992=0),AND(K992=1,J992=0)),"Yes","No")</f>
        <v>No</v>
      </c>
      <c r="P992" s="0" t="n">
        <v>0</v>
      </c>
      <c r="Q992" s="0" t="str">
        <f aca="false">IF(OR(AND(M992=0,P992&gt;0),AND(M992=1,P992&lt;=0)),"Yes","No")</f>
        <v>No</v>
      </c>
      <c r="R992" s="0" t="str">
        <f aca="false">IF(AND(M992=1,P992&gt;calc_helpers!$B$5),"Yes","No")</f>
        <v>No</v>
      </c>
      <c r="S992" s="0" t="n">
        <v>0</v>
      </c>
      <c r="T992" s="0" t="str">
        <f aca="false">IF(S992&gt;0,"Yes","No")</f>
        <v>No</v>
      </c>
      <c r="U992" s="0" t="n">
        <v>0</v>
      </c>
      <c r="W992" s="0" t="str">
        <f aca="false">IF(OR(AND(M992=1,ISBLANK(V992)),AND(M992=0,NOT(ISBLANK(V992)))),"Yes","No")</f>
        <v>No</v>
      </c>
      <c r="X992" s="0" t="n">
        <v>64.9</v>
      </c>
      <c r="Y992" s="3" t="s">
        <v>30</v>
      </c>
      <c r="Z992" s="0" t="str">
        <f aca="false">IF(M992=1,P992,"")</f>
        <v/>
      </c>
    </row>
    <row r="993" customFormat="false" ht="15" hidden="false" customHeight="false" outlineLevel="0" collapsed="false">
      <c r="A993" s="0" t="s">
        <v>1037</v>
      </c>
      <c r="B993" s="2" t="n">
        <v>45744</v>
      </c>
      <c r="C993" s="3" t="s">
        <v>736</v>
      </c>
      <c r="D993" s="3" t="s">
        <v>43</v>
      </c>
      <c r="E993" s="3" t="s">
        <v>29</v>
      </c>
      <c r="F993" s="3" t="s">
        <v>30</v>
      </c>
      <c r="G993" s="3" t="s">
        <v>36</v>
      </c>
      <c r="H993" s="3" t="s">
        <v>30</v>
      </c>
      <c r="I993" s="3" t="s">
        <v>37</v>
      </c>
      <c r="J993" s="0" t="n">
        <v>1</v>
      </c>
      <c r="K993" s="0" t="n">
        <v>1</v>
      </c>
      <c r="L993" s="0" t="n">
        <v>0</v>
      </c>
      <c r="M993" s="0" t="n">
        <v>0</v>
      </c>
      <c r="N993" s="0" t="str">
        <f aca="false">IF(OR(NOT(OR(J993=0,J993=1)),NOT(OR(K993=0,K993=1)),NOT(OR(L993=0,L993=1)),NOT(OR(M993=0,M993=1)),NOT(OR(U993=0,U993=1))),"Yes","No")</f>
        <v>No</v>
      </c>
      <c r="O993" s="0" t="str">
        <f aca="false">IF(OR(AND(M993=1,L993=0),AND(L993=1,K993=0),AND(K993=1,J993=0)),"Yes","No")</f>
        <v>No</v>
      </c>
      <c r="P993" s="0" t="n">
        <v>0</v>
      </c>
      <c r="Q993" s="0" t="str">
        <f aca="false">IF(OR(AND(M993=0,P993&gt;0),AND(M993=1,P993&lt;=0)),"Yes","No")</f>
        <v>No</v>
      </c>
      <c r="R993" s="0" t="str">
        <f aca="false">IF(AND(M993=1,P993&gt;calc_helpers!$B$5),"Yes","No")</f>
        <v>No</v>
      </c>
      <c r="S993" s="0" t="n">
        <v>0</v>
      </c>
      <c r="T993" s="0" t="str">
        <f aca="false">IF(S993&gt;0,"Yes","No")</f>
        <v>No</v>
      </c>
      <c r="U993" s="0" t="n">
        <v>0</v>
      </c>
      <c r="W993" s="0" t="str">
        <f aca="false">IF(OR(AND(M993=1,ISBLANK(V993)),AND(M993=0,NOT(ISBLANK(V993)))),"Yes","No")</f>
        <v>No</v>
      </c>
      <c r="X993" s="0" t="n">
        <v>45.5</v>
      </c>
      <c r="Y993" s="3" t="s">
        <v>30</v>
      </c>
      <c r="Z993" s="0" t="str">
        <f aca="false">IF(M993=1,P993,"")</f>
        <v/>
      </c>
    </row>
    <row r="994" customFormat="false" ht="15" hidden="false" customHeight="false" outlineLevel="0" collapsed="false">
      <c r="A994" s="0" t="s">
        <v>1038</v>
      </c>
      <c r="B994" s="2" t="n">
        <v>45686</v>
      </c>
      <c r="C994" s="3" t="s">
        <v>736</v>
      </c>
      <c r="D994" s="3" t="s">
        <v>39</v>
      </c>
      <c r="E994" s="3" t="s">
        <v>35</v>
      </c>
      <c r="F994" s="3" t="s">
        <v>30</v>
      </c>
      <c r="G994" s="3" t="s">
        <v>40</v>
      </c>
      <c r="H994" s="3" t="s">
        <v>30</v>
      </c>
      <c r="I994" s="3" t="s">
        <v>37</v>
      </c>
      <c r="J994" s="0" t="n">
        <v>1</v>
      </c>
      <c r="K994" s="0" t="n">
        <v>1</v>
      </c>
      <c r="L994" s="0" t="n">
        <v>1</v>
      </c>
      <c r="M994" s="0" t="n">
        <v>1</v>
      </c>
      <c r="N994" s="0" t="str">
        <f aca="false">IF(OR(NOT(OR(J994=0,J994=1)),NOT(OR(K994=0,K994=1)),NOT(OR(L994=0,L994=1)),NOT(OR(M994=0,M994=1)),NOT(OR(U994=0,U994=1))),"Yes","No")</f>
        <v>No</v>
      </c>
      <c r="O994" s="0" t="str">
        <f aca="false">IF(OR(AND(M994=1,L994=0),AND(L994=1,K994=0),AND(K994=1,J994=0)),"Yes","No")</f>
        <v>No</v>
      </c>
      <c r="P994" s="0" t="n">
        <v>1772.97</v>
      </c>
      <c r="Q994" s="0" t="str">
        <f aca="false">IF(OR(AND(M994=0,P994&gt;0),AND(M994=1,P994&lt;=0)),"Yes","No")</f>
        <v>No</v>
      </c>
      <c r="R994" s="0" t="str">
        <f aca="false">IF(AND(M994=1,P994&gt;calc_helpers!$B$5),"Yes","No")</f>
        <v>No</v>
      </c>
      <c r="S994" s="0" t="n">
        <v>0</v>
      </c>
      <c r="T994" s="0" t="str">
        <f aca="false">IF(S994&gt;0,"Yes","No")</f>
        <v>No</v>
      </c>
      <c r="U994" s="0" t="n">
        <v>0</v>
      </c>
      <c r="V994" s="0" t="n">
        <v>8</v>
      </c>
      <c r="W994" s="0" t="str">
        <f aca="false">IF(OR(AND(M994=1,ISBLANK(V994)),AND(M994=0,NOT(ISBLANK(V994)))),"Yes","No")</f>
        <v>No</v>
      </c>
      <c r="X994" s="0" t="n">
        <v>61.2</v>
      </c>
      <c r="Y994" s="3" t="s">
        <v>30</v>
      </c>
      <c r="Z994" s="3" t="n">
        <f aca="false">IF(M994=1,P994,"")</f>
        <v>1772.97</v>
      </c>
    </row>
    <row r="995" customFormat="false" ht="15" hidden="false" customHeight="false" outlineLevel="0" collapsed="false">
      <c r="A995" s="0" t="s">
        <v>1039</v>
      </c>
      <c r="B995" s="2" t="n">
        <v>45743</v>
      </c>
      <c r="C995" s="3" t="s">
        <v>736</v>
      </c>
      <c r="D995" s="3" t="s">
        <v>43</v>
      </c>
      <c r="E995" s="3" t="s">
        <v>35</v>
      </c>
      <c r="F995" s="3" t="s">
        <v>30</v>
      </c>
      <c r="G995" s="3" t="s">
        <v>50</v>
      </c>
      <c r="H995" s="3" t="s">
        <v>30</v>
      </c>
      <c r="I995" s="3" t="s">
        <v>37</v>
      </c>
      <c r="J995" s="0" t="n">
        <v>0</v>
      </c>
      <c r="K995" s="0" t="n">
        <v>0</v>
      </c>
      <c r="L995" s="0" t="n">
        <v>0</v>
      </c>
      <c r="M995" s="0" t="n">
        <v>0</v>
      </c>
      <c r="N995" s="0" t="str">
        <f aca="false">IF(OR(NOT(OR(J995=0,J995=1)),NOT(OR(K995=0,K995=1)),NOT(OR(L995=0,L995=1)),NOT(OR(M995=0,M995=1)),NOT(OR(U995=0,U995=1))),"Yes","No")</f>
        <v>No</v>
      </c>
      <c r="O995" s="0" t="str">
        <f aca="false">IF(OR(AND(M995=1,L995=0),AND(L995=1,K995=0),AND(K995=1,J995=0)),"Yes","No")</f>
        <v>No</v>
      </c>
      <c r="P995" s="0" t="n">
        <v>0</v>
      </c>
      <c r="Q995" s="0" t="str">
        <f aca="false">IF(OR(AND(M995=0,P995&gt;0),AND(M995=1,P995&lt;=0)),"Yes","No")</f>
        <v>No</v>
      </c>
      <c r="R995" s="0" t="str">
        <f aca="false">IF(AND(M995=1,P995&gt;calc_helpers!$B$5),"Yes","No")</f>
        <v>No</v>
      </c>
      <c r="S995" s="0" t="n">
        <v>0</v>
      </c>
      <c r="T995" s="0" t="str">
        <f aca="false">IF(S995&gt;0,"Yes","No")</f>
        <v>No</v>
      </c>
      <c r="U995" s="0" t="n">
        <v>0</v>
      </c>
      <c r="W995" s="0" t="str">
        <f aca="false">IF(OR(AND(M995=1,ISBLANK(V995)),AND(M995=0,NOT(ISBLANK(V995)))),"Yes","No")</f>
        <v>No</v>
      </c>
      <c r="X995" s="0" t="n">
        <v>87.8</v>
      </c>
      <c r="Y995" s="3" t="s">
        <v>30</v>
      </c>
      <c r="Z995" s="0" t="str">
        <f aca="false">IF(M995=1,P995,"")</f>
        <v/>
      </c>
    </row>
    <row r="996" customFormat="false" ht="15" hidden="false" customHeight="false" outlineLevel="0" collapsed="false">
      <c r="A996" s="0" t="s">
        <v>1040</v>
      </c>
      <c r="B996" s="2" t="n">
        <v>45736</v>
      </c>
      <c r="C996" s="3" t="s">
        <v>736</v>
      </c>
      <c r="D996" s="3" t="s">
        <v>39</v>
      </c>
      <c r="E996" s="3" t="s">
        <v>45</v>
      </c>
      <c r="F996" s="3" t="s">
        <v>30</v>
      </c>
      <c r="G996" s="3" t="s">
        <v>52</v>
      </c>
      <c r="H996" s="3" t="s">
        <v>30</v>
      </c>
      <c r="I996" s="3" t="s">
        <v>37</v>
      </c>
      <c r="J996" s="0" t="n">
        <v>0</v>
      </c>
      <c r="K996" s="0" t="n">
        <v>0</v>
      </c>
      <c r="L996" s="0" t="n">
        <v>0</v>
      </c>
      <c r="M996" s="0" t="n">
        <v>0</v>
      </c>
      <c r="N996" s="0" t="str">
        <f aca="false">IF(OR(NOT(OR(J996=0,J996=1)),NOT(OR(K996=0,K996=1)),NOT(OR(L996=0,L996=1)),NOT(OR(M996=0,M996=1)),NOT(OR(U996=0,U996=1))),"Yes","No")</f>
        <v>No</v>
      </c>
      <c r="O996" s="0" t="str">
        <f aca="false">IF(OR(AND(M996=1,L996=0),AND(L996=1,K996=0),AND(K996=1,J996=0)),"Yes","No")</f>
        <v>No</v>
      </c>
      <c r="P996" s="0" t="n">
        <v>0</v>
      </c>
      <c r="Q996" s="0" t="str">
        <f aca="false">IF(OR(AND(M996=0,P996&gt;0),AND(M996=1,P996&lt;=0)),"Yes","No")</f>
        <v>No</v>
      </c>
      <c r="R996" s="0" t="str">
        <f aca="false">IF(AND(M996=1,P996&gt;calc_helpers!$B$5),"Yes","No")</f>
        <v>No</v>
      </c>
      <c r="S996" s="0" t="n">
        <v>0</v>
      </c>
      <c r="T996" s="0" t="str">
        <f aca="false">IF(S996&gt;0,"Yes","No")</f>
        <v>No</v>
      </c>
      <c r="U996" s="0" t="n">
        <v>0</v>
      </c>
      <c r="W996" s="0" t="str">
        <f aca="false">IF(OR(AND(M996=1,ISBLANK(V996)),AND(M996=0,NOT(ISBLANK(V996)))),"Yes","No")</f>
        <v>No</v>
      </c>
      <c r="X996" s="0" t="n">
        <v>86.4</v>
      </c>
      <c r="Y996" s="3" t="s">
        <v>30</v>
      </c>
      <c r="Z996" s="0" t="str">
        <f aca="false">IF(M996=1,P996,"")</f>
        <v/>
      </c>
    </row>
    <row r="997" customFormat="false" ht="15" hidden="false" customHeight="false" outlineLevel="0" collapsed="false">
      <c r="A997" s="0" t="s">
        <v>1041</v>
      </c>
      <c r="B997" s="2" t="n">
        <v>45666</v>
      </c>
      <c r="C997" s="3" t="s">
        <v>736</v>
      </c>
      <c r="D997" s="3" t="s">
        <v>28</v>
      </c>
      <c r="E997" s="3" t="s">
        <v>35</v>
      </c>
      <c r="F997" s="3" t="s">
        <v>30</v>
      </c>
      <c r="G997" s="3" t="s">
        <v>40</v>
      </c>
      <c r="H997" s="3" t="s">
        <v>30</v>
      </c>
      <c r="I997" s="3" t="s">
        <v>32</v>
      </c>
      <c r="J997" s="0" t="n">
        <v>0</v>
      </c>
      <c r="K997" s="0" t="n">
        <v>0</v>
      </c>
      <c r="L997" s="0" t="n">
        <v>0</v>
      </c>
      <c r="M997" s="0" t="n">
        <v>0</v>
      </c>
      <c r="N997" s="0" t="str">
        <f aca="false">IF(OR(NOT(OR(J997=0,J997=1)),NOT(OR(K997=0,K997=1)),NOT(OR(L997=0,L997=1)),NOT(OR(M997=0,M997=1)),NOT(OR(U997=0,U997=1))),"Yes","No")</f>
        <v>No</v>
      </c>
      <c r="O997" s="0" t="str">
        <f aca="false">IF(OR(AND(M997=1,L997=0),AND(L997=1,K997=0),AND(K997=1,J997=0)),"Yes","No")</f>
        <v>No</v>
      </c>
      <c r="P997" s="0" t="n">
        <v>0</v>
      </c>
      <c r="Q997" s="0" t="str">
        <f aca="false">IF(OR(AND(M997=0,P997&gt;0),AND(M997=1,P997&lt;=0)),"Yes","No")</f>
        <v>No</v>
      </c>
      <c r="R997" s="0" t="str">
        <f aca="false">IF(AND(M997=1,P997&gt;calc_helpers!$B$5),"Yes","No")</f>
        <v>No</v>
      </c>
      <c r="S997" s="0" t="n">
        <v>1</v>
      </c>
      <c r="T997" s="0" t="str">
        <f aca="false">IF(S997&gt;0,"Yes","No")</f>
        <v>Yes</v>
      </c>
      <c r="U997" s="0" t="n">
        <v>0</v>
      </c>
      <c r="W997" s="0" t="str">
        <f aca="false">IF(OR(AND(M997=1,ISBLANK(V997)),AND(M997=0,NOT(ISBLANK(V997)))),"Yes","No")</f>
        <v>No</v>
      </c>
      <c r="X997" s="0" t="n">
        <v>71.4</v>
      </c>
      <c r="Y997" s="3" t="s">
        <v>30</v>
      </c>
      <c r="Z997" s="0" t="str">
        <f aca="false">IF(M997=1,P997,"")</f>
        <v/>
      </c>
    </row>
    <row r="998" customFormat="false" ht="15" hidden="false" customHeight="false" outlineLevel="0" collapsed="false">
      <c r="A998" s="0" t="s">
        <v>1042</v>
      </c>
      <c r="B998" s="2" t="n">
        <v>45772</v>
      </c>
      <c r="C998" s="3" t="s">
        <v>736</v>
      </c>
      <c r="D998" s="3" t="s">
        <v>34</v>
      </c>
      <c r="E998" s="3" t="s">
        <v>35</v>
      </c>
      <c r="F998" s="3" t="s">
        <v>30</v>
      </c>
      <c r="G998" s="3" t="s">
        <v>52</v>
      </c>
      <c r="H998" s="3" t="s">
        <v>30</v>
      </c>
      <c r="I998" s="3" t="s">
        <v>37</v>
      </c>
      <c r="J998" s="0" t="n">
        <v>1</v>
      </c>
      <c r="K998" s="0" t="n">
        <v>1</v>
      </c>
      <c r="L998" s="0" t="n">
        <v>1</v>
      </c>
      <c r="M998" s="0" t="n">
        <v>1</v>
      </c>
      <c r="N998" s="0" t="str">
        <f aca="false">IF(OR(NOT(OR(J998=0,J998=1)),NOT(OR(K998=0,K998=1)),NOT(OR(L998=0,L998=1)),NOT(OR(M998=0,M998=1)),NOT(OR(U998=0,U998=1))),"Yes","No")</f>
        <v>No</v>
      </c>
      <c r="O998" s="0" t="str">
        <f aca="false">IF(OR(AND(M998=1,L998=0),AND(L998=1,K998=0),AND(K998=1,J998=0)),"Yes","No")</f>
        <v>No</v>
      </c>
      <c r="P998" s="0" t="n">
        <v>218.66</v>
      </c>
      <c r="Q998" s="0" t="str">
        <f aca="false">IF(OR(AND(M998=0,P998&gt;0),AND(M998=1,P998&lt;=0)),"Yes","No")</f>
        <v>No</v>
      </c>
      <c r="R998" s="0" t="str">
        <f aca="false">IF(AND(M998=1,P998&gt;calc_helpers!$B$5),"Yes","No")</f>
        <v>No</v>
      </c>
      <c r="S998" s="0" t="n">
        <v>0</v>
      </c>
      <c r="T998" s="0" t="str">
        <f aca="false">IF(S998&gt;0,"Yes","No")</f>
        <v>No</v>
      </c>
      <c r="U998" s="0" t="n">
        <v>1</v>
      </c>
      <c r="V998" s="0" t="n">
        <v>8</v>
      </c>
      <c r="W998" s="0" t="str">
        <f aca="false">IF(OR(AND(M998=1,ISBLANK(V998)),AND(M998=0,NOT(ISBLANK(V998)))),"Yes","No")</f>
        <v>No</v>
      </c>
      <c r="X998" s="0" t="n">
        <v>72.2</v>
      </c>
      <c r="Y998" s="3" t="s">
        <v>30</v>
      </c>
      <c r="Z998" s="3" t="n">
        <f aca="false">IF(M998=1,P998,"")</f>
        <v>218.66</v>
      </c>
    </row>
    <row r="999" customFormat="false" ht="15" hidden="false" customHeight="false" outlineLevel="0" collapsed="false">
      <c r="A999" s="0" t="s">
        <v>1043</v>
      </c>
      <c r="B999" s="2" t="n">
        <v>45758</v>
      </c>
      <c r="C999" s="3" t="s">
        <v>736</v>
      </c>
      <c r="D999" s="3" t="s">
        <v>43</v>
      </c>
      <c r="E999" s="3" t="s">
        <v>29</v>
      </c>
      <c r="F999" s="3" t="s">
        <v>30</v>
      </c>
      <c r="G999" s="3" t="s">
        <v>52</v>
      </c>
      <c r="H999" s="3" t="s">
        <v>30</v>
      </c>
      <c r="I999" s="3" t="s">
        <v>37</v>
      </c>
      <c r="J999" s="0" t="n">
        <v>1</v>
      </c>
      <c r="K999" s="0" t="n">
        <v>0</v>
      </c>
      <c r="L999" s="0" t="n">
        <v>0</v>
      </c>
      <c r="M999" s="0" t="n">
        <v>0</v>
      </c>
      <c r="N999" s="0" t="str">
        <f aca="false">IF(OR(NOT(OR(J999=0,J999=1)),NOT(OR(K999=0,K999=1)),NOT(OR(L999=0,L999=1)),NOT(OR(M999=0,M999=1)),NOT(OR(U999=0,U999=1))),"Yes","No")</f>
        <v>No</v>
      </c>
      <c r="O999" s="0" t="str">
        <f aca="false">IF(OR(AND(M999=1,L999=0),AND(L999=1,K999=0),AND(K999=1,J999=0)),"Yes","No")</f>
        <v>No</v>
      </c>
      <c r="P999" s="0" t="n">
        <v>0</v>
      </c>
      <c r="Q999" s="0" t="str">
        <f aca="false">IF(OR(AND(M999=0,P999&gt;0),AND(M999=1,P999&lt;=0)),"Yes","No")</f>
        <v>No</v>
      </c>
      <c r="R999" s="0" t="str">
        <f aca="false">IF(AND(M999=1,P999&gt;calc_helpers!$B$5),"Yes","No")</f>
        <v>No</v>
      </c>
      <c r="S999" s="0" t="n">
        <v>0</v>
      </c>
      <c r="T999" s="0" t="str">
        <f aca="false">IF(S999&gt;0,"Yes","No")</f>
        <v>No</v>
      </c>
      <c r="U999" s="0" t="n">
        <v>0</v>
      </c>
      <c r="W999" s="0" t="str">
        <f aca="false">IF(OR(AND(M999=1,ISBLANK(V999)),AND(M999=0,NOT(ISBLANK(V999)))),"Yes","No")</f>
        <v>No</v>
      </c>
      <c r="X999" s="0" t="n">
        <v>51.9</v>
      </c>
      <c r="Y999" s="3" t="s">
        <v>30</v>
      </c>
      <c r="Z999" s="0" t="str">
        <f aca="false">IF(M999=1,P999,"")</f>
        <v/>
      </c>
    </row>
    <row r="1000" customFormat="false" ht="15" hidden="false" customHeight="false" outlineLevel="0" collapsed="false">
      <c r="A1000" s="0" t="s">
        <v>1044</v>
      </c>
      <c r="B1000" s="2" t="n">
        <v>45693</v>
      </c>
      <c r="C1000" s="3" t="s">
        <v>736</v>
      </c>
      <c r="D1000" s="3" t="s">
        <v>39</v>
      </c>
      <c r="E1000" s="3" t="s">
        <v>35</v>
      </c>
      <c r="F1000" s="3" t="s">
        <v>30</v>
      </c>
      <c r="G1000" s="3" t="s">
        <v>52</v>
      </c>
      <c r="H1000" s="3" t="s">
        <v>30</v>
      </c>
      <c r="I1000" s="3" t="s">
        <v>32</v>
      </c>
      <c r="J1000" s="0" t="n">
        <v>1</v>
      </c>
      <c r="K1000" s="0" t="n">
        <v>1</v>
      </c>
      <c r="L1000" s="0" t="n">
        <v>1</v>
      </c>
      <c r="M1000" s="0" t="n">
        <v>0</v>
      </c>
      <c r="N1000" s="0" t="str">
        <f aca="false">IF(OR(NOT(OR(J1000=0,J1000=1)),NOT(OR(K1000=0,K1000=1)),NOT(OR(L1000=0,L1000=1)),NOT(OR(M1000=0,M1000=1)),NOT(OR(U1000=0,U1000=1))),"Yes","No")</f>
        <v>No</v>
      </c>
      <c r="O1000" s="0" t="str">
        <f aca="false">IF(OR(AND(M1000=1,L1000=0),AND(L1000=1,K1000=0),AND(K1000=1,J1000=0)),"Yes","No")</f>
        <v>No</v>
      </c>
      <c r="P1000" s="0" t="n">
        <v>0</v>
      </c>
      <c r="Q1000" s="0" t="str">
        <f aca="false">IF(OR(AND(M1000=0,P1000&gt;0),AND(M1000=1,P1000&lt;=0)),"Yes","No")</f>
        <v>No</v>
      </c>
      <c r="R1000" s="0" t="str">
        <f aca="false">IF(AND(M1000=1,P1000&gt;calc_helpers!$B$5),"Yes","No")</f>
        <v>No</v>
      </c>
      <c r="S1000" s="0" t="n">
        <v>0</v>
      </c>
      <c r="T1000" s="0" t="str">
        <f aca="false">IF(S1000&gt;0,"Yes","No")</f>
        <v>No</v>
      </c>
      <c r="U1000" s="0" t="n">
        <v>0</v>
      </c>
      <c r="W1000" s="0" t="str">
        <f aca="false">IF(OR(AND(M1000=1,ISBLANK(V1000)),AND(M1000=0,NOT(ISBLANK(V1000)))),"Yes","No")</f>
        <v>No</v>
      </c>
      <c r="X1000" s="0" t="n">
        <v>70.3</v>
      </c>
      <c r="Y1000" s="3" t="s">
        <v>30</v>
      </c>
      <c r="Z1000" s="0" t="str">
        <f aca="false">IF(M1000=1,P1000,"")</f>
        <v/>
      </c>
    </row>
    <row r="1001" customFormat="false" ht="15" hidden="false" customHeight="false" outlineLevel="0" collapsed="false">
      <c r="A1001" s="0" t="s">
        <v>1045</v>
      </c>
      <c r="B1001" s="2" t="n">
        <v>45744</v>
      </c>
      <c r="C1001" s="3" t="s">
        <v>736</v>
      </c>
      <c r="D1001" s="3" t="s">
        <v>43</v>
      </c>
      <c r="E1001" s="3" t="s">
        <v>35</v>
      </c>
      <c r="F1001" s="3" t="s">
        <v>30</v>
      </c>
      <c r="G1001" s="3" t="s">
        <v>52</v>
      </c>
      <c r="H1001" s="3" t="s">
        <v>30</v>
      </c>
      <c r="I1001" s="3" t="s">
        <v>41</v>
      </c>
      <c r="J1001" s="0" t="n">
        <v>1</v>
      </c>
      <c r="K1001" s="0" t="n">
        <v>0</v>
      </c>
      <c r="L1001" s="0" t="n">
        <v>0</v>
      </c>
      <c r="M1001" s="0" t="n">
        <v>0</v>
      </c>
      <c r="N1001" s="0" t="str">
        <f aca="false">IF(OR(NOT(OR(J1001=0,J1001=1)),NOT(OR(K1001=0,K1001=1)),NOT(OR(L1001=0,L1001=1)),NOT(OR(M1001=0,M1001=1)),NOT(OR(U1001=0,U1001=1))),"Yes","No")</f>
        <v>No</v>
      </c>
      <c r="O1001" s="0" t="str">
        <f aca="false">IF(OR(AND(M1001=1,L1001=0),AND(L1001=1,K1001=0),AND(K1001=1,J1001=0)),"Yes","No")</f>
        <v>No</v>
      </c>
      <c r="P1001" s="0" t="n">
        <v>0</v>
      </c>
      <c r="Q1001" s="0" t="str">
        <f aca="false">IF(OR(AND(M1001=0,P1001&gt;0),AND(M1001=1,P1001&lt;=0)),"Yes","No")</f>
        <v>No</v>
      </c>
      <c r="R1001" s="0" t="str">
        <f aca="false">IF(AND(M1001=1,P1001&gt;calc_helpers!$B$5),"Yes","No")</f>
        <v>No</v>
      </c>
      <c r="S1001" s="0" t="n">
        <v>1</v>
      </c>
      <c r="T1001" s="0" t="str">
        <f aca="false">IF(S1001&gt;0,"Yes","No")</f>
        <v>Yes</v>
      </c>
      <c r="U1001" s="0" t="n">
        <v>0</v>
      </c>
      <c r="W1001" s="0" t="str">
        <f aca="false">IF(OR(AND(M1001=1,ISBLANK(V1001)),AND(M1001=0,NOT(ISBLANK(V1001)))),"Yes","No")</f>
        <v>No</v>
      </c>
      <c r="X1001" s="0" t="n">
        <v>49.2</v>
      </c>
      <c r="Y1001" s="3" t="s">
        <v>30</v>
      </c>
      <c r="Z1001" s="0" t="str">
        <f aca="false">IF(M1001=1,P1001,"")</f>
        <v/>
      </c>
    </row>
    <row r="1002" customFormat="false" ht="15" hidden="false" customHeight="false" outlineLevel="0" collapsed="false">
      <c r="A1002" s="0" t="s">
        <v>1046</v>
      </c>
      <c r="B1002" s="2" t="n">
        <v>45791</v>
      </c>
      <c r="C1002" s="3" t="s">
        <v>736</v>
      </c>
      <c r="D1002" s="3" t="s">
        <v>43</v>
      </c>
      <c r="E1002" s="3" t="s">
        <v>35</v>
      </c>
      <c r="F1002" s="3" t="s">
        <v>30</v>
      </c>
      <c r="G1002" s="3" t="s">
        <v>50</v>
      </c>
      <c r="H1002" s="3" t="s">
        <v>30</v>
      </c>
      <c r="I1002" s="3" t="s">
        <v>37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str">
        <f aca="false">IF(OR(NOT(OR(J1002=0,J1002=1)),NOT(OR(K1002=0,K1002=1)),NOT(OR(L1002=0,L1002=1)),NOT(OR(M1002=0,M1002=1)),NOT(OR(U1002=0,U1002=1))),"Yes","No")</f>
        <v>No</v>
      </c>
      <c r="O1002" s="0" t="str">
        <f aca="false">IF(OR(AND(M1002=1,L1002=0),AND(L1002=1,K1002=0),AND(K1002=1,J1002=0)),"Yes","No")</f>
        <v>No</v>
      </c>
      <c r="P1002" s="0" t="n">
        <v>0</v>
      </c>
      <c r="Q1002" s="0" t="str">
        <f aca="false">IF(OR(AND(M1002=0,P1002&gt;0),AND(M1002=1,P1002&lt;=0)),"Yes","No")</f>
        <v>No</v>
      </c>
      <c r="R1002" s="0" t="str">
        <f aca="false">IF(AND(M1002=1,P1002&gt;calc_helpers!$B$5),"Yes","No")</f>
        <v>No</v>
      </c>
      <c r="S1002" s="0" t="n">
        <v>0</v>
      </c>
      <c r="T1002" s="0" t="str">
        <f aca="false">IF(S1002&gt;0,"Yes","No")</f>
        <v>No</v>
      </c>
      <c r="U1002" s="0" t="n">
        <v>0</v>
      </c>
      <c r="W1002" s="0" t="str">
        <f aca="false">IF(OR(AND(M1002=1,ISBLANK(V1002)),AND(M1002=0,NOT(ISBLANK(V1002)))),"Yes","No")</f>
        <v>No</v>
      </c>
      <c r="X1002" s="0" t="n">
        <v>52.2</v>
      </c>
      <c r="Y1002" s="3" t="s">
        <v>30</v>
      </c>
      <c r="Z1002" s="0" t="str">
        <f aca="false">IF(M1002=1,P1002,"")</f>
        <v/>
      </c>
    </row>
    <row r="1003" customFormat="false" ht="15" hidden="false" customHeight="false" outlineLevel="0" collapsed="false">
      <c r="A1003" s="0" t="s">
        <v>1047</v>
      </c>
      <c r="B1003" s="2" t="n">
        <v>45726</v>
      </c>
      <c r="C1003" s="3" t="s">
        <v>736</v>
      </c>
      <c r="D1003" s="3" t="s">
        <v>39</v>
      </c>
      <c r="E1003" s="3" t="s">
        <v>35</v>
      </c>
      <c r="F1003" s="3" t="s">
        <v>30</v>
      </c>
      <c r="G1003" s="3" t="s">
        <v>40</v>
      </c>
      <c r="H1003" s="3" t="s">
        <v>30</v>
      </c>
      <c r="I1003" s="3" t="s">
        <v>32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str">
        <f aca="false">IF(OR(NOT(OR(J1003=0,J1003=1)),NOT(OR(K1003=0,K1003=1)),NOT(OR(L1003=0,L1003=1)),NOT(OR(M1003=0,M1003=1)),NOT(OR(U1003=0,U1003=1))),"Yes","No")</f>
        <v>No</v>
      </c>
      <c r="O1003" s="0" t="str">
        <f aca="false">IF(OR(AND(M1003=1,L1003=0),AND(L1003=1,K1003=0),AND(K1003=1,J1003=0)),"Yes","No")</f>
        <v>No</v>
      </c>
      <c r="P1003" s="0" t="n">
        <v>0</v>
      </c>
      <c r="Q1003" s="0" t="str">
        <f aca="false">IF(OR(AND(M1003=0,P1003&gt;0),AND(M1003=1,P1003&lt;=0)),"Yes","No")</f>
        <v>No</v>
      </c>
      <c r="R1003" s="0" t="str">
        <f aca="false">IF(AND(M1003=1,P1003&gt;calc_helpers!$B$5),"Yes","No")</f>
        <v>No</v>
      </c>
      <c r="S1003" s="0" t="n">
        <v>1</v>
      </c>
      <c r="T1003" s="0" t="str">
        <f aca="false">IF(S1003&gt;0,"Yes","No")</f>
        <v>Yes</v>
      </c>
      <c r="U1003" s="0" t="n">
        <v>0</v>
      </c>
      <c r="W1003" s="0" t="str">
        <f aca="false">IF(OR(AND(M1003=1,ISBLANK(V1003)),AND(M1003=0,NOT(ISBLANK(V1003)))),"Yes","No")</f>
        <v>No</v>
      </c>
      <c r="X1003" s="0" t="n">
        <v>62.6</v>
      </c>
      <c r="Y1003" s="3" t="s">
        <v>30</v>
      </c>
      <c r="Z1003" s="0" t="str">
        <f aca="false">IF(M1003=1,P1003,"")</f>
        <v/>
      </c>
    </row>
    <row r="1004" customFormat="false" ht="15" hidden="false" customHeight="false" outlineLevel="0" collapsed="false">
      <c r="A1004" s="0" t="s">
        <v>1048</v>
      </c>
      <c r="B1004" s="2" t="n">
        <v>45756</v>
      </c>
      <c r="C1004" s="3" t="s">
        <v>736</v>
      </c>
      <c r="D1004" s="3" t="s">
        <v>39</v>
      </c>
      <c r="E1004" s="3" t="s">
        <v>29</v>
      </c>
      <c r="F1004" s="3" t="s">
        <v>30</v>
      </c>
      <c r="G1004" s="3" t="s">
        <v>40</v>
      </c>
      <c r="H1004" s="3" t="s">
        <v>30</v>
      </c>
      <c r="I1004" s="3" t="s">
        <v>37</v>
      </c>
      <c r="J1004" s="0" t="n">
        <v>1</v>
      </c>
      <c r="K1004" s="0" t="n">
        <v>1</v>
      </c>
      <c r="L1004" s="0" t="n">
        <v>0</v>
      </c>
      <c r="M1004" s="0" t="n">
        <v>0</v>
      </c>
      <c r="N1004" s="0" t="str">
        <f aca="false">IF(OR(NOT(OR(J1004=0,J1004=1)),NOT(OR(K1004=0,K1004=1)),NOT(OR(L1004=0,L1004=1)),NOT(OR(M1004=0,M1004=1)),NOT(OR(U1004=0,U1004=1))),"Yes","No")</f>
        <v>No</v>
      </c>
      <c r="O1004" s="0" t="str">
        <f aca="false">IF(OR(AND(M1004=1,L1004=0),AND(L1004=1,K1004=0),AND(K1004=1,J1004=0)),"Yes","No")</f>
        <v>No</v>
      </c>
      <c r="P1004" s="0" t="n">
        <v>0</v>
      </c>
      <c r="Q1004" s="0" t="str">
        <f aca="false">IF(OR(AND(M1004=0,P1004&gt;0),AND(M1004=1,P1004&lt;=0)),"Yes","No")</f>
        <v>No</v>
      </c>
      <c r="R1004" s="0" t="str">
        <f aca="false">IF(AND(M1004=1,P1004&gt;calc_helpers!$B$5),"Yes","No")</f>
        <v>No</v>
      </c>
      <c r="S1004" s="0" t="n">
        <v>0</v>
      </c>
      <c r="T1004" s="0" t="str">
        <f aca="false">IF(S1004&gt;0,"Yes","No")</f>
        <v>No</v>
      </c>
      <c r="U1004" s="0" t="n">
        <v>0</v>
      </c>
      <c r="W1004" s="0" t="str">
        <f aca="false">IF(OR(AND(M1004=1,ISBLANK(V1004)),AND(M1004=0,NOT(ISBLANK(V1004)))),"Yes","No")</f>
        <v>No</v>
      </c>
      <c r="X1004" s="0" t="n">
        <v>100</v>
      </c>
      <c r="Y1004" s="3" t="s">
        <v>30</v>
      </c>
      <c r="Z1004" s="0" t="str">
        <f aca="false">IF(M1004=1,P1004,"")</f>
        <v/>
      </c>
    </row>
    <row r="1005" customFormat="false" ht="15" hidden="false" customHeight="false" outlineLevel="0" collapsed="false">
      <c r="A1005" s="0" t="s">
        <v>1049</v>
      </c>
      <c r="B1005" s="2" t="n">
        <v>45701</v>
      </c>
      <c r="C1005" s="3" t="s">
        <v>736</v>
      </c>
      <c r="D1005" s="3" t="s">
        <v>28</v>
      </c>
      <c r="E1005" s="3" t="s">
        <v>35</v>
      </c>
      <c r="F1005" s="3" t="s">
        <v>30</v>
      </c>
      <c r="G1005" s="3" t="s">
        <v>50</v>
      </c>
      <c r="H1005" s="3" t="s">
        <v>30</v>
      </c>
      <c r="I1005" s="3" t="s">
        <v>32</v>
      </c>
      <c r="J1005" s="0" t="n">
        <v>1</v>
      </c>
      <c r="K1005" s="0" t="n">
        <v>1</v>
      </c>
      <c r="L1005" s="0" t="n">
        <v>1</v>
      </c>
      <c r="M1005" s="0" t="n">
        <v>0</v>
      </c>
      <c r="N1005" s="0" t="str">
        <f aca="false">IF(OR(NOT(OR(J1005=0,J1005=1)),NOT(OR(K1005=0,K1005=1)),NOT(OR(L1005=0,L1005=1)),NOT(OR(M1005=0,M1005=1)),NOT(OR(U1005=0,U1005=1))),"Yes","No")</f>
        <v>No</v>
      </c>
      <c r="O1005" s="0" t="str">
        <f aca="false">IF(OR(AND(M1005=1,L1005=0),AND(L1005=1,K1005=0),AND(K1005=1,J1005=0)),"Yes","No")</f>
        <v>No</v>
      </c>
      <c r="P1005" s="0" t="n">
        <v>0</v>
      </c>
      <c r="Q1005" s="0" t="str">
        <f aca="false">IF(OR(AND(M1005=0,P1005&gt;0),AND(M1005=1,P1005&lt;=0)),"Yes","No")</f>
        <v>No</v>
      </c>
      <c r="R1005" s="0" t="str">
        <f aca="false">IF(AND(M1005=1,P1005&gt;calc_helpers!$B$5),"Yes","No")</f>
        <v>No</v>
      </c>
      <c r="S1005" s="0" t="n">
        <v>2</v>
      </c>
      <c r="T1005" s="0" t="str">
        <f aca="false">IF(S1005&gt;0,"Yes","No")</f>
        <v>Yes</v>
      </c>
      <c r="U1005" s="0" t="n">
        <v>0</v>
      </c>
      <c r="W1005" s="0" t="str">
        <f aca="false">IF(OR(AND(M1005=1,ISBLANK(V1005)),AND(M1005=0,NOT(ISBLANK(V1005)))),"Yes","No")</f>
        <v>No</v>
      </c>
      <c r="X1005" s="0" t="n">
        <v>45.9</v>
      </c>
      <c r="Y1005" s="3" t="s">
        <v>30</v>
      </c>
      <c r="Z1005" s="0" t="str">
        <f aca="false">IF(M1005=1,P1005,"")</f>
        <v/>
      </c>
    </row>
    <row r="1006" customFormat="false" ht="15" hidden="false" customHeight="false" outlineLevel="0" collapsed="false">
      <c r="A1006" s="0" t="s">
        <v>1050</v>
      </c>
      <c r="B1006" s="2" t="n">
        <v>45780</v>
      </c>
      <c r="C1006" s="3" t="s">
        <v>736</v>
      </c>
      <c r="D1006" s="3" t="s">
        <v>39</v>
      </c>
      <c r="E1006" s="3" t="s">
        <v>35</v>
      </c>
      <c r="F1006" s="3" t="s">
        <v>30</v>
      </c>
      <c r="G1006" s="3" t="s">
        <v>31</v>
      </c>
      <c r="H1006" s="3" t="s">
        <v>30</v>
      </c>
      <c r="I1006" s="3" t="s">
        <v>37</v>
      </c>
      <c r="J1006" s="0" t="n">
        <v>1</v>
      </c>
      <c r="K1006" s="0" t="n">
        <v>1</v>
      </c>
      <c r="L1006" s="0" t="n">
        <v>1</v>
      </c>
      <c r="M1006" s="0" t="n">
        <v>0</v>
      </c>
      <c r="N1006" s="0" t="str">
        <f aca="false">IF(OR(NOT(OR(J1006=0,J1006=1)),NOT(OR(K1006=0,K1006=1)),NOT(OR(L1006=0,L1006=1)),NOT(OR(M1006=0,M1006=1)),NOT(OR(U1006=0,U1006=1))),"Yes","No")</f>
        <v>No</v>
      </c>
      <c r="O1006" s="0" t="str">
        <f aca="false">IF(OR(AND(M1006=1,L1006=0),AND(L1006=1,K1006=0),AND(K1006=1,J1006=0)),"Yes","No")</f>
        <v>No</v>
      </c>
      <c r="P1006" s="0" t="n">
        <v>0</v>
      </c>
      <c r="Q1006" s="0" t="str">
        <f aca="false">IF(OR(AND(M1006=0,P1006&gt;0),AND(M1006=1,P1006&lt;=0)),"Yes","No")</f>
        <v>No</v>
      </c>
      <c r="R1006" s="0" t="str">
        <f aca="false">IF(AND(M1006=1,P1006&gt;calc_helpers!$B$5),"Yes","No")</f>
        <v>No</v>
      </c>
      <c r="S1006" s="0" t="n">
        <v>0</v>
      </c>
      <c r="T1006" s="0" t="str">
        <f aca="false">IF(S1006&gt;0,"Yes","No")</f>
        <v>No</v>
      </c>
      <c r="U1006" s="0" t="n">
        <v>0</v>
      </c>
      <c r="W1006" s="0" t="str">
        <f aca="false">IF(OR(AND(M1006=1,ISBLANK(V1006)),AND(M1006=0,NOT(ISBLANK(V1006)))),"Yes","No")</f>
        <v>No</v>
      </c>
      <c r="X1006" s="0" t="n">
        <v>80.7</v>
      </c>
      <c r="Y1006" s="3" t="s">
        <v>30</v>
      </c>
      <c r="Z1006" s="0" t="str">
        <f aca="false">IF(M1006=1,P1006,"")</f>
        <v/>
      </c>
    </row>
    <row r="1007" customFormat="false" ht="15" hidden="false" customHeight="false" outlineLevel="0" collapsed="false">
      <c r="A1007" s="0" t="s">
        <v>1051</v>
      </c>
      <c r="B1007" s="2" t="n">
        <v>45763</v>
      </c>
      <c r="C1007" s="3" t="s">
        <v>736</v>
      </c>
      <c r="D1007" s="3" t="s">
        <v>43</v>
      </c>
      <c r="E1007" s="3" t="s">
        <v>29</v>
      </c>
      <c r="F1007" s="3" t="s">
        <v>30</v>
      </c>
      <c r="G1007" s="3" t="s">
        <v>50</v>
      </c>
      <c r="H1007" s="3" t="s">
        <v>30</v>
      </c>
      <c r="I1007" s="3" t="s">
        <v>41</v>
      </c>
      <c r="J1007" s="0" t="n">
        <v>1</v>
      </c>
      <c r="K1007" s="0" t="n">
        <v>0</v>
      </c>
      <c r="L1007" s="0" t="n">
        <v>0</v>
      </c>
      <c r="M1007" s="0" t="n">
        <v>0</v>
      </c>
      <c r="N1007" s="0" t="str">
        <f aca="false">IF(OR(NOT(OR(J1007=0,J1007=1)),NOT(OR(K1007=0,K1007=1)),NOT(OR(L1007=0,L1007=1)),NOT(OR(M1007=0,M1007=1)),NOT(OR(U1007=0,U1007=1))),"Yes","No")</f>
        <v>No</v>
      </c>
      <c r="O1007" s="0" t="str">
        <f aca="false">IF(OR(AND(M1007=1,L1007=0),AND(L1007=1,K1007=0),AND(K1007=1,J1007=0)),"Yes","No")</f>
        <v>No</v>
      </c>
      <c r="P1007" s="0" t="n">
        <v>0</v>
      </c>
      <c r="Q1007" s="0" t="str">
        <f aca="false">IF(OR(AND(M1007=0,P1007&gt;0),AND(M1007=1,P1007&lt;=0)),"Yes","No")</f>
        <v>No</v>
      </c>
      <c r="R1007" s="0" t="str">
        <f aca="false">IF(AND(M1007=1,P1007&gt;calc_helpers!$B$5),"Yes","No")</f>
        <v>No</v>
      </c>
      <c r="S1007" s="0" t="n">
        <v>0</v>
      </c>
      <c r="T1007" s="0" t="str">
        <f aca="false">IF(S1007&gt;0,"Yes","No")</f>
        <v>No</v>
      </c>
      <c r="U1007" s="0" t="n">
        <v>0</v>
      </c>
      <c r="W1007" s="0" t="str">
        <f aca="false">IF(OR(AND(M1007=1,ISBLANK(V1007)),AND(M1007=0,NOT(ISBLANK(V1007)))),"Yes","No")</f>
        <v>No</v>
      </c>
      <c r="X1007" s="0" t="n">
        <v>51.9</v>
      </c>
      <c r="Y1007" s="3" t="s">
        <v>30</v>
      </c>
      <c r="Z1007" s="0" t="str">
        <f aca="false">IF(M1007=1,P1007,"")</f>
        <v/>
      </c>
    </row>
    <row r="1008" customFormat="false" ht="15" hidden="false" customHeight="false" outlineLevel="0" collapsed="false">
      <c r="A1008" s="0" t="s">
        <v>1052</v>
      </c>
      <c r="B1008" s="2" t="n">
        <v>45777</v>
      </c>
      <c r="C1008" s="3" t="s">
        <v>736</v>
      </c>
      <c r="D1008" s="3" t="s">
        <v>28</v>
      </c>
      <c r="E1008" s="3" t="s">
        <v>35</v>
      </c>
      <c r="F1008" s="3" t="s">
        <v>30</v>
      </c>
      <c r="G1008" s="3" t="s">
        <v>40</v>
      </c>
      <c r="H1008" s="3" t="s">
        <v>30</v>
      </c>
      <c r="I1008" s="3" t="s">
        <v>41</v>
      </c>
      <c r="J1008" s="0" t="n">
        <v>1</v>
      </c>
      <c r="K1008" s="0" t="n">
        <v>0</v>
      </c>
      <c r="L1008" s="0" t="n">
        <v>0</v>
      </c>
      <c r="M1008" s="0" t="n">
        <v>0</v>
      </c>
      <c r="N1008" s="0" t="str">
        <f aca="false">IF(OR(NOT(OR(J1008=0,J1008=1)),NOT(OR(K1008=0,K1008=1)),NOT(OR(L1008=0,L1008=1)),NOT(OR(M1008=0,M1008=1)),NOT(OR(U1008=0,U1008=1))),"Yes","No")</f>
        <v>No</v>
      </c>
      <c r="O1008" s="0" t="str">
        <f aca="false">IF(OR(AND(M1008=1,L1008=0),AND(L1008=1,K1008=0),AND(K1008=1,J1008=0)),"Yes","No")</f>
        <v>No</v>
      </c>
      <c r="P1008" s="0" t="n">
        <v>0</v>
      </c>
      <c r="Q1008" s="0" t="str">
        <f aca="false">IF(OR(AND(M1008=0,P1008&gt;0),AND(M1008=1,P1008&lt;=0)),"Yes","No")</f>
        <v>No</v>
      </c>
      <c r="R1008" s="0" t="str">
        <f aca="false">IF(AND(M1008=1,P1008&gt;calc_helpers!$B$5),"Yes","No")</f>
        <v>No</v>
      </c>
      <c r="S1008" s="0" t="n">
        <v>0</v>
      </c>
      <c r="T1008" s="0" t="str">
        <f aca="false">IF(S1008&gt;0,"Yes","No")</f>
        <v>No</v>
      </c>
      <c r="U1008" s="0" t="n">
        <v>0</v>
      </c>
      <c r="W1008" s="0" t="str">
        <f aca="false">IF(OR(AND(M1008=1,ISBLANK(V1008)),AND(M1008=0,NOT(ISBLANK(V1008)))),"Yes","No")</f>
        <v>No</v>
      </c>
      <c r="X1008" s="0" t="n">
        <v>68.9</v>
      </c>
      <c r="Y1008" s="3" t="s">
        <v>30</v>
      </c>
      <c r="Z1008" s="0" t="str">
        <f aca="false">IF(M1008=1,P1008,"")</f>
        <v/>
      </c>
    </row>
    <row r="1009" customFormat="false" ht="15" hidden="false" customHeight="false" outlineLevel="0" collapsed="false">
      <c r="A1009" s="0" t="s">
        <v>1053</v>
      </c>
      <c r="B1009" s="2" t="n">
        <v>45706</v>
      </c>
      <c r="C1009" s="3" t="s">
        <v>736</v>
      </c>
      <c r="D1009" s="3" t="s">
        <v>34</v>
      </c>
      <c r="E1009" s="3" t="s">
        <v>29</v>
      </c>
      <c r="F1009" s="3" t="s">
        <v>30</v>
      </c>
      <c r="G1009" s="3" t="s">
        <v>36</v>
      </c>
      <c r="H1009" s="3" t="s">
        <v>30</v>
      </c>
      <c r="I1009" s="3" t="s">
        <v>37</v>
      </c>
      <c r="J1009" s="0" t="n">
        <v>1</v>
      </c>
      <c r="K1009" s="0" t="n">
        <v>0</v>
      </c>
      <c r="L1009" s="0" t="n">
        <v>0</v>
      </c>
      <c r="M1009" s="0" t="n">
        <v>0</v>
      </c>
      <c r="N1009" s="0" t="str">
        <f aca="false">IF(OR(NOT(OR(J1009=0,J1009=1)),NOT(OR(K1009=0,K1009=1)),NOT(OR(L1009=0,L1009=1)),NOT(OR(M1009=0,M1009=1)),NOT(OR(U1009=0,U1009=1))),"Yes","No")</f>
        <v>No</v>
      </c>
      <c r="O1009" s="0" t="str">
        <f aca="false">IF(OR(AND(M1009=1,L1009=0),AND(L1009=1,K1009=0),AND(K1009=1,J1009=0)),"Yes","No")</f>
        <v>No</v>
      </c>
      <c r="P1009" s="0" t="n">
        <v>0</v>
      </c>
      <c r="Q1009" s="0" t="str">
        <f aca="false">IF(OR(AND(M1009=0,P1009&gt;0),AND(M1009=1,P1009&lt;=0)),"Yes","No")</f>
        <v>No</v>
      </c>
      <c r="R1009" s="0" t="str">
        <f aca="false">IF(AND(M1009=1,P1009&gt;calc_helpers!$B$5),"Yes","No")</f>
        <v>No</v>
      </c>
      <c r="S1009" s="0" t="n">
        <v>0</v>
      </c>
      <c r="T1009" s="0" t="str">
        <f aca="false">IF(S1009&gt;0,"Yes","No")</f>
        <v>No</v>
      </c>
      <c r="U1009" s="0" t="n">
        <v>0</v>
      </c>
      <c r="W1009" s="0" t="str">
        <f aca="false">IF(OR(AND(M1009=1,ISBLANK(V1009)),AND(M1009=0,NOT(ISBLANK(V1009)))),"Yes","No")</f>
        <v>No</v>
      </c>
      <c r="X1009" s="0" t="n">
        <v>66</v>
      </c>
      <c r="Y1009" s="3" t="s">
        <v>30</v>
      </c>
      <c r="Z1009" s="0" t="str">
        <f aca="false">IF(M1009=1,P1009,"")</f>
        <v/>
      </c>
    </row>
    <row r="1010" customFormat="false" ht="15" hidden="false" customHeight="false" outlineLevel="0" collapsed="false">
      <c r="A1010" s="0" t="s">
        <v>1054</v>
      </c>
      <c r="B1010" s="2" t="n">
        <v>45799</v>
      </c>
      <c r="C1010" s="3" t="s">
        <v>736</v>
      </c>
      <c r="D1010" s="3" t="s">
        <v>34</v>
      </c>
      <c r="E1010" s="3" t="s">
        <v>29</v>
      </c>
      <c r="F1010" s="3" t="s">
        <v>30</v>
      </c>
      <c r="G1010" s="3" t="s">
        <v>50</v>
      </c>
      <c r="H1010" s="3" t="s">
        <v>30</v>
      </c>
      <c r="I1010" s="3" t="s">
        <v>32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str">
        <f aca="false">IF(OR(NOT(OR(J1010=0,J1010=1)),NOT(OR(K1010=0,K1010=1)),NOT(OR(L1010=0,L1010=1)),NOT(OR(M1010=0,M1010=1)),NOT(OR(U1010=0,U1010=1))),"Yes","No")</f>
        <v>No</v>
      </c>
      <c r="O1010" s="0" t="str">
        <f aca="false">IF(OR(AND(M1010=1,L1010=0),AND(L1010=1,K1010=0),AND(K1010=1,J1010=0)),"Yes","No")</f>
        <v>No</v>
      </c>
      <c r="P1010" s="0" t="n">
        <v>0</v>
      </c>
      <c r="Q1010" s="0" t="str">
        <f aca="false">IF(OR(AND(M1010=0,P1010&gt;0),AND(M1010=1,P1010&lt;=0)),"Yes","No")</f>
        <v>No</v>
      </c>
      <c r="R1010" s="0" t="str">
        <f aca="false">IF(AND(M1010=1,P1010&gt;calc_helpers!$B$5),"Yes","No")</f>
        <v>No</v>
      </c>
      <c r="S1010" s="0" t="n">
        <v>0</v>
      </c>
      <c r="T1010" s="0" t="str">
        <f aca="false">IF(S1010&gt;0,"Yes","No")</f>
        <v>No</v>
      </c>
      <c r="U1010" s="0" t="n">
        <v>0</v>
      </c>
      <c r="W1010" s="0" t="str">
        <f aca="false">IF(OR(AND(M1010=1,ISBLANK(V1010)),AND(M1010=0,NOT(ISBLANK(V1010)))),"Yes","No")</f>
        <v>No</v>
      </c>
      <c r="X1010" s="0" t="n">
        <v>63.1</v>
      </c>
      <c r="Y1010" s="3" t="s">
        <v>30</v>
      </c>
      <c r="Z1010" s="0" t="str">
        <f aca="false">IF(M1010=1,P1010,"")</f>
        <v/>
      </c>
    </row>
    <row r="1011" customFormat="false" ht="15" hidden="false" customHeight="false" outlineLevel="0" collapsed="false">
      <c r="A1011" s="0" t="s">
        <v>1055</v>
      </c>
      <c r="B1011" s="2" t="n">
        <v>45798</v>
      </c>
      <c r="C1011" s="3" t="s">
        <v>736</v>
      </c>
      <c r="D1011" s="3" t="s">
        <v>43</v>
      </c>
      <c r="E1011" s="3" t="s">
        <v>29</v>
      </c>
      <c r="F1011" s="3" t="s">
        <v>30</v>
      </c>
      <c r="G1011" s="3" t="s">
        <v>36</v>
      </c>
      <c r="H1011" s="3" t="s">
        <v>30</v>
      </c>
      <c r="I1011" s="3" t="s">
        <v>37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str">
        <f aca="false">IF(OR(NOT(OR(J1011=0,J1011=1)),NOT(OR(K1011=0,K1011=1)),NOT(OR(L1011=0,L1011=1)),NOT(OR(M1011=0,M1011=1)),NOT(OR(U1011=0,U1011=1))),"Yes","No")</f>
        <v>No</v>
      </c>
      <c r="O1011" s="0" t="str">
        <f aca="false">IF(OR(AND(M1011=1,L1011=0),AND(L1011=1,K1011=0),AND(K1011=1,J1011=0)),"Yes","No")</f>
        <v>No</v>
      </c>
      <c r="P1011" s="0" t="n">
        <v>0</v>
      </c>
      <c r="Q1011" s="0" t="str">
        <f aca="false">IF(OR(AND(M1011=0,P1011&gt;0),AND(M1011=1,P1011&lt;=0)),"Yes","No")</f>
        <v>No</v>
      </c>
      <c r="R1011" s="0" t="str">
        <f aca="false">IF(AND(M1011=1,P1011&gt;calc_helpers!$B$5),"Yes","No")</f>
        <v>No</v>
      </c>
      <c r="S1011" s="0" t="n">
        <v>0</v>
      </c>
      <c r="T1011" s="0" t="str">
        <f aca="false">IF(S1011&gt;0,"Yes","No")</f>
        <v>No</v>
      </c>
      <c r="U1011" s="0" t="n">
        <v>0</v>
      </c>
      <c r="W1011" s="0" t="str">
        <f aca="false">IF(OR(AND(M1011=1,ISBLANK(V1011)),AND(M1011=0,NOT(ISBLANK(V1011)))),"Yes","No")</f>
        <v>No</v>
      </c>
      <c r="X1011" s="0" t="n">
        <v>56</v>
      </c>
      <c r="Y1011" s="3" t="s">
        <v>30</v>
      </c>
      <c r="Z1011" s="0" t="str">
        <f aca="false">IF(M1011=1,P1011,"")</f>
        <v/>
      </c>
    </row>
    <row r="1012" customFormat="false" ht="15" hidden="false" customHeight="false" outlineLevel="0" collapsed="false">
      <c r="A1012" s="0" t="s">
        <v>1056</v>
      </c>
      <c r="B1012" s="2" t="n">
        <v>45757</v>
      </c>
      <c r="C1012" s="3" t="s">
        <v>736</v>
      </c>
      <c r="D1012" s="3" t="s">
        <v>39</v>
      </c>
      <c r="E1012" s="3" t="s">
        <v>29</v>
      </c>
      <c r="F1012" s="3" t="s">
        <v>30</v>
      </c>
      <c r="G1012" s="3" t="s">
        <v>36</v>
      </c>
      <c r="H1012" s="3" t="s">
        <v>30</v>
      </c>
      <c r="I1012" s="3" t="s">
        <v>37</v>
      </c>
      <c r="J1012" s="0" t="n">
        <v>1</v>
      </c>
      <c r="K1012" s="0" t="n">
        <v>0</v>
      </c>
      <c r="L1012" s="0" t="n">
        <v>0</v>
      </c>
      <c r="M1012" s="0" t="n">
        <v>0</v>
      </c>
      <c r="N1012" s="0" t="str">
        <f aca="false">IF(OR(NOT(OR(J1012=0,J1012=1)),NOT(OR(K1012=0,K1012=1)),NOT(OR(L1012=0,L1012=1)),NOT(OR(M1012=0,M1012=1)),NOT(OR(U1012=0,U1012=1))),"Yes","No")</f>
        <v>No</v>
      </c>
      <c r="O1012" s="0" t="str">
        <f aca="false">IF(OR(AND(M1012=1,L1012=0),AND(L1012=1,K1012=0),AND(K1012=1,J1012=0)),"Yes","No")</f>
        <v>No</v>
      </c>
      <c r="P1012" s="0" t="n">
        <v>0</v>
      </c>
      <c r="Q1012" s="0" t="str">
        <f aca="false">IF(OR(AND(M1012=0,P1012&gt;0),AND(M1012=1,P1012&lt;=0)),"Yes","No")</f>
        <v>No</v>
      </c>
      <c r="R1012" s="0" t="str">
        <f aca="false">IF(AND(M1012=1,P1012&gt;calc_helpers!$B$5),"Yes","No")</f>
        <v>No</v>
      </c>
      <c r="S1012" s="0" t="n">
        <v>1</v>
      </c>
      <c r="T1012" s="0" t="str">
        <f aca="false">IF(S1012&gt;0,"Yes","No")</f>
        <v>Yes</v>
      </c>
      <c r="U1012" s="0" t="n">
        <v>0</v>
      </c>
      <c r="W1012" s="0" t="str">
        <f aca="false">IF(OR(AND(M1012=1,ISBLANK(V1012)),AND(M1012=0,NOT(ISBLANK(V1012)))),"Yes","No")</f>
        <v>No</v>
      </c>
      <c r="X1012" s="0" t="n">
        <v>65.7</v>
      </c>
      <c r="Y1012" s="3" t="s">
        <v>30</v>
      </c>
      <c r="Z1012" s="0" t="str">
        <f aca="false">IF(M1012=1,P1012,"")</f>
        <v/>
      </c>
    </row>
    <row r="1013" customFormat="false" ht="15" hidden="false" customHeight="false" outlineLevel="0" collapsed="false">
      <c r="A1013" s="0" t="s">
        <v>1057</v>
      </c>
      <c r="B1013" s="2" t="n">
        <v>45664</v>
      </c>
      <c r="C1013" s="3" t="s">
        <v>736</v>
      </c>
      <c r="D1013" s="3" t="s">
        <v>28</v>
      </c>
      <c r="E1013" s="3" t="s">
        <v>29</v>
      </c>
      <c r="F1013" s="3" t="s">
        <v>30</v>
      </c>
      <c r="G1013" s="3" t="s">
        <v>36</v>
      </c>
      <c r="H1013" s="3" t="s">
        <v>30</v>
      </c>
      <c r="I1013" s="3" t="s">
        <v>41</v>
      </c>
      <c r="J1013" s="0" t="n">
        <v>1</v>
      </c>
      <c r="K1013" s="0" t="n">
        <v>1</v>
      </c>
      <c r="L1013" s="0" t="n">
        <v>1</v>
      </c>
      <c r="M1013" s="0" t="n">
        <v>1</v>
      </c>
      <c r="N1013" s="0" t="str">
        <f aca="false">IF(OR(NOT(OR(J1013=0,J1013=1)),NOT(OR(K1013=0,K1013=1)),NOT(OR(L1013=0,L1013=1)),NOT(OR(M1013=0,M1013=1)),NOT(OR(U1013=0,U1013=1))),"Yes","No")</f>
        <v>No</v>
      </c>
      <c r="O1013" s="0" t="str">
        <f aca="false">IF(OR(AND(M1013=1,L1013=0),AND(L1013=1,K1013=0),AND(K1013=1,J1013=0)),"Yes","No")</f>
        <v>No</v>
      </c>
      <c r="P1013" s="0" t="n">
        <v>1938.31</v>
      </c>
      <c r="Q1013" s="0" t="str">
        <f aca="false">IF(OR(AND(M1013=0,P1013&gt;0),AND(M1013=1,P1013&lt;=0)),"Yes","No")</f>
        <v>No</v>
      </c>
      <c r="R1013" s="0" t="str">
        <f aca="false">IF(AND(M1013=1,P1013&gt;calc_helpers!$B$5),"Yes","No")</f>
        <v>No</v>
      </c>
      <c r="S1013" s="0" t="n">
        <v>1</v>
      </c>
      <c r="T1013" s="0" t="str">
        <f aca="false">IF(S1013&gt;0,"Yes","No")</f>
        <v>Yes</v>
      </c>
      <c r="U1013" s="0" t="n">
        <v>0</v>
      </c>
      <c r="V1013" s="0" t="n">
        <v>9</v>
      </c>
      <c r="W1013" s="0" t="str">
        <f aca="false">IF(OR(AND(M1013=1,ISBLANK(V1013)),AND(M1013=0,NOT(ISBLANK(V1013)))),"Yes","No")</f>
        <v>No</v>
      </c>
      <c r="X1013" s="0" t="n">
        <v>60.9</v>
      </c>
      <c r="Y1013" s="3" t="s">
        <v>30</v>
      </c>
      <c r="Z1013" s="3" t="n">
        <f aca="false">IF(M1013=1,P1013,"")</f>
        <v>1938.31</v>
      </c>
    </row>
    <row r="1014" customFormat="false" ht="15" hidden="false" customHeight="false" outlineLevel="0" collapsed="false">
      <c r="A1014" s="0" t="s">
        <v>1058</v>
      </c>
      <c r="B1014" s="2" t="n">
        <v>45691</v>
      </c>
      <c r="C1014" s="3" t="s">
        <v>736</v>
      </c>
      <c r="D1014" s="3" t="s">
        <v>43</v>
      </c>
      <c r="E1014" s="3" t="s">
        <v>29</v>
      </c>
      <c r="F1014" s="3" t="s">
        <v>30</v>
      </c>
      <c r="G1014" s="3" t="s">
        <v>52</v>
      </c>
      <c r="H1014" s="3" t="s">
        <v>30</v>
      </c>
      <c r="I1014" s="3" t="s">
        <v>37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str">
        <f aca="false">IF(OR(NOT(OR(J1014=0,J1014=1)),NOT(OR(K1014=0,K1014=1)),NOT(OR(L1014=0,L1014=1)),NOT(OR(M1014=0,M1014=1)),NOT(OR(U1014=0,U1014=1))),"Yes","No")</f>
        <v>No</v>
      </c>
      <c r="O1014" s="0" t="str">
        <f aca="false">IF(OR(AND(M1014=1,L1014=0),AND(L1014=1,K1014=0),AND(K1014=1,J1014=0)),"Yes","No")</f>
        <v>No</v>
      </c>
      <c r="P1014" s="0" t="n">
        <v>0</v>
      </c>
      <c r="Q1014" s="0" t="str">
        <f aca="false">IF(OR(AND(M1014=0,P1014&gt;0),AND(M1014=1,P1014&lt;=0)),"Yes","No")</f>
        <v>No</v>
      </c>
      <c r="R1014" s="0" t="str">
        <f aca="false">IF(AND(M1014=1,P1014&gt;calc_helpers!$B$5),"Yes","No")</f>
        <v>No</v>
      </c>
      <c r="S1014" s="0" t="n">
        <v>0</v>
      </c>
      <c r="T1014" s="0" t="str">
        <f aca="false">IF(S1014&gt;0,"Yes","No")</f>
        <v>No</v>
      </c>
      <c r="U1014" s="0" t="n">
        <v>0</v>
      </c>
      <c r="W1014" s="0" t="str">
        <f aca="false">IF(OR(AND(M1014=1,ISBLANK(V1014)),AND(M1014=0,NOT(ISBLANK(V1014)))),"Yes","No")</f>
        <v>No</v>
      </c>
      <c r="X1014" s="0" t="n">
        <v>45.5</v>
      </c>
      <c r="Y1014" s="3" t="s">
        <v>30</v>
      </c>
      <c r="Z1014" s="0" t="str">
        <f aca="false">IF(M1014=1,P1014,"")</f>
        <v/>
      </c>
    </row>
    <row r="1015" customFormat="false" ht="15" hidden="false" customHeight="false" outlineLevel="0" collapsed="false">
      <c r="A1015" s="0" t="s">
        <v>1059</v>
      </c>
      <c r="B1015" s="2" t="n">
        <v>45795</v>
      </c>
      <c r="C1015" s="3" t="s">
        <v>736</v>
      </c>
      <c r="D1015" s="3" t="s">
        <v>28</v>
      </c>
      <c r="E1015" s="3" t="s">
        <v>35</v>
      </c>
      <c r="F1015" s="3" t="s">
        <v>30</v>
      </c>
      <c r="G1015" s="3" t="s">
        <v>40</v>
      </c>
      <c r="H1015" s="3" t="s">
        <v>30</v>
      </c>
      <c r="I1015" s="3" t="s">
        <v>37</v>
      </c>
      <c r="J1015" s="0" t="n">
        <v>1</v>
      </c>
      <c r="K1015" s="0" t="n">
        <v>0</v>
      </c>
      <c r="L1015" s="0" t="n">
        <v>0</v>
      </c>
      <c r="M1015" s="0" t="n">
        <v>0</v>
      </c>
      <c r="N1015" s="0" t="str">
        <f aca="false">IF(OR(NOT(OR(J1015=0,J1015=1)),NOT(OR(K1015=0,K1015=1)),NOT(OR(L1015=0,L1015=1)),NOT(OR(M1015=0,M1015=1)),NOT(OR(U1015=0,U1015=1))),"Yes","No")</f>
        <v>No</v>
      </c>
      <c r="O1015" s="0" t="str">
        <f aca="false">IF(OR(AND(M1015=1,L1015=0),AND(L1015=1,K1015=0),AND(K1015=1,J1015=0)),"Yes","No")</f>
        <v>No</v>
      </c>
      <c r="P1015" s="0" t="n">
        <v>0</v>
      </c>
      <c r="Q1015" s="0" t="str">
        <f aca="false">IF(OR(AND(M1015=0,P1015&gt;0),AND(M1015=1,P1015&lt;=0)),"Yes","No")</f>
        <v>No</v>
      </c>
      <c r="R1015" s="0" t="str">
        <f aca="false">IF(AND(M1015=1,P1015&gt;calc_helpers!$B$5),"Yes","No")</f>
        <v>No</v>
      </c>
      <c r="S1015" s="0" t="n">
        <v>0</v>
      </c>
      <c r="T1015" s="0" t="str">
        <f aca="false">IF(S1015&gt;0,"Yes","No")</f>
        <v>No</v>
      </c>
      <c r="U1015" s="0" t="n">
        <v>0</v>
      </c>
      <c r="W1015" s="0" t="str">
        <f aca="false">IF(OR(AND(M1015=1,ISBLANK(V1015)),AND(M1015=0,NOT(ISBLANK(V1015)))),"Yes","No")</f>
        <v>No</v>
      </c>
      <c r="X1015" s="0" t="n">
        <v>50</v>
      </c>
      <c r="Y1015" s="3" t="s">
        <v>30</v>
      </c>
      <c r="Z1015" s="0" t="str">
        <f aca="false">IF(M1015=1,P1015,"")</f>
        <v/>
      </c>
    </row>
    <row r="1016" customFormat="false" ht="15" hidden="false" customHeight="false" outlineLevel="0" collapsed="false">
      <c r="A1016" s="0" t="s">
        <v>1060</v>
      </c>
      <c r="B1016" s="2" t="n">
        <v>45688</v>
      </c>
      <c r="C1016" s="3" t="s">
        <v>736</v>
      </c>
      <c r="D1016" s="3" t="s">
        <v>28</v>
      </c>
      <c r="E1016" s="3" t="s">
        <v>35</v>
      </c>
      <c r="F1016" s="3" t="s">
        <v>30</v>
      </c>
      <c r="G1016" s="3" t="s">
        <v>50</v>
      </c>
      <c r="H1016" s="3" t="s">
        <v>30</v>
      </c>
      <c r="I1016" s="3" t="s">
        <v>37</v>
      </c>
      <c r="J1016" s="0" t="n">
        <v>1</v>
      </c>
      <c r="K1016" s="0" t="n">
        <v>0</v>
      </c>
      <c r="L1016" s="0" t="n">
        <v>0</v>
      </c>
      <c r="M1016" s="0" t="n">
        <v>0</v>
      </c>
      <c r="N1016" s="0" t="str">
        <f aca="false">IF(OR(NOT(OR(J1016=0,J1016=1)),NOT(OR(K1016=0,K1016=1)),NOT(OR(L1016=0,L1016=1)),NOT(OR(M1016=0,M1016=1)),NOT(OR(U1016=0,U1016=1))),"Yes","No")</f>
        <v>No</v>
      </c>
      <c r="O1016" s="0" t="str">
        <f aca="false">IF(OR(AND(M1016=1,L1016=0),AND(L1016=1,K1016=0),AND(K1016=1,J1016=0)),"Yes","No")</f>
        <v>No</v>
      </c>
      <c r="P1016" s="0" t="n">
        <v>0</v>
      </c>
      <c r="Q1016" s="0" t="str">
        <f aca="false">IF(OR(AND(M1016=0,P1016&gt;0),AND(M1016=1,P1016&lt;=0)),"Yes","No")</f>
        <v>No</v>
      </c>
      <c r="R1016" s="0" t="str">
        <f aca="false">IF(AND(M1016=1,P1016&gt;calc_helpers!$B$5),"Yes","No")</f>
        <v>No</v>
      </c>
      <c r="S1016" s="0" t="n">
        <v>0</v>
      </c>
      <c r="T1016" s="0" t="str">
        <f aca="false">IF(S1016&gt;0,"Yes","No")</f>
        <v>No</v>
      </c>
      <c r="U1016" s="0" t="n">
        <v>0</v>
      </c>
      <c r="W1016" s="0" t="str">
        <f aca="false">IF(OR(AND(M1016=1,ISBLANK(V1016)),AND(M1016=0,NOT(ISBLANK(V1016)))),"Yes","No")</f>
        <v>No</v>
      </c>
      <c r="X1016" s="0" t="n">
        <v>72.1</v>
      </c>
      <c r="Y1016" s="3" t="s">
        <v>30</v>
      </c>
      <c r="Z1016" s="0" t="str">
        <f aca="false">IF(M1016=1,P1016,"")</f>
        <v/>
      </c>
    </row>
    <row r="1017" customFormat="false" ht="15" hidden="false" customHeight="false" outlineLevel="0" collapsed="false">
      <c r="A1017" s="0" t="s">
        <v>1061</v>
      </c>
      <c r="B1017" s="2" t="n">
        <v>45673</v>
      </c>
      <c r="C1017" s="3" t="s">
        <v>736</v>
      </c>
      <c r="D1017" s="3" t="s">
        <v>43</v>
      </c>
      <c r="E1017" s="3" t="s">
        <v>29</v>
      </c>
      <c r="F1017" s="3" t="s">
        <v>30</v>
      </c>
      <c r="G1017" s="3" t="s">
        <v>36</v>
      </c>
      <c r="H1017" s="3" t="s">
        <v>30</v>
      </c>
      <c r="I1017" s="3" t="s">
        <v>32</v>
      </c>
      <c r="J1017" s="0" t="n">
        <v>1</v>
      </c>
      <c r="K1017" s="0" t="n">
        <v>0</v>
      </c>
      <c r="L1017" s="0" t="n">
        <v>0</v>
      </c>
      <c r="M1017" s="0" t="n">
        <v>0</v>
      </c>
      <c r="N1017" s="0" t="str">
        <f aca="false">IF(OR(NOT(OR(J1017=0,J1017=1)),NOT(OR(K1017=0,K1017=1)),NOT(OR(L1017=0,L1017=1)),NOT(OR(M1017=0,M1017=1)),NOT(OR(U1017=0,U1017=1))),"Yes","No")</f>
        <v>No</v>
      </c>
      <c r="O1017" s="0" t="str">
        <f aca="false">IF(OR(AND(M1017=1,L1017=0),AND(L1017=1,K1017=0),AND(K1017=1,J1017=0)),"Yes","No")</f>
        <v>No</v>
      </c>
      <c r="P1017" s="0" t="n">
        <v>0</v>
      </c>
      <c r="Q1017" s="0" t="str">
        <f aca="false">IF(OR(AND(M1017=0,P1017&gt;0),AND(M1017=1,P1017&lt;=0)),"Yes","No")</f>
        <v>No</v>
      </c>
      <c r="R1017" s="0" t="str">
        <f aca="false">IF(AND(M1017=1,P1017&gt;calc_helpers!$B$5),"Yes","No")</f>
        <v>No</v>
      </c>
      <c r="S1017" s="0" t="n">
        <v>0</v>
      </c>
      <c r="T1017" s="0" t="str">
        <f aca="false">IF(S1017&gt;0,"Yes","No")</f>
        <v>No</v>
      </c>
      <c r="U1017" s="0" t="n">
        <v>0</v>
      </c>
      <c r="W1017" s="0" t="str">
        <f aca="false">IF(OR(AND(M1017=1,ISBLANK(V1017)),AND(M1017=0,NOT(ISBLANK(V1017)))),"Yes","No")</f>
        <v>No</v>
      </c>
      <c r="X1017" s="0" t="n">
        <v>76.3</v>
      </c>
      <c r="Y1017" s="3" t="s">
        <v>30</v>
      </c>
      <c r="Z1017" s="0" t="str">
        <f aca="false">IF(M1017=1,P1017,"")</f>
        <v/>
      </c>
    </row>
    <row r="1018" customFormat="false" ht="15" hidden="false" customHeight="false" outlineLevel="0" collapsed="false">
      <c r="A1018" s="0" t="s">
        <v>1062</v>
      </c>
      <c r="B1018" s="2" t="n">
        <v>45791</v>
      </c>
      <c r="C1018" s="3" t="s">
        <v>736</v>
      </c>
      <c r="D1018" s="3" t="s">
        <v>39</v>
      </c>
      <c r="E1018" s="3" t="s">
        <v>35</v>
      </c>
      <c r="F1018" s="3" t="s">
        <v>30</v>
      </c>
      <c r="G1018" s="3" t="s">
        <v>40</v>
      </c>
      <c r="H1018" s="3" t="s">
        <v>30</v>
      </c>
      <c r="I1018" s="3" t="s">
        <v>32</v>
      </c>
      <c r="J1018" s="0" t="n">
        <v>1</v>
      </c>
      <c r="K1018" s="0" t="n">
        <v>1</v>
      </c>
      <c r="L1018" s="0" t="n">
        <v>0</v>
      </c>
      <c r="M1018" s="0" t="n">
        <v>0</v>
      </c>
      <c r="N1018" s="0" t="str">
        <f aca="false">IF(OR(NOT(OR(J1018=0,J1018=1)),NOT(OR(K1018=0,K1018=1)),NOT(OR(L1018=0,L1018=1)),NOT(OR(M1018=0,M1018=1)),NOT(OR(U1018=0,U1018=1))),"Yes","No")</f>
        <v>No</v>
      </c>
      <c r="O1018" s="0" t="str">
        <f aca="false">IF(OR(AND(M1018=1,L1018=0),AND(L1018=1,K1018=0),AND(K1018=1,J1018=0)),"Yes","No")</f>
        <v>No</v>
      </c>
      <c r="P1018" s="0" t="n">
        <v>0</v>
      </c>
      <c r="Q1018" s="0" t="str">
        <f aca="false">IF(OR(AND(M1018=0,P1018&gt;0),AND(M1018=1,P1018&lt;=0)),"Yes","No")</f>
        <v>No</v>
      </c>
      <c r="R1018" s="0" t="str">
        <f aca="false">IF(AND(M1018=1,P1018&gt;calc_helpers!$B$5),"Yes","No")</f>
        <v>No</v>
      </c>
      <c r="S1018" s="0" t="n">
        <v>1</v>
      </c>
      <c r="T1018" s="0" t="str">
        <f aca="false">IF(S1018&gt;0,"Yes","No")</f>
        <v>Yes</v>
      </c>
      <c r="U1018" s="0" t="n">
        <v>0</v>
      </c>
      <c r="W1018" s="0" t="str">
        <f aca="false">IF(OR(AND(M1018=1,ISBLANK(V1018)),AND(M1018=0,NOT(ISBLANK(V1018)))),"Yes","No")</f>
        <v>No</v>
      </c>
      <c r="X1018" s="0" t="n">
        <v>54.8</v>
      </c>
      <c r="Y1018" s="3" t="s">
        <v>30</v>
      </c>
      <c r="Z1018" s="0" t="str">
        <f aca="false">IF(M1018=1,P1018,"")</f>
        <v/>
      </c>
    </row>
    <row r="1019" customFormat="false" ht="15" hidden="false" customHeight="false" outlineLevel="0" collapsed="false">
      <c r="A1019" s="0" t="s">
        <v>1063</v>
      </c>
      <c r="B1019" s="2" t="n">
        <v>45748</v>
      </c>
      <c r="C1019" s="3" t="s">
        <v>736</v>
      </c>
      <c r="D1019" s="3" t="s">
        <v>43</v>
      </c>
      <c r="E1019" s="3" t="s">
        <v>35</v>
      </c>
      <c r="F1019" s="3" t="s">
        <v>30</v>
      </c>
      <c r="G1019" s="3" t="s">
        <v>167</v>
      </c>
      <c r="H1019" s="3" t="s">
        <v>168</v>
      </c>
      <c r="I1019" s="3" t="s">
        <v>32</v>
      </c>
      <c r="J1019" s="0" t="n">
        <v>1</v>
      </c>
      <c r="K1019" s="0" t="n">
        <v>0</v>
      </c>
      <c r="L1019" s="0" t="n">
        <v>0</v>
      </c>
      <c r="M1019" s="0" t="n">
        <v>0</v>
      </c>
      <c r="N1019" s="0" t="str">
        <f aca="false">IF(OR(NOT(OR(J1019=0,J1019=1)),NOT(OR(K1019=0,K1019=1)),NOT(OR(L1019=0,L1019=1)),NOT(OR(M1019=0,M1019=1)),NOT(OR(U1019=0,U1019=1))),"Yes","No")</f>
        <v>No</v>
      </c>
      <c r="O1019" s="0" t="str">
        <f aca="false">IF(OR(AND(M1019=1,L1019=0),AND(L1019=1,K1019=0),AND(K1019=1,J1019=0)),"Yes","No")</f>
        <v>No</v>
      </c>
      <c r="P1019" s="0" t="n">
        <v>0</v>
      </c>
      <c r="Q1019" s="0" t="str">
        <f aca="false">IF(OR(AND(M1019=0,P1019&gt;0),AND(M1019=1,P1019&lt;=0)),"Yes","No")</f>
        <v>No</v>
      </c>
      <c r="R1019" s="0" t="str">
        <f aca="false">IF(AND(M1019=1,P1019&gt;calc_helpers!$B$5),"Yes","No")</f>
        <v>No</v>
      </c>
      <c r="S1019" s="0" t="n">
        <v>0</v>
      </c>
      <c r="T1019" s="0" t="str">
        <f aca="false">IF(S1019&gt;0,"Yes","No")</f>
        <v>No</v>
      </c>
      <c r="U1019" s="0" t="n">
        <v>0</v>
      </c>
      <c r="W1019" s="0" t="str">
        <f aca="false">IF(OR(AND(M1019=1,ISBLANK(V1019)),AND(M1019=0,NOT(ISBLANK(V1019)))),"Yes","No")</f>
        <v>No</v>
      </c>
      <c r="X1019" s="0" t="n">
        <v>63.6</v>
      </c>
      <c r="Y1019" s="3" t="s">
        <v>30</v>
      </c>
      <c r="Z1019" s="0" t="str">
        <f aca="false">IF(M1019=1,P1019,"")</f>
        <v/>
      </c>
    </row>
    <row r="1020" customFormat="false" ht="15" hidden="false" customHeight="false" outlineLevel="0" collapsed="false">
      <c r="A1020" s="0" t="s">
        <v>1064</v>
      </c>
      <c r="B1020" s="2" t="n">
        <v>45770</v>
      </c>
      <c r="C1020" s="3" t="s">
        <v>736</v>
      </c>
      <c r="D1020" s="3" t="s">
        <v>43</v>
      </c>
      <c r="E1020" s="3" t="s">
        <v>35</v>
      </c>
      <c r="F1020" s="3" t="s">
        <v>30</v>
      </c>
      <c r="G1020" s="3" t="s">
        <v>36</v>
      </c>
      <c r="H1020" s="3" t="s">
        <v>30</v>
      </c>
      <c r="I1020" s="3" t="s">
        <v>37</v>
      </c>
      <c r="J1020" s="0" t="n">
        <v>1</v>
      </c>
      <c r="K1020" s="0" t="n">
        <v>0</v>
      </c>
      <c r="L1020" s="0" t="n">
        <v>0</v>
      </c>
      <c r="M1020" s="0" t="n">
        <v>0</v>
      </c>
      <c r="N1020" s="0" t="str">
        <f aca="false">IF(OR(NOT(OR(J1020=0,J1020=1)),NOT(OR(K1020=0,K1020=1)),NOT(OR(L1020=0,L1020=1)),NOT(OR(M1020=0,M1020=1)),NOT(OR(U1020=0,U1020=1))),"Yes","No")</f>
        <v>No</v>
      </c>
      <c r="O1020" s="0" t="str">
        <f aca="false">IF(OR(AND(M1020=1,L1020=0),AND(L1020=1,K1020=0),AND(K1020=1,J1020=0)),"Yes","No")</f>
        <v>No</v>
      </c>
      <c r="P1020" s="0" t="n">
        <v>0</v>
      </c>
      <c r="Q1020" s="0" t="str">
        <f aca="false">IF(OR(AND(M1020=0,P1020&gt;0),AND(M1020=1,P1020&lt;=0)),"Yes","No")</f>
        <v>No</v>
      </c>
      <c r="R1020" s="0" t="str">
        <f aca="false">IF(AND(M1020=1,P1020&gt;calc_helpers!$B$5),"Yes","No")</f>
        <v>No</v>
      </c>
      <c r="S1020" s="0" t="n">
        <v>0</v>
      </c>
      <c r="T1020" s="0" t="str">
        <f aca="false">IF(S1020&gt;0,"Yes","No")</f>
        <v>No</v>
      </c>
      <c r="U1020" s="0" t="n">
        <v>0</v>
      </c>
      <c r="W1020" s="0" t="str">
        <f aca="false">IF(OR(AND(M1020=1,ISBLANK(V1020)),AND(M1020=0,NOT(ISBLANK(V1020)))),"Yes","No")</f>
        <v>No</v>
      </c>
      <c r="X1020" s="0" t="n">
        <v>68.8</v>
      </c>
      <c r="Y1020" s="3" t="s">
        <v>30</v>
      </c>
      <c r="Z1020" s="0" t="str">
        <f aca="false">IF(M1020=1,P1020,"")</f>
        <v/>
      </c>
    </row>
    <row r="1021" customFormat="false" ht="15" hidden="false" customHeight="false" outlineLevel="0" collapsed="false">
      <c r="A1021" s="0" t="s">
        <v>1065</v>
      </c>
      <c r="B1021" s="2" t="n">
        <v>45718</v>
      </c>
      <c r="C1021" s="3" t="s">
        <v>736</v>
      </c>
      <c r="D1021" s="3" t="s">
        <v>43</v>
      </c>
      <c r="E1021" s="3" t="s">
        <v>29</v>
      </c>
      <c r="F1021" s="3" t="s">
        <v>30</v>
      </c>
      <c r="G1021" s="3" t="s">
        <v>40</v>
      </c>
      <c r="H1021" s="3" t="s">
        <v>30</v>
      </c>
      <c r="I1021" s="3" t="s">
        <v>32</v>
      </c>
      <c r="J1021" s="0" t="n">
        <v>1</v>
      </c>
      <c r="K1021" s="0" t="n">
        <v>0</v>
      </c>
      <c r="L1021" s="0" t="n">
        <v>0</v>
      </c>
      <c r="M1021" s="0" t="n">
        <v>0</v>
      </c>
      <c r="N1021" s="0" t="str">
        <f aca="false">IF(OR(NOT(OR(J1021=0,J1021=1)),NOT(OR(K1021=0,K1021=1)),NOT(OR(L1021=0,L1021=1)),NOT(OR(M1021=0,M1021=1)),NOT(OR(U1021=0,U1021=1))),"Yes","No")</f>
        <v>No</v>
      </c>
      <c r="O1021" s="0" t="str">
        <f aca="false">IF(OR(AND(M1021=1,L1021=0),AND(L1021=1,K1021=0),AND(K1021=1,J1021=0)),"Yes","No")</f>
        <v>No</v>
      </c>
      <c r="P1021" s="0" t="n">
        <v>0</v>
      </c>
      <c r="Q1021" s="0" t="str">
        <f aca="false">IF(OR(AND(M1021=0,P1021&gt;0),AND(M1021=1,P1021&lt;=0)),"Yes","No")</f>
        <v>No</v>
      </c>
      <c r="R1021" s="0" t="str">
        <f aca="false">IF(AND(M1021=1,P1021&gt;calc_helpers!$B$5),"Yes","No")</f>
        <v>No</v>
      </c>
      <c r="S1021" s="0" t="n">
        <v>0</v>
      </c>
      <c r="T1021" s="0" t="str">
        <f aca="false">IF(S1021&gt;0,"Yes","No")</f>
        <v>No</v>
      </c>
      <c r="U1021" s="0" t="n">
        <v>0</v>
      </c>
      <c r="W1021" s="0" t="str">
        <f aca="false">IF(OR(AND(M1021=1,ISBLANK(V1021)),AND(M1021=0,NOT(ISBLANK(V1021)))),"Yes","No")</f>
        <v>No</v>
      </c>
      <c r="X1021" s="0" t="n">
        <v>63.2</v>
      </c>
      <c r="Y1021" s="3" t="s">
        <v>30</v>
      </c>
      <c r="Z1021" s="0" t="str">
        <f aca="false">IF(M1021=1,P1021,"")</f>
        <v/>
      </c>
    </row>
    <row r="1022" customFormat="false" ht="15" hidden="false" customHeight="false" outlineLevel="0" collapsed="false">
      <c r="A1022" s="0" t="s">
        <v>1066</v>
      </c>
      <c r="B1022" s="2" t="n">
        <v>45659</v>
      </c>
      <c r="C1022" s="3" t="s">
        <v>736</v>
      </c>
      <c r="D1022" s="3" t="s">
        <v>39</v>
      </c>
      <c r="E1022" s="3" t="s">
        <v>35</v>
      </c>
      <c r="F1022" s="3" t="s">
        <v>30</v>
      </c>
      <c r="G1022" s="3" t="s">
        <v>40</v>
      </c>
      <c r="H1022" s="3" t="s">
        <v>30</v>
      </c>
      <c r="I1022" s="3" t="s">
        <v>32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str">
        <f aca="false">IF(OR(NOT(OR(J1022=0,J1022=1)),NOT(OR(K1022=0,K1022=1)),NOT(OR(L1022=0,L1022=1)),NOT(OR(M1022=0,M1022=1)),NOT(OR(U1022=0,U1022=1))),"Yes","No")</f>
        <v>No</v>
      </c>
      <c r="O1022" s="0" t="str">
        <f aca="false">IF(OR(AND(M1022=1,L1022=0),AND(L1022=1,K1022=0),AND(K1022=1,J1022=0)),"Yes","No")</f>
        <v>No</v>
      </c>
      <c r="P1022" s="0" t="n">
        <v>0</v>
      </c>
      <c r="Q1022" s="0" t="str">
        <f aca="false">IF(OR(AND(M1022=0,P1022&gt;0),AND(M1022=1,P1022&lt;=0)),"Yes","No")</f>
        <v>No</v>
      </c>
      <c r="R1022" s="0" t="str">
        <f aca="false">IF(AND(M1022=1,P1022&gt;calc_helpers!$B$5),"Yes","No")</f>
        <v>No</v>
      </c>
      <c r="S1022" s="0" t="n">
        <v>0</v>
      </c>
      <c r="T1022" s="0" t="str">
        <f aca="false">IF(S1022&gt;0,"Yes","No")</f>
        <v>No</v>
      </c>
      <c r="U1022" s="0" t="n">
        <v>0</v>
      </c>
      <c r="W1022" s="0" t="str">
        <f aca="false">IF(OR(AND(M1022=1,ISBLANK(V1022)),AND(M1022=0,NOT(ISBLANK(V1022)))),"Yes","No")</f>
        <v>No</v>
      </c>
      <c r="X1022" s="0" t="n">
        <v>45</v>
      </c>
      <c r="Y1022" s="3" t="s">
        <v>30</v>
      </c>
      <c r="Z1022" s="0" t="str">
        <f aca="false">IF(M1022=1,P1022,"")</f>
        <v/>
      </c>
    </row>
    <row r="1023" customFormat="false" ht="15" hidden="false" customHeight="false" outlineLevel="0" collapsed="false">
      <c r="A1023" s="0" t="s">
        <v>1067</v>
      </c>
      <c r="B1023" s="2" t="n">
        <v>45781</v>
      </c>
      <c r="C1023" s="3" t="s">
        <v>736</v>
      </c>
      <c r="D1023" s="3" t="s">
        <v>43</v>
      </c>
      <c r="E1023" s="3" t="s">
        <v>35</v>
      </c>
      <c r="F1023" s="3" t="s">
        <v>30</v>
      </c>
      <c r="G1023" s="3" t="s">
        <v>36</v>
      </c>
      <c r="H1023" s="3" t="s">
        <v>30</v>
      </c>
      <c r="I1023" s="3" t="s">
        <v>37</v>
      </c>
      <c r="J1023" s="0" t="n">
        <v>1</v>
      </c>
      <c r="K1023" s="0" t="n">
        <v>0</v>
      </c>
      <c r="L1023" s="0" t="n">
        <v>0</v>
      </c>
      <c r="M1023" s="0" t="n">
        <v>0</v>
      </c>
      <c r="N1023" s="0" t="str">
        <f aca="false">IF(OR(NOT(OR(J1023=0,J1023=1)),NOT(OR(K1023=0,K1023=1)),NOT(OR(L1023=0,L1023=1)),NOT(OR(M1023=0,M1023=1)),NOT(OR(U1023=0,U1023=1))),"Yes","No")</f>
        <v>No</v>
      </c>
      <c r="O1023" s="0" t="str">
        <f aca="false">IF(OR(AND(M1023=1,L1023=0),AND(L1023=1,K1023=0),AND(K1023=1,J1023=0)),"Yes","No")</f>
        <v>No</v>
      </c>
      <c r="P1023" s="0" t="n">
        <v>0</v>
      </c>
      <c r="Q1023" s="0" t="str">
        <f aca="false">IF(OR(AND(M1023=0,P1023&gt;0),AND(M1023=1,P1023&lt;=0)),"Yes","No")</f>
        <v>No</v>
      </c>
      <c r="R1023" s="0" t="str">
        <f aca="false">IF(AND(M1023=1,P1023&gt;calc_helpers!$B$5),"Yes","No")</f>
        <v>No</v>
      </c>
      <c r="S1023" s="0" t="n">
        <v>0</v>
      </c>
      <c r="T1023" s="0" t="str">
        <f aca="false">IF(S1023&gt;0,"Yes","No")</f>
        <v>No</v>
      </c>
      <c r="U1023" s="0" t="n">
        <v>0</v>
      </c>
      <c r="W1023" s="0" t="str">
        <f aca="false">IF(OR(AND(M1023=1,ISBLANK(V1023)),AND(M1023=0,NOT(ISBLANK(V1023)))),"Yes","No")</f>
        <v>No</v>
      </c>
      <c r="X1023" s="0" t="n">
        <v>77.4</v>
      </c>
      <c r="Y1023" s="3" t="s">
        <v>30</v>
      </c>
      <c r="Z1023" s="0" t="str">
        <f aca="false">IF(M1023=1,P1023,"")</f>
        <v/>
      </c>
    </row>
    <row r="1024" customFormat="false" ht="15" hidden="false" customHeight="false" outlineLevel="0" collapsed="false">
      <c r="A1024" s="0" t="s">
        <v>1068</v>
      </c>
      <c r="B1024" s="2" t="n">
        <v>45673</v>
      </c>
      <c r="C1024" s="3" t="s">
        <v>736</v>
      </c>
      <c r="D1024" s="3" t="s">
        <v>39</v>
      </c>
      <c r="E1024" s="3" t="s">
        <v>29</v>
      </c>
      <c r="F1024" s="3" t="s">
        <v>30</v>
      </c>
      <c r="G1024" s="3" t="s">
        <v>40</v>
      </c>
      <c r="H1024" s="3" t="s">
        <v>30</v>
      </c>
      <c r="I1024" s="3" t="s">
        <v>32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str">
        <f aca="false">IF(OR(NOT(OR(J1024=0,J1024=1)),NOT(OR(K1024=0,K1024=1)),NOT(OR(L1024=0,L1024=1)),NOT(OR(M1024=0,M1024=1)),NOT(OR(U1024=0,U1024=1))),"Yes","No")</f>
        <v>No</v>
      </c>
      <c r="O1024" s="0" t="str">
        <f aca="false">IF(OR(AND(M1024=1,L1024=0),AND(L1024=1,K1024=0),AND(K1024=1,J1024=0)),"Yes","No")</f>
        <v>No</v>
      </c>
      <c r="P1024" s="0" t="n">
        <v>0</v>
      </c>
      <c r="Q1024" s="0" t="str">
        <f aca="false">IF(OR(AND(M1024=0,P1024&gt;0),AND(M1024=1,P1024&lt;=0)),"Yes","No")</f>
        <v>No</v>
      </c>
      <c r="R1024" s="0" t="str">
        <f aca="false">IF(AND(M1024=1,P1024&gt;calc_helpers!$B$5),"Yes","No")</f>
        <v>No</v>
      </c>
      <c r="S1024" s="0" t="n">
        <v>0</v>
      </c>
      <c r="T1024" s="0" t="str">
        <f aca="false">IF(S1024&gt;0,"Yes","No")</f>
        <v>No</v>
      </c>
      <c r="U1024" s="0" t="n">
        <v>0</v>
      </c>
      <c r="W1024" s="0" t="str">
        <f aca="false">IF(OR(AND(M1024=1,ISBLANK(V1024)),AND(M1024=0,NOT(ISBLANK(V1024)))),"Yes","No")</f>
        <v>No</v>
      </c>
      <c r="X1024" s="0" t="n">
        <v>53.1</v>
      </c>
      <c r="Y1024" s="3" t="s">
        <v>30</v>
      </c>
      <c r="Z1024" s="0" t="str">
        <f aca="false">IF(M1024=1,P1024,"")</f>
        <v/>
      </c>
    </row>
    <row r="1025" customFormat="false" ht="15" hidden="false" customHeight="false" outlineLevel="0" collapsed="false">
      <c r="A1025" s="0" t="s">
        <v>1069</v>
      </c>
      <c r="B1025" s="2" t="n">
        <v>45699</v>
      </c>
      <c r="C1025" s="3" t="s">
        <v>736</v>
      </c>
      <c r="D1025" s="3" t="s">
        <v>34</v>
      </c>
      <c r="E1025" s="3" t="s">
        <v>45</v>
      </c>
      <c r="F1025" s="3" t="s">
        <v>30</v>
      </c>
      <c r="G1025" s="3" t="s">
        <v>40</v>
      </c>
      <c r="H1025" s="3" t="s">
        <v>30</v>
      </c>
      <c r="I1025" s="3" t="s">
        <v>41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str">
        <f aca="false">IF(OR(NOT(OR(J1025=0,J1025=1)),NOT(OR(K1025=0,K1025=1)),NOT(OR(L1025=0,L1025=1)),NOT(OR(M1025=0,M1025=1)),NOT(OR(U1025=0,U1025=1))),"Yes","No")</f>
        <v>No</v>
      </c>
      <c r="O1025" s="0" t="str">
        <f aca="false">IF(OR(AND(M1025=1,L1025=0),AND(L1025=1,K1025=0),AND(K1025=1,J1025=0)),"Yes","No")</f>
        <v>No</v>
      </c>
      <c r="P1025" s="0" t="n">
        <v>0</v>
      </c>
      <c r="Q1025" s="0" t="str">
        <f aca="false">IF(OR(AND(M1025=0,P1025&gt;0),AND(M1025=1,P1025&lt;=0)),"Yes","No")</f>
        <v>No</v>
      </c>
      <c r="R1025" s="0" t="str">
        <f aca="false">IF(AND(M1025=1,P1025&gt;calc_helpers!$B$5),"Yes","No")</f>
        <v>No</v>
      </c>
      <c r="S1025" s="0" t="n">
        <v>0</v>
      </c>
      <c r="T1025" s="0" t="str">
        <f aca="false">IF(S1025&gt;0,"Yes","No")</f>
        <v>No</v>
      </c>
      <c r="U1025" s="0" t="n">
        <v>0</v>
      </c>
      <c r="W1025" s="0" t="str">
        <f aca="false">IF(OR(AND(M1025=1,ISBLANK(V1025)),AND(M1025=0,NOT(ISBLANK(V1025)))),"Yes","No")</f>
        <v>No</v>
      </c>
      <c r="X1025" s="0" t="n">
        <v>74</v>
      </c>
      <c r="Y1025" s="3" t="s">
        <v>30</v>
      </c>
      <c r="Z1025" s="0" t="str">
        <f aca="false">IF(M1025=1,P1025,"")</f>
        <v/>
      </c>
    </row>
    <row r="1026" customFormat="false" ht="15" hidden="false" customHeight="false" outlineLevel="0" collapsed="false">
      <c r="A1026" s="0" t="s">
        <v>1070</v>
      </c>
      <c r="B1026" s="2" t="n">
        <v>45750</v>
      </c>
      <c r="C1026" s="3" t="s">
        <v>736</v>
      </c>
      <c r="D1026" s="3" t="s">
        <v>28</v>
      </c>
      <c r="E1026" s="3" t="s">
        <v>35</v>
      </c>
      <c r="F1026" s="3" t="s">
        <v>30</v>
      </c>
      <c r="G1026" s="3" t="s">
        <v>52</v>
      </c>
      <c r="H1026" s="3" t="s">
        <v>30</v>
      </c>
      <c r="I1026" s="3" t="s">
        <v>41</v>
      </c>
      <c r="J1026" s="0" t="n">
        <v>1</v>
      </c>
      <c r="K1026" s="0" t="n">
        <v>1</v>
      </c>
      <c r="L1026" s="0" t="n">
        <v>1</v>
      </c>
      <c r="M1026" s="0" t="n">
        <v>1</v>
      </c>
      <c r="N1026" s="0" t="str">
        <f aca="false">IF(OR(NOT(OR(J1026=0,J1026=1)),NOT(OR(K1026=0,K1026=1)),NOT(OR(L1026=0,L1026=1)),NOT(OR(M1026=0,M1026=1)),NOT(OR(U1026=0,U1026=1))),"Yes","No")</f>
        <v>No</v>
      </c>
      <c r="O1026" s="0" t="str">
        <f aca="false">IF(OR(AND(M1026=1,L1026=0),AND(L1026=1,K1026=0),AND(K1026=1,J1026=0)),"Yes","No")</f>
        <v>No</v>
      </c>
      <c r="P1026" s="0" t="n">
        <v>1906.23</v>
      </c>
      <c r="Q1026" s="0" t="str">
        <f aca="false">IF(OR(AND(M1026=0,P1026&gt;0),AND(M1026=1,P1026&lt;=0)),"Yes","No")</f>
        <v>No</v>
      </c>
      <c r="R1026" s="0" t="str">
        <f aca="false">IF(AND(M1026=1,P1026&gt;calc_helpers!$B$5),"Yes","No")</f>
        <v>No</v>
      </c>
      <c r="S1026" s="0" t="n">
        <v>0</v>
      </c>
      <c r="T1026" s="0" t="str">
        <f aca="false">IF(S1026&gt;0,"Yes","No")</f>
        <v>No</v>
      </c>
      <c r="U1026" s="0" t="n">
        <v>0</v>
      </c>
      <c r="V1026" s="0" t="n">
        <v>4</v>
      </c>
      <c r="W1026" s="0" t="str">
        <f aca="false">IF(OR(AND(M1026=1,ISBLANK(V1026)),AND(M1026=0,NOT(ISBLANK(V1026)))),"Yes","No")</f>
        <v>No</v>
      </c>
      <c r="X1026" s="0" t="n">
        <v>84.6</v>
      </c>
      <c r="Y1026" s="3" t="s">
        <v>30</v>
      </c>
      <c r="Z1026" s="3" t="n">
        <f aca="false">IF(M1026=1,P1026,"")</f>
        <v>1906.23</v>
      </c>
    </row>
    <row r="1027" customFormat="false" ht="15" hidden="false" customHeight="false" outlineLevel="0" collapsed="false">
      <c r="A1027" s="0" t="s">
        <v>1071</v>
      </c>
      <c r="B1027" s="2" t="n">
        <v>45742</v>
      </c>
      <c r="C1027" s="3" t="s">
        <v>736</v>
      </c>
      <c r="D1027" s="3" t="s">
        <v>39</v>
      </c>
      <c r="E1027" s="3" t="s">
        <v>35</v>
      </c>
      <c r="F1027" s="3" t="s">
        <v>30</v>
      </c>
      <c r="G1027" s="3" t="s">
        <v>50</v>
      </c>
      <c r="H1027" s="3" t="s">
        <v>30</v>
      </c>
      <c r="I1027" s="3" t="s">
        <v>37</v>
      </c>
      <c r="J1027" s="0" t="n">
        <v>1</v>
      </c>
      <c r="K1027" s="0" t="n">
        <v>0</v>
      </c>
      <c r="L1027" s="0" t="n">
        <v>0</v>
      </c>
      <c r="M1027" s="0" t="n">
        <v>0</v>
      </c>
      <c r="N1027" s="0" t="str">
        <f aca="false">IF(OR(NOT(OR(J1027=0,J1027=1)),NOT(OR(K1027=0,K1027=1)),NOT(OR(L1027=0,L1027=1)),NOT(OR(M1027=0,M1027=1)),NOT(OR(U1027=0,U1027=1))),"Yes","No")</f>
        <v>No</v>
      </c>
      <c r="O1027" s="0" t="str">
        <f aca="false">IF(OR(AND(M1027=1,L1027=0),AND(L1027=1,K1027=0),AND(K1027=1,J1027=0)),"Yes","No")</f>
        <v>No</v>
      </c>
      <c r="P1027" s="0" t="n">
        <v>0</v>
      </c>
      <c r="Q1027" s="0" t="str">
        <f aca="false">IF(OR(AND(M1027=0,P1027&gt;0),AND(M1027=1,P1027&lt;=0)),"Yes","No")</f>
        <v>No</v>
      </c>
      <c r="R1027" s="0" t="str">
        <f aca="false">IF(AND(M1027=1,P1027&gt;calc_helpers!$B$5),"Yes","No")</f>
        <v>No</v>
      </c>
      <c r="S1027" s="0" t="n">
        <v>0</v>
      </c>
      <c r="T1027" s="0" t="str">
        <f aca="false">IF(S1027&gt;0,"Yes","No")</f>
        <v>No</v>
      </c>
      <c r="U1027" s="0" t="n">
        <v>0</v>
      </c>
      <c r="W1027" s="0" t="str">
        <f aca="false">IF(OR(AND(M1027=1,ISBLANK(V1027)),AND(M1027=0,NOT(ISBLANK(V1027)))),"Yes","No")</f>
        <v>No</v>
      </c>
      <c r="X1027" s="0" t="n">
        <v>57</v>
      </c>
      <c r="Y1027" s="3" t="s">
        <v>30</v>
      </c>
      <c r="Z1027" s="0" t="str">
        <f aca="false">IF(M1027=1,P1027,"")</f>
        <v/>
      </c>
    </row>
    <row r="1028" customFormat="false" ht="15" hidden="false" customHeight="false" outlineLevel="0" collapsed="false">
      <c r="A1028" s="0" t="s">
        <v>1072</v>
      </c>
      <c r="B1028" s="2" t="n">
        <v>45793</v>
      </c>
      <c r="C1028" s="3" t="s">
        <v>736</v>
      </c>
      <c r="D1028" s="3" t="s">
        <v>43</v>
      </c>
      <c r="E1028" s="3" t="s">
        <v>35</v>
      </c>
      <c r="F1028" s="3" t="s">
        <v>30</v>
      </c>
      <c r="G1028" s="3" t="s">
        <v>31</v>
      </c>
      <c r="H1028" s="3" t="s">
        <v>30</v>
      </c>
      <c r="I1028" s="3" t="s">
        <v>41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str">
        <f aca="false">IF(OR(NOT(OR(J1028=0,J1028=1)),NOT(OR(K1028=0,K1028=1)),NOT(OR(L1028=0,L1028=1)),NOT(OR(M1028=0,M1028=1)),NOT(OR(U1028=0,U1028=1))),"Yes","No")</f>
        <v>No</v>
      </c>
      <c r="O1028" s="0" t="str">
        <f aca="false">IF(OR(AND(M1028=1,L1028=0),AND(L1028=1,K1028=0),AND(K1028=1,J1028=0)),"Yes","No")</f>
        <v>No</v>
      </c>
      <c r="P1028" s="0" t="n">
        <v>0</v>
      </c>
      <c r="Q1028" s="0" t="str">
        <f aca="false">IF(OR(AND(M1028=0,P1028&gt;0),AND(M1028=1,P1028&lt;=0)),"Yes","No")</f>
        <v>No</v>
      </c>
      <c r="R1028" s="0" t="str">
        <f aca="false">IF(AND(M1028=1,P1028&gt;calc_helpers!$B$5),"Yes","No")</f>
        <v>No</v>
      </c>
      <c r="S1028" s="0" t="n">
        <v>0</v>
      </c>
      <c r="T1028" s="0" t="str">
        <f aca="false">IF(S1028&gt;0,"Yes","No")</f>
        <v>No</v>
      </c>
      <c r="U1028" s="0" t="n">
        <v>0</v>
      </c>
      <c r="W1028" s="0" t="str">
        <f aca="false">IF(OR(AND(M1028=1,ISBLANK(V1028)),AND(M1028=0,NOT(ISBLANK(V1028)))),"Yes","No")</f>
        <v>No</v>
      </c>
      <c r="X1028" s="0" t="n">
        <v>46.3</v>
      </c>
      <c r="Y1028" s="3" t="s">
        <v>30</v>
      </c>
      <c r="Z1028" s="0" t="str">
        <f aca="false">IF(M1028=1,P1028,"")</f>
        <v/>
      </c>
    </row>
    <row r="1029" customFormat="false" ht="15" hidden="false" customHeight="false" outlineLevel="0" collapsed="false">
      <c r="A1029" s="0" t="s">
        <v>1073</v>
      </c>
      <c r="B1029" s="2" t="n">
        <v>45767</v>
      </c>
      <c r="C1029" s="3" t="s">
        <v>736</v>
      </c>
      <c r="D1029" s="3" t="s">
        <v>34</v>
      </c>
      <c r="E1029" s="3" t="s">
        <v>35</v>
      </c>
      <c r="F1029" s="3" t="s">
        <v>30</v>
      </c>
      <c r="G1029" s="3" t="s">
        <v>52</v>
      </c>
      <c r="H1029" s="3" t="s">
        <v>30</v>
      </c>
      <c r="I1029" s="3" t="s">
        <v>37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str">
        <f aca="false">IF(OR(NOT(OR(J1029=0,J1029=1)),NOT(OR(K1029=0,K1029=1)),NOT(OR(L1029=0,L1029=1)),NOT(OR(M1029=0,M1029=1)),NOT(OR(U1029=0,U1029=1))),"Yes","No")</f>
        <v>No</v>
      </c>
      <c r="O1029" s="0" t="str">
        <f aca="false">IF(OR(AND(M1029=1,L1029=0),AND(L1029=1,K1029=0),AND(K1029=1,J1029=0)),"Yes","No")</f>
        <v>No</v>
      </c>
      <c r="P1029" s="0" t="n">
        <v>0</v>
      </c>
      <c r="Q1029" s="0" t="str">
        <f aca="false">IF(OR(AND(M1029=0,P1029&gt;0),AND(M1029=1,P1029&lt;=0)),"Yes","No")</f>
        <v>No</v>
      </c>
      <c r="R1029" s="0" t="str">
        <f aca="false">IF(AND(M1029=1,P1029&gt;calc_helpers!$B$5),"Yes","No")</f>
        <v>No</v>
      </c>
      <c r="S1029" s="0" t="n">
        <v>1</v>
      </c>
      <c r="T1029" s="0" t="str">
        <f aca="false">IF(S1029&gt;0,"Yes","No")</f>
        <v>Yes</v>
      </c>
      <c r="U1029" s="0" t="n">
        <v>0</v>
      </c>
      <c r="W1029" s="0" t="str">
        <f aca="false">IF(OR(AND(M1029=1,ISBLANK(V1029)),AND(M1029=0,NOT(ISBLANK(V1029)))),"Yes","No")</f>
        <v>No</v>
      </c>
      <c r="X1029" s="0" t="n">
        <v>64.4</v>
      </c>
      <c r="Y1029" s="3" t="s">
        <v>30</v>
      </c>
      <c r="Z1029" s="0" t="str">
        <f aca="false">IF(M1029=1,P1029,"")</f>
        <v/>
      </c>
    </row>
    <row r="1030" customFormat="false" ht="15" hidden="false" customHeight="false" outlineLevel="0" collapsed="false">
      <c r="A1030" s="0" t="s">
        <v>1074</v>
      </c>
      <c r="B1030" s="2" t="n">
        <v>45762</v>
      </c>
      <c r="C1030" s="3" t="s">
        <v>736</v>
      </c>
      <c r="D1030" s="3" t="s">
        <v>34</v>
      </c>
      <c r="E1030" s="3" t="s">
        <v>35</v>
      </c>
      <c r="F1030" s="3" t="s">
        <v>30</v>
      </c>
      <c r="G1030" s="3" t="s">
        <v>40</v>
      </c>
      <c r="H1030" s="3" t="s">
        <v>30</v>
      </c>
      <c r="I1030" s="3" t="s">
        <v>37</v>
      </c>
      <c r="J1030" s="0" t="n">
        <v>1</v>
      </c>
      <c r="K1030" s="0" t="n">
        <v>0</v>
      </c>
      <c r="L1030" s="0" t="n">
        <v>0</v>
      </c>
      <c r="M1030" s="0" t="n">
        <v>0</v>
      </c>
      <c r="N1030" s="0" t="str">
        <f aca="false">IF(OR(NOT(OR(J1030=0,J1030=1)),NOT(OR(K1030=0,K1030=1)),NOT(OR(L1030=0,L1030=1)),NOT(OR(M1030=0,M1030=1)),NOT(OR(U1030=0,U1030=1))),"Yes","No")</f>
        <v>No</v>
      </c>
      <c r="O1030" s="0" t="str">
        <f aca="false">IF(OR(AND(M1030=1,L1030=0),AND(L1030=1,K1030=0),AND(K1030=1,J1030=0)),"Yes","No")</f>
        <v>No</v>
      </c>
      <c r="P1030" s="0" t="n">
        <v>0</v>
      </c>
      <c r="Q1030" s="0" t="str">
        <f aca="false">IF(OR(AND(M1030=0,P1030&gt;0),AND(M1030=1,P1030&lt;=0)),"Yes","No")</f>
        <v>No</v>
      </c>
      <c r="R1030" s="0" t="str">
        <f aca="false">IF(AND(M1030=1,P1030&gt;calc_helpers!$B$5),"Yes","No")</f>
        <v>No</v>
      </c>
      <c r="S1030" s="0" t="n">
        <v>2</v>
      </c>
      <c r="T1030" s="0" t="str">
        <f aca="false">IF(S1030&gt;0,"Yes","No")</f>
        <v>Yes</v>
      </c>
      <c r="U1030" s="0" t="n">
        <v>0</v>
      </c>
      <c r="W1030" s="0" t="str">
        <f aca="false">IF(OR(AND(M1030=1,ISBLANK(V1030)),AND(M1030=0,NOT(ISBLANK(V1030)))),"Yes","No")</f>
        <v>No</v>
      </c>
      <c r="X1030" s="0" t="n">
        <v>61.9</v>
      </c>
      <c r="Y1030" s="3" t="s">
        <v>30</v>
      </c>
      <c r="Z1030" s="0" t="str">
        <f aca="false">IF(M1030=1,P1030,"")</f>
        <v/>
      </c>
    </row>
    <row r="1031" customFormat="false" ht="15" hidden="false" customHeight="false" outlineLevel="0" collapsed="false">
      <c r="A1031" s="0" t="s">
        <v>1075</v>
      </c>
      <c r="B1031" s="2" t="n">
        <v>45681</v>
      </c>
      <c r="C1031" s="3" t="s">
        <v>736</v>
      </c>
      <c r="D1031" s="3" t="s">
        <v>28</v>
      </c>
      <c r="E1031" s="3" t="s">
        <v>35</v>
      </c>
      <c r="F1031" s="3" t="s">
        <v>30</v>
      </c>
      <c r="G1031" s="3" t="s">
        <v>36</v>
      </c>
      <c r="H1031" s="3" t="s">
        <v>30</v>
      </c>
      <c r="I1031" s="3" t="s">
        <v>41</v>
      </c>
      <c r="J1031" s="0" t="n">
        <v>1</v>
      </c>
      <c r="K1031" s="0" t="n">
        <v>1</v>
      </c>
      <c r="L1031" s="0" t="n">
        <v>1</v>
      </c>
      <c r="M1031" s="0" t="n">
        <v>0</v>
      </c>
      <c r="N1031" s="0" t="str">
        <f aca="false">IF(OR(NOT(OR(J1031=0,J1031=1)),NOT(OR(K1031=0,K1031=1)),NOT(OR(L1031=0,L1031=1)),NOT(OR(M1031=0,M1031=1)),NOT(OR(U1031=0,U1031=1))),"Yes","No")</f>
        <v>No</v>
      </c>
      <c r="O1031" s="0" t="str">
        <f aca="false">IF(OR(AND(M1031=1,L1031=0),AND(L1031=1,K1031=0),AND(K1031=1,J1031=0)),"Yes","No")</f>
        <v>No</v>
      </c>
      <c r="P1031" s="0" t="n">
        <v>0</v>
      </c>
      <c r="Q1031" s="0" t="str">
        <f aca="false">IF(OR(AND(M1031=0,P1031&gt;0),AND(M1031=1,P1031&lt;=0)),"Yes","No")</f>
        <v>No</v>
      </c>
      <c r="R1031" s="0" t="str">
        <f aca="false">IF(AND(M1031=1,P1031&gt;calc_helpers!$B$5),"Yes","No")</f>
        <v>No</v>
      </c>
      <c r="S1031" s="0" t="n">
        <v>0</v>
      </c>
      <c r="T1031" s="0" t="str">
        <f aca="false">IF(S1031&gt;0,"Yes","No")</f>
        <v>No</v>
      </c>
      <c r="U1031" s="0" t="n">
        <v>0</v>
      </c>
      <c r="W1031" s="0" t="str">
        <f aca="false">IF(OR(AND(M1031=1,ISBLANK(V1031)),AND(M1031=0,NOT(ISBLANK(V1031)))),"Yes","No")</f>
        <v>No</v>
      </c>
      <c r="X1031" s="0" t="n">
        <v>93.7</v>
      </c>
      <c r="Y1031" s="3" t="s">
        <v>30</v>
      </c>
      <c r="Z1031" s="0" t="str">
        <f aca="false">IF(M1031=1,P1031,"")</f>
        <v/>
      </c>
    </row>
    <row r="1032" customFormat="false" ht="15" hidden="false" customHeight="false" outlineLevel="0" collapsed="false">
      <c r="A1032" s="0" t="s">
        <v>1076</v>
      </c>
      <c r="B1032" s="2" t="n">
        <v>45758</v>
      </c>
      <c r="C1032" s="3" t="s">
        <v>736</v>
      </c>
      <c r="D1032" s="3" t="s">
        <v>43</v>
      </c>
      <c r="E1032" s="3" t="s">
        <v>35</v>
      </c>
      <c r="F1032" s="3" t="s">
        <v>30</v>
      </c>
      <c r="G1032" s="3" t="s">
        <v>50</v>
      </c>
      <c r="H1032" s="3" t="s">
        <v>30</v>
      </c>
      <c r="I1032" s="3" t="s">
        <v>32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str">
        <f aca="false">IF(OR(NOT(OR(J1032=0,J1032=1)),NOT(OR(K1032=0,K1032=1)),NOT(OR(L1032=0,L1032=1)),NOT(OR(M1032=0,M1032=1)),NOT(OR(U1032=0,U1032=1))),"Yes","No")</f>
        <v>No</v>
      </c>
      <c r="O1032" s="0" t="str">
        <f aca="false">IF(OR(AND(M1032=1,L1032=0),AND(L1032=1,K1032=0),AND(K1032=1,J1032=0)),"Yes","No")</f>
        <v>No</v>
      </c>
      <c r="P1032" s="0" t="n">
        <v>0</v>
      </c>
      <c r="Q1032" s="0" t="str">
        <f aca="false">IF(OR(AND(M1032=0,P1032&gt;0),AND(M1032=1,P1032&lt;=0)),"Yes","No")</f>
        <v>No</v>
      </c>
      <c r="R1032" s="0" t="str">
        <f aca="false">IF(AND(M1032=1,P1032&gt;calc_helpers!$B$5),"Yes","No")</f>
        <v>No</v>
      </c>
      <c r="S1032" s="0" t="n">
        <v>0</v>
      </c>
      <c r="T1032" s="0" t="str">
        <f aca="false">IF(S1032&gt;0,"Yes","No")</f>
        <v>No</v>
      </c>
      <c r="U1032" s="0" t="n">
        <v>0</v>
      </c>
      <c r="W1032" s="0" t="str">
        <f aca="false">IF(OR(AND(M1032=1,ISBLANK(V1032)),AND(M1032=0,NOT(ISBLANK(V1032)))),"Yes","No")</f>
        <v>No</v>
      </c>
      <c r="X1032" s="0" t="n">
        <v>61.6</v>
      </c>
      <c r="Y1032" s="3" t="s">
        <v>30</v>
      </c>
      <c r="Z1032" s="0" t="str">
        <f aca="false">IF(M1032=1,P1032,"")</f>
        <v/>
      </c>
    </row>
    <row r="1033" customFormat="false" ht="15" hidden="false" customHeight="false" outlineLevel="0" collapsed="false">
      <c r="A1033" s="0" t="s">
        <v>1077</v>
      </c>
      <c r="B1033" s="2" t="n">
        <v>45796</v>
      </c>
      <c r="C1033" s="3" t="s">
        <v>736</v>
      </c>
      <c r="D1033" s="3" t="s">
        <v>28</v>
      </c>
      <c r="E1033" s="3" t="s">
        <v>35</v>
      </c>
      <c r="F1033" s="3" t="s">
        <v>30</v>
      </c>
      <c r="G1033" s="3" t="s">
        <v>40</v>
      </c>
      <c r="H1033" s="3" t="s">
        <v>30</v>
      </c>
      <c r="I1033" s="3" t="s">
        <v>37</v>
      </c>
      <c r="J1033" s="0" t="n">
        <v>1</v>
      </c>
      <c r="K1033" s="0" t="n">
        <v>0</v>
      </c>
      <c r="L1033" s="0" t="n">
        <v>0</v>
      </c>
      <c r="M1033" s="0" t="n">
        <v>0</v>
      </c>
      <c r="N1033" s="0" t="str">
        <f aca="false">IF(OR(NOT(OR(J1033=0,J1033=1)),NOT(OR(K1033=0,K1033=1)),NOT(OR(L1033=0,L1033=1)),NOT(OR(M1033=0,M1033=1)),NOT(OR(U1033=0,U1033=1))),"Yes","No")</f>
        <v>No</v>
      </c>
      <c r="O1033" s="0" t="str">
        <f aca="false">IF(OR(AND(M1033=1,L1033=0),AND(L1033=1,K1033=0),AND(K1033=1,J1033=0)),"Yes","No")</f>
        <v>No</v>
      </c>
      <c r="P1033" s="0" t="n">
        <v>0</v>
      </c>
      <c r="Q1033" s="0" t="str">
        <f aca="false">IF(OR(AND(M1033=0,P1033&gt;0),AND(M1033=1,P1033&lt;=0)),"Yes","No")</f>
        <v>No</v>
      </c>
      <c r="R1033" s="0" t="str">
        <f aca="false">IF(AND(M1033=1,P1033&gt;calc_helpers!$B$5),"Yes","No")</f>
        <v>No</v>
      </c>
      <c r="S1033" s="0" t="n">
        <v>0</v>
      </c>
      <c r="T1033" s="0" t="str">
        <f aca="false">IF(S1033&gt;0,"Yes","No")</f>
        <v>No</v>
      </c>
      <c r="U1033" s="0" t="n">
        <v>0</v>
      </c>
      <c r="W1033" s="0" t="str">
        <f aca="false">IF(OR(AND(M1033=1,ISBLANK(V1033)),AND(M1033=0,NOT(ISBLANK(V1033)))),"Yes","No")</f>
        <v>No</v>
      </c>
      <c r="X1033" s="0" t="n">
        <v>72.2</v>
      </c>
      <c r="Y1033" s="3" t="s">
        <v>30</v>
      </c>
      <c r="Z1033" s="0" t="str">
        <f aca="false">IF(M1033=1,P1033,"")</f>
        <v/>
      </c>
    </row>
    <row r="1034" customFormat="false" ht="15" hidden="false" customHeight="false" outlineLevel="0" collapsed="false">
      <c r="A1034" s="0" t="s">
        <v>1078</v>
      </c>
      <c r="B1034" s="2" t="n">
        <v>45671</v>
      </c>
      <c r="C1034" s="3" t="s">
        <v>736</v>
      </c>
      <c r="D1034" s="3" t="s">
        <v>28</v>
      </c>
      <c r="E1034" s="3" t="s">
        <v>35</v>
      </c>
      <c r="F1034" s="3" t="s">
        <v>30</v>
      </c>
      <c r="G1034" s="3" t="s">
        <v>36</v>
      </c>
      <c r="H1034" s="3" t="s">
        <v>30</v>
      </c>
      <c r="I1034" s="3" t="s">
        <v>32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str">
        <f aca="false">IF(OR(NOT(OR(J1034=0,J1034=1)),NOT(OR(K1034=0,K1034=1)),NOT(OR(L1034=0,L1034=1)),NOT(OR(M1034=0,M1034=1)),NOT(OR(U1034=0,U1034=1))),"Yes","No")</f>
        <v>No</v>
      </c>
      <c r="O1034" s="0" t="str">
        <f aca="false">IF(OR(AND(M1034=1,L1034=0),AND(L1034=1,K1034=0),AND(K1034=1,J1034=0)),"Yes","No")</f>
        <v>No</v>
      </c>
      <c r="P1034" s="0" t="n">
        <v>0</v>
      </c>
      <c r="Q1034" s="0" t="str">
        <f aca="false">IF(OR(AND(M1034=0,P1034&gt;0),AND(M1034=1,P1034&lt;=0)),"Yes","No")</f>
        <v>No</v>
      </c>
      <c r="R1034" s="0" t="str">
        <f aca="false">IF(AND(M1034=1,P1034&gt;calc_helpers!$B$5),"Yes","No")</f>
        <v>No</v>
      </c>
      <c r="S1034" s="0" t="n">
        <v>0</v>
      </c>
      <c r="T1034" s="0" t="str">
        <f aca="false">IF(S1034&gt;0,"Yes","No")</f>
        <v>No</v>
      </c>
      <c r="U1034" s="0" t="n">
        <v>0</v>
      </c>
      <c r="W1034" s="0" t="str">
        <f aca="false">IF(OR(AND(M1034=1,ISBLANK(V1034)),AND(M1034=0,NOT(ISBLANK(V1034)))),"Yes","No")</f>
        <v>No</v>
      </c>
      <c r="X1034" s="0" t="n">
        <v>69.5</v>
      </c>
      <c r="Y1034" s="3" t="s">
        <v>30</v>
      </c>
      <c r="Z1034" s="0" t="str">
        <f aca="false">IF(M1034=1,P1034,"")</f>
        <v/>
      </c>
    </row>
    <row r="1035" customFormat="false" ht="15" hidden="false" customHeight="false" outlineLevel="0" collapsed="false">
      <c r="A1035" s="0" t="s">
        <v>1079</v>
      </c>
      <c r="B1035" s="2" t="n">
        <v>45716</v>
      </c>
      <c r="C1035" s="3" t="s">
        <v>736</v>
      </c>
      <c r="D1035" s="3" t="s">
        <v>39</v>
      </c>
      <c r="E1035" s="3" t="s">
        <v>29</v>
      </c>
      <c r="F1035" s="3" t="s">
        <v>30</v>
      </c>
      <c r="G1035" s="3" t="s">
        <v>36</v>
      </c>
      <c r="H1035" s="3" t="s">
        <v>30</v>
      </c>
      <c r="I1035" s="3" t="s">
        <v>32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str">
        <f aca="false">IF(OR(NOT(OR(J1035=0,J1035=1)),NOT(OR(K1035=0,K1035=1)),NOT(OR(L1035=0,L1035=1)),NOT(OR(M1035=0,M1035=1)),NOT(OR(U1035=0,U1035=1))),"Yes","No")</f>
        <v>No</v>
      </c>
      <c r="O1035" s="0" t="str">
        <f aca="false">IF(OR(AND(M1035=1,L1035=0),AND(L1035=1,K1035=0),AND(K1035=1,J1035=0)),"Yes","No")</f>
        <v>No</v>
      </c>
      <c r="P1035" s="0" t="n">
        <v>0</v>
      </c>
      <c r="Q1035" s="0" t="str">
        <f aca="false">IF(OR(AND(M1035=0,P1035&gt;0),AND(M1035=1,P1035&lt;=0)),"Yes","No")</f>
        <v>No</v>
      </c>
      <c r="R1035" s="0" t="str">
        <f aca="false">IF(AND(M1035=1,P1035&gt;calc_helpers!$B$5),"Yes","No")</f>
        <v>No</v>
      </c>
      <c r="S1035" s="0" t="n">
        <v>0</v>
      </c>
      <c r="T1035" s="0" t="str">
        <f aca="false">IF(S1035&gt;0,"Yes","No")</f>
        <v>No</v>
      </c>
      <c r="U1035" s="0" t="n">
        <v>0</v>
      </c>
      <c r="W1035" s="0" t="str">
        <f aca="false">IF(OR(AND(M1035=1,ISBLANK(V1035)),AND(M1035=0,NOT(ISBLANK(V1035)))),"Yes","No")</f>
        <v>No</v>
      </c>
      <c r="X1035" s="0" t="n">
        <v>59.7</v>
      </c>
      <c r="Y1035" s="3" t="s">
        <v>30</v>
      </c>
      <c r="Z1035" s="0" t="str">
        <f aca="false">IF(M1035=1,P1035,"")</f>
        <v/>
      </c>
    </row>
    <row r="1036" customFormat="false" ht="15" hidden="false" customHeight="false" outlineLevel="0" collapsed="false">
      <c r="A1036" s="0" t="s">
        <v>1080</v>
      </c>
      <c r="B1036" s="2" t="n">
        <v>45795</v>
      </c>
      <c r="C1036" s="3" t="s">
        <v>736</v>
      </c>
      <c r="D1036" s="3" t="s">
        <v>39</v>
      </c>
      <c r="E1036" s="3" t="s">
        <v>45</v>
      </c>
      <c r="F1036" s="3" t="s">
        <v>30</v>
      </c>
      <c r="G1036" s="3" t="s">
        <v>40</v>
      </c>
      <c r="H1036" s="3" t="s">
        <v>30</v>
      </c>
      <c r="I1036" s="3" t="s">
        <v>32</v>
      </c>
      <c r="J1036" s="0" t="n">
        <v>1</v>
      </c>
      <c r="K1036" s="0" t="n">
        <v>0</v>
      </c>
      <c r="L1036" s="0" t="n">
        <v>0</v>
      </c>
      <c r="M1036" s="0" t="n">
        <v>0</v>
      </c>
      <c r="N1036" s="0" t="str">
        <f aca="false">IF(OR(NOT(OR(J1036=0,J1036=1)),NOT(OR(K1036=0,K1036=1)),NOT(OR(L1036=0,L1036=1)),NOT(OR(M1036=0,M1036=1)),NOT(OR(U1036=0,U1036=1))),"Yes","No")</f>
        <v>No</v>
      </c>
      <c r="O1036" s="0" t="str">
        <f aca="false">IF(OR(AND(M1036=1,L1036=0),AND(L1036=1,K1036=0),AND(K1036=1,J1036=0)),"Yes","No")</f>
        <v>No</v>
      </c>
      <c r="P1036" s="0" t="n">
        <v>0</v>
      </c>
      <c r="Q1036" s="0" t="str">
        <f aca="false">IF(OR(AND(M1036=0,P1036&gt;0),AND(M1036=1,P1036&lt;=0)),"Yes","No")</f>
        <v>No</v>
      </c>
      <c r="R1036" s="0" t="str">
        <f aca="false">IF(AND(M1036=1,P1036&gt;calc_helpers!$B$5),"Yes","No")</f>
        <v>No</v>
      </c>
      <c r="S1036" s="0" t="n">
        <v>0</v>
      </c>
      <c r="T1036" s="0" t="str">
        <f aca="false">IF(S1036&gt;0,"Yes","No")</f>
        <v>No</v>
      </c>
      <c r="U1036" s="0" t="n">
        <v>0</v>
      </c>
      <c r="W1036" s="0" t="str">
        <f aca="false">IF(OR(AND(M1036=1,ISBLANK(V1036)),AND(M1036=0,NOT(ISBLANK(V1036)))),"Yes","No")</f>
        <v>No</v>
      </c>
      <c r="X1036" s="0" t="n">
        <v>73.9</v>
      </c>
      <c r="Y1036" s="3" t="s">
        <v>30</v>
      </c>
      <c r="Z1036" s="0" t="str">
        <f aca="false">IF(M1036=1,P1036,"")</f>
        <v/>
      </c>
    </row>
    <row r="1037" customFormat="false" ht="15" hidden="false" customHeight="false" outlineLevel="0" collapsed="false">
      <c r="A1037" s="0" t="s">
        <v>1081</v>
      </c>
      <c r="B1037" s="2" t="n">
        <v>45661</v>
      </c>
      <c r="C1037" s="3" t="s">
        <v>736</v>
      </c>
      <c r="D1037" s="3" t="s">
        <v>28</v>
      </c>
      <c r="E1037" s="3" t="s">
        <v>35</v>
      </c>
      <c r="F1037" s="3" t="s">
        <v>30</v>
      </c>
      <c r="G1037" s="3" t="s">
        <v>52</v>
      </c>
      <c r="H1037" s="3" t="s">
        <v>30</v>
      </c>
      <c r="I1037" s="3" t="s">
        <v>37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str">
        <f aca="false">IF(OR(NOT(OR(J1037=0,J1037=1)),NOT(OR(K1037=0,K1037=1)),NOT(OR(L1037=0,L1037=1)),NOT(OR(M1037=0,M1037=1)),NOT(OR(U1037=0,U1037=1))),"Yes","No")</f>
        <v>No</v>
      </c>
      <c r="O1037" s="0" t="str">
        <f aca="false">IF(OR(AND(M1037=1,L1037=0),AND(L1037=1,K1037=0),AND(K1037=1,J1037=0)),"Yes","No")</f>
        <v>No</v>
      </c>
      <c r="P1037" s="0" t="n">
        <v>0</v>
      </c>
      <c r="Q1037" s="0" t="str">
        <f aca="false">IF(OR(AND(M1037=0,P1037&gt;0),AND(M1037=1,P1037&lt;=0)),"Yes","No")</f>
        <v>No</v>
      </c>
      <c r="R1037" s="0" t="str">
        <f aca="false">IF(AND(M1037=1,P1037&gt;calc_helpers!$B$5),"Yes","No")</f>
        <v>No</v>
      </c>
      <c r="S1037" s="0" t="n">
        <v>0</v>
      </c>
      <c r="T1037" s="0" t="str">
        <f aca="false">IF(S1037&gt;0,"Yes","No")</f>
        <v>No</v>
      </c>
      <c r="U1037" s="0" t="n">
        <v>0</v>
      </c>
      <c r="W1037" s="0" t="str">
        <f aca="false">IF(OR(AND(M1037=1,ISBLANK(V1037)),AND(M1037=0,NOT(ISBLANK(V1037)))),"Yes","No")</f>
        <v>No</v>
      </c>
      <c r="X1037" s="0" t="n">
        <v>41.5</v>
      </c>
      <c r="Y1037" s="3" t="s">
        <v>30</v>
      </c>
      <c r="Z1037" s="0" t="str">
        <f aca="false">IF(M1037=1,P1037,"")</f>
        <v/>
      </c>
    </row>
    <row r="1038" customFormat="false" ht="15" hidden="false" customHeight="false" outlineLevel="0" collapsed="false">
      <c r="A1038" s="0" t="s">
        <v>1082</v>
      </c>
      <c r="B1038" s="2" t="n">
        <v>45673</v>
      </c>
      <c r="C1038" s="3" t="s">
        <v>736</v>
      </c>
      <c r="D1038" s="3" t="s">
        <v>34</v>
      </c>
      <c r="E1038" s="3" t="s">
        <v>35</v>
      </c>
      <c r="F1038" s="3" t="s">
        <v>30</v>
      </c>
      <c r="G1038" s="3" t="s">
        <v>52</v>
      </c>
      <c r="H1038" s="3" t="s">
        <v>30</v>
      </c>
      <c r="I1038" s="3" t="s">
        <v>41</v>
      </c>
      <c r="J1038" s="0" t="n">
        <v>1</v>
      </c>
      <c r="K1038" s="0" t="n">
        <v>0</v>
      </c>
      <c r="L1038" s="0" t="n">
        <v>0</v>
      </c>
      <c r="M1038" s="0" t="n">
        <v>0</v>
      </c>
      <c r="N1038" s="0" t="str">
        <f aca="false">IF(OR(NOT(OR(J1038=0,J1038=1)),NOT(OR(K1038=0,K1038=1)),NOT(OR(L1038=0,L1038=1)),NOT(OR(M1038=0,M1038=1)),NOT(OR(U1038=0,U1038=1))),"Yes","No")</f>
        <v>No</v>
      </c>
      <c r="O1038" s="0" t="str">
        <f aca="false">IF(OR(AND(M1038=1,L1038=0),AND(L1038=1,K1038=0),AND(K1038=1,J1038=0)),"Yes","No")</f>
        <v>No</v>
      </c>
      <c r="P1038" s="0" t="n">
        <v>0</v>
      </c>
      <c r="Q1038" s="0" t="str">
        <f aca="false">IF(OR(AND(M1038=0,P1038&gt;0),AND(M1038=1,P1038&lt;=0)),"Yes","No")</f>
        <v>No</v>
      </c>
      <c r="R1038" s="0" t="str">
        <f aca="false">IF(AND(M1038=1,P1038&gt;calc_helpers!$B$5),"Yes","No")</f>
        <v>No</v>
      </c>
      <c r="S1038" s="0" t="n">
        <v>0</v>
      </c>
      <c r="T1038" s="0" t="str">
        <f aca="false">IF(S1038&gt;0,"Yes","No")</f>
        <v>No</v>
      </c>
      <c r="U1038" s="0" t="n">
        <v>0</v>
      </c>
      <c r="W1038" s="0" t="str">
        <f aca="false">IF(OR(AND(M1038=1,ISBLANK(V1038)),AND(M1038=0,NOT(ISBLANK(V1038)))),"Yes","No")</f>
        <v>No</v>
      </c>
      <c r="X1038" s="0" t="n">
        <v>82.8</v>
      </c>
      <c r="Y1038" s="3" t="s">
        <v>30</v>
      </c>
      <c r="Z1038" s="0" t="str">
        <f aca="false">IF(M1038=1,P1038,"")</f>
        <v/>
      </c>
    </row>
    <row r="1039" customFormat="false" ht="15" hidden="false" customHeight="false" outlineLevel="0" collapsed="false">
      <c r="A1039" s="0" t="s">
        <v>1083</v>
      </c>
      <c r="B1039" s="2" t="n">
        <v>45730</v>
      </c>
      <c r="C1039" s="3" t="s">
        <v>736</v>
      </c>
      <c r="D1039" s="3" t="s">
        <v>34</v>
      </c>
      <c r="E1039" s="3" t="s">
        <v>35</v>
      </c>
      <c r="F1039" s="3" t="s">
        <v>30</v>
      </c>
      <c r="G1039" s="3" t="s">
        <v>52</v>
      </c>
      <c r="H1039" s="3" t="s">
        <v>30</v>
      </c>
      <c r="I1039" s="3" t="s">
        <v>41</v>
      </c>
      <c r="J1039" s="0" t="n">
        <v>1</v>
      </c>
      <c r="K1039" s="0" t="n">
        <v>0</v>
      </c>
      <c r="L1039" s="0" t="n">
        <v>0</v>
      </c>
      <c r="M1039" s="0" t="n">
        <v>0</v>
      </c>
      <c r="N1039" s="0" t="str">
        <f aca="false">IF(OR(NOT(OR(J1039=0,J1039=1)),NOT(OR(K1039=0,K1039=1)),NOT(OR(L1039=0,L1039=1)),NOT(OR(M1039=0,M1039=1)),NOT(OR(U1039=0,U1039=1))),"Yes","No")</f>
        <v>No</v>
      </c>
      <c r="O1039" s="0" t="str">
        <f aca="false">IF(OR(AND(M1039=1,L1039=0),AND(L1039=1,K1039=0),AND(K1039=1,J1039=0)),"Yes","No")</f>
        <v>No</v>
      </c>
      <c r="P1039" s="0" t="n">
        <v>0</v>
      </c>
      <c r="Q1039" s="0" t="str">
        <f aca="false">IF(OR(AND(M1039=0,P1039&gt;0),AND(M1039=1,P1039&lt;=0)),"Yes","No")</f>
        <v>No</v>
      </c>
      <c r="R1039" s="0" t="str">
        <f aca="false">IF(AND(M1039=1,P1039&gt;calc_helpers!$B$5),"Yes","No")</f>
        <v>No</v>
      </c>
      <c r="S1039" s="0" t="n">
        <v>3</v>
      </c>
      <c r="T1039" s="0" t="str">
        <f aca="false">IF(S1039&gt;0,"Yes","No")</f>
        <v>Yes</v>
      </c>
      <c r="U1039" s="0" t="n">
        <v>0</v>
      </c>
      <c r="W1039" s="0" t="str">
        <f aca="false">IF(OR(AND(M1039=1,ISBLANK(V1039)),AND(M1039=0,NOT(ISBLANK(V1039)))),"Yes","No")</f>
        <v>No</v>
      </c>
      <c r="X1039" s="0" t="n">
        <v>70.2</v>
      </c>
      <c r="Y1039" s="3" t="s">
        <v>30</v>
      </c>
      <c r="Z1039" s="0" t="str">
        <f aca="false">IF(M1039=1,P1039,"")</f>
        <v/>
      </c>
    </row>
    <row r="1040" customFormat="false" ht="15" hidden="false" customHeight="false" outlineLevel="0" collapsed="false">
      <c r="A1040" s="0" t="s">
        <v>1084</v>
      </c>
      <c r="B1040" s="2" t="n">
        <v>45680</v>
      </c>
      <c r="C1040" s="3" t="s">
        <v>736</v>
      </c>
      <c r="D1040" s="3" t="s">
        <v>39</v>
      </c>
      <c r="E1040" s="3" t="s">
        <v>35</v>
      </c>
      <c r="F1040" s="3" t="s">
        <v>30</v>
      </c>
      <c r="G1040" s="3" t="s">
        <v>40</v>
      </c>
      <c r="H1040" s="3" t="s">
        <v>30</v>
      </c>
      <c r="I1040" s="3" t="s">
        <v>32</v>
      </c>
      <c r="J1040" s="0" t="n">
        <v>1</v>
      </c>
      <c r="K1040" s="0" t="n">
        <v>0</v>
      </c>
      <c r="L1040" s="0" t="n">
        <v>0</v>
      </c>
      <c r="M1040" s="0" t="n">
        <v>0</v>
      </c>
      <c r="N1040" s="0" t="str">
        <f aca="false">IF(OR(NOT(OR(J1040=0,J1040=1)),NOT(OR(K1040=0,K1040=1)),NOT(OR(L1040=0,L1040=1)),NOT(OR(M1040=0,M1040=1)),NOT(OR(U1040=0,U1040=1))),"Yes","No")</f>
        <v>No</v>
      </c>
      <c r="O1040" s="0" t="str">
        <f aca="false">IF(OR(AND(M1040=1,L1040=0),AND(L1040=1,K1040=0),AND(K1040=1,J1040=0)),"Yes","No")</f>
        <v>No</v>
      </c>
      <c r="P1040" s="0" t="n">
        <v>0</v>
      </c>
      <c r="Q1040" s="0" t="str">
        <f aca="false">IF(OR(AND(M1040=0,P1040&gt;0),AND(M1040=1,P1040&lt;=0)),"Yes","No")</f>
        <v>No</v>
      </c>
      <c r="R1040" s="0" t="str">
        <f aca="false">IF(AND(M1040=1,P1040&gt;calc_helpers!$B$5),"Yes","No")</f>
        <v>No</v>
      </c>
      <c r="S1040" s="0" t="n">
        <v>1</v>
      </c>
      <c r="T1040" s="0" t="str">
        <f aca="false">IF(S1040&gt;0,"Yes","No")</f>
        <v>Yes</v>
      </c>
      <c r="U1040" s="0" t="n">
        <v>0</v>
      </c>
      <c r="W1040" s="0" t="str">
        <f aca="false">IF(OR(AND(M1040=1,ISBLANK(V1040)),AND(M1040=0,NOT(ISBLANK(V1040)))),"Yes","No")</f>
        <v>No</v>
      </c>
      <c r="X1040" s="0" t="n">
        <v>69.4</v>
      </c>
      <c r="Y1040" s="3" t="s">
        <v>30</v>
      </c>
      <c r="Z1040" s="0" t="str">
        <f aca="false">IF(M1040=1,P1040,"")</f>
        <v/>
      </c>
    </row>
    <row r="1041" customFormat="false" ht="15" hidden="false" customHeight="false" outlineLevel="0" collapsed="false">
      <c r="A1041" s="0" t="s">
        <v>1085</v>
      </c>
      <c r="B1041" s="2" t="n">
        <v>45691</v>
      </c>
      <c r="C1041" s="3" t="s">
        <v>736</v>
      </c>
      <c r="D1041" s="3" t="s">
        <v>28</v>
      </c>
      <c r="E1041" s="3" t="s">
        <v>29</v>
      </c>
      <c r="F1041" s="3" t="s">
        <v>30</v>
      </c>
      <c r="G1041" s="3" t="s">
        <v>36</v>
      </c>
      <c r="H1041" s="3" t="s">
        <v>30</v>
      </c>
      <c r="I1041" s="3" t="s">
        <v>32</v>
      </c>
      <c r="J1041" s="0" t="n">
        <v>1</v>
      </c>
      <c r="K1041" s="0" t="n">
        <v>0</v>
      </c>
      <c r="L1041" s="0" t="n">
        <v>0</v>
      </c>
      <c r="M1041" s="0" t="n">
        <v>0</v>
      </c>
      <c r="N1041" s="0" t="str">
        <f aca="false">IF(OR(NOT(OR(J1041=0,J1041=1)),NOT(OR(K1041=0,K1041=1)),NOT(OR(L1041=0,L1041=1)),NOT(OR(M1041=0,M1041=1)),NOT(OR(U1041=0,U1041=1))),"Yes","No")</f>
        <v>No</v>
      </c>
      <c r="O1041" s="0" t="str">
        <f aca="false">IF(OR(AND(M1041=1,L1041=0),AND(L1041=1,K1041=0),AND(K1041=1,J1041=0)),"Yes","No")</f>
        <v>No</v>
      </c>
      <c r="P1041" s="0" t="n">
        <v>0</v>
      </c>
      <c r="Q1041" s="0" t="str">
        <f aca="false">IF(OR(AND(M1041=0,P1041&gt;0),AND(M1041=1,P1041&lt;=0)),"Yes","No")</f>
        <v>No</v>
      </c>
      <c r="R1041" s="0" t="str">
        <f aca="false">IF(AND(M1041=1,P1041&gt;calc_helpers!$B$5),"Yes","No")</f>
        <v>No</v>
      </c>
      <c r="S1041" s="0" t="n">
        <v>0</v>
      </c>
      <c r="T1041" s="0" t="str">
        <f aca="false">IF(S1041&gt;0,"Yes","No")</f>
        <v>No</v>
      </c>
      <c r="U1041" s="0" t="n">
        <v>0</v>
      </c>
      <c r="W1041" s="0" t="str">
        <f aca="false">IF(OR(AND(M1041=1,ISBLANK(V1041)),AND(M1041=0,NOT(ISBLANK(V1041)))),"Yes","No")</f>
        <v>No</v>
      </c>
      <c r="X1041" s="0" t="n">
        <v>60.4</v>
      </c>
      <c r="Y1041" s="3" t="s">
        <v>30</v>
      </c>
      <c r="Z1041" s="0" t="str">
        <f aca="false">IF(M1041=1,P1041,"")</f>
        <v/>
      </c>
    </row>
    <row r="1042" customFormat="false" ht="15" hidden="false" customHeight="false" outlineLevel="0" collapsed="false">
      <c r="A1042" s="0" t="s">
        <v>1086</v>
      </c>
      <c r="B1042" s="2" t="n">
        <v>45793</v>
      </c>
      <c r="C1042" s="3" t="s">
        <v>736</v>
      </c>
      <c r="D1042" s="3" t="s">
        <v>39</v>
      </c>
      <c r="E1042" s="3" t="s">
        <v>35</v>
      </c>
      <c r="F1042" s="3" t="s">
        <v>30</v>
      </c>
      <c r="G1042" s="3" t="s">
        <v>50</v>
      </c>
      <c r="H1042" s="3" t="s">
        <v>30</v>
      </c>
      <c r="I1042" s="3" t="s">
        <v>37</v>
      </c>
      <c r="J1042" s="0" t="n">
        <v>1</v>
      </c>
      <c r="K1042" s="0" t="n">
        <v>0</v>
      </c>
      <c r="L1042" s="0" t="n">
        <v>0</v>
      </c>
      <c r="M1042" s="0" t="n">
        <v>0</v>
      </c>
      <c r="N1042" s="0" t="str">
        <f aca="false">IF(OR(NOT(OR(J1042=0,J1042=1)),NOT(OR(K1042=0,K1042=1)),NOT(OR(L1042=0,L1042=1)),NOT(OR(M1042=0,M1042=1)),NOT(OR(U1042=0,U1042=1))),"Yes","No")</f>
        <v>No</v>
      </c>
      <c r="O1042" s="0" t="str">
        <f aca="false">IF(OR(AND(M1042=1,L1042=0),AND(L1042=1,K1042=0),AND(K1042=1,J1042=0)),"Yes","No")</f>
        <v>No</v>
      </c>
      <c r="P1042" s="0" t="n">
        <v>0</v>
      </c>
      <c r="Q1042" s="0" t="str">
        <f aca="false">IF(OR(AND(M1042=0,P1042&gt;0),AND(M1042=1,P1042&lt;=0)),"Yes","No")</f>
        <v>No</v>
      </c>
      <c r="R1042" s="0" t="str">
        <f aca="false">IF(AND(M1042=1,P1042&gt;calc_helpers!$B$5),"Yes","No")</f>
        <v>No</v>
      </c>
      <c r="S1042" s="0" t="n">
        <v>0</v>
      </c>
      <c r="T1042" s="0" t="str">
        <f aca="false">IF(S1042&gt;0,"Yes","No")</f>
        <v>No</v>
      </c>
      <c r="U1042" s="0" t="n">
        <v>0</v>
      </c>
      <c r="W1042" s="0" t="str">
        <f aca="false">IF(OR(AND(M1042=1,ISBLANK(V1042)),AND(M1042=0,NOT(ISBLANK(V1042)))),"Yes","No")</f>
        <v>No</v>
      </c>
      <c r="X1042" s="0" t="n">
        <v>45.7</v>
      </c>
      <c r="Y1042" s="3" t="s">
        <v>30</v>
      </c>
      <c r="Z1042" s="0" t="str">
        <f aca="false">IF(M1042=1,P1042,"")</f>
        <v/>
      </c>
    </row>
    <row r="1043" customFormat="false" ht="15" hidden="false" customHeight="false" outlineLevel="0" collapsed="false">
      <c r="A1043" s="0" t="s">
        <v>1087</v>
      </c>
      <c r="B1043" s="2" t="n">
        <v>45668</v>
      </c>
      <c r="C1043" s="3" t="s">
        <v>736</v>
      </c>
      <c r="D1043" s="3" t="s">
        <v>34</v>
      </c>
      <c r="E1043" s="3" t="s">
        <v>35</v>
      </c>
      <c r="F1043" s="3" t="s">
        <v>30</v>
      </c>
      <c r="G1043" s="3" t="s">
        <v>36</v>
      </c>
      <c r="H1043" s="3" t="s">
        <v>30</v>
      </c>
      <c r="I1043" s="3" t="s">
        <v>32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str">
        <f aca="false">IF(OR(NOT(OR(J1043=0,J1043=1)),NOT(OR(K1043=0,K1043=1)),NOT(OR(L1043=0,L1043=1)),NOT(OR(M1043=0,M1043=1)),NOT(OR(U1043=0,U1043=1))),"Yes","No")</f>
        <v>No</v>
      </c>
      <c r="O1043" s="0" t="str">
        <f aca="false">IF(OR(AND(M1043=1,L1043=0),AND(L1043=1,K1043=0),AND(K1043=1,J1043=0)),"Yes","No")</f>
        <v>No</v>
      </c>
      <c r="P1043" s="0" t="n">
        <v>0</v>
      </c>
      <c r="Q1043" s="0" t="str">
        <f aca="false">IF(OR(AND(M1043=0,P1043&gt;0),AND(M1043=1,P1043&lt;=0)),"Yes","No")</f>
        <v>No</v>
      </c>
      <c r="R1043" s="0" t="str">
        <f aca="false">IF(AND(M1043=1,P1043&gt;calc_helpers!$B$5),"Yes","No")</f>
        <v>No</v>
      </c>
      <c r="S1043" s="0" t="n">
        <v>1</v>
      </c>
      <c r="T1043" s="0" t="str">
        <f aca="false">IF(S1043&gt;0,"Yes","No")</f>
        <v>Yes</v>
      </c>
      <c r="U1043" s="0" t="n">
        <v>0</v>
      </c>
      <c r="W1043" s="0" t="str">
        <f aca="false">IF(OR(AND(M1043=1,ISBLANK(V1043)),AND(M1043=0,NOT(ISBLANK(V1043)))),"Yes","No")</f>
        <v>No</v>
      </c>
      <c r="X1043" s="0" t="n">
        <v>42.2</v>
      </c>
      <c r="Y1043" s="3" t="s">
        <v>30</v>
      </c>
      <c r="Z1043" s="0" t="str">
        <f aca="false">IF(M1043=1,P1043,"")</f>
        <v/>
      </c>
    </row>
    <row r="1044" customFormat="false" ht="15" hidden="false" customHeight="false" outlineLevel="0" collapsed="false">
      <c r="A1044" s="0" t="s">
        <v>1088</v>
      </c>
      <c r="B1044" s="2" t="n">
        <v>45802</v>
      </c>
      <c r="C1044" s="3" t="s">
        <v>736</v>
      </c>
      <c r="D1044" s="3" t="s">
        <v>28</v>
      </c>
      <c r="E1044" s="3" t="s">
        <v>29</v>
      </c>
      <c r="F1044" s="3" t="s">
        <v>30</v>
      </c>
      <c r="G1044" s="3" t="s">
        <v>36</v>
      </c>
      <c r="H1044" s="3" t="s">
        <v>30</v>
      </c>
      <c r="I1044" s="3" t="s">
        <v>37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str">
        <f aca="false">IF(OR(NOT(OR(J1044=0,J1044=1)),NOT(OR(K1044=0,K1044=1)),NOT(OR(L1044=0,L1044=1)),NOT(OR(M1044=0,M1044=1)),NOT(OR(U1044=0,U1044=1))),"Yes","No")</f>
        <v>No</v>
      </c>
      <c r="O1044" s="0" t="str">
        <f aca="false">IF(OR(AND(M1044=1,L1044=0),AND(L1044=1,K1044=0),AND(K1044=1,J1044=0)),"Yes","No")</f>
        <v>No</v>
      </c>
      <c r="P1044" s="0" t="n">
        <v>0</v>
      </c>
      <c r="Q1044" s="0" t="str">
        <f aca="false">IF(OR(AND(M1044=0,P1044&gt;0),AND(M1044=1,P1044&lt;=0)),"Yes","No")</f>
        <v>No</v>
      </c>
      <c r="R1044" s="0" t="str">
        <f aca="false">IF(AND(M1044=1,P1044&gt;calc_helpers!$B$5),"Yes","No")</f>
        <v>No</v>
      </c>
      <c r="S1044" s="0" t="n">
        <v>2</v>
      </c>
      <c r="T1044" s="0" t="str">
        <f aca="false">IF(S1044&gt;0,"Yes","No")</f>
        <v>Yes</v>
      </c>
      <c r="U1044" s="0" t="n">
        <v>0</v>
      </c>
      <c r="W1044" s="0" t="str">
        <f aca="false">IF(OR(AND(M1044=1,ISBLANK(V1044)),AND(M1044=0,NOT(ISBLANK(V1044)))),"Yes","No")</f>
        <v>No</v>
      </c>
      <c r="X1044" s="0" t="n">
        <v>61.9</v>
      </c>
      <c r="Y1044" s="3" t="s">
        <v>30</v>
      </c>
      <c r="Z1044" s="0" t="str">
        <f aca="false">IF(M1044=1,P1044,"")</f>
        <v/>
      </c>
    </row>
    <row r="1045" customFormat="false" ht="15" hidden="false" customHeight="false" outlineLevel="0" collapsed="false">
      <c r="A1045" s="0" t="s">
        <v>1089</v>
      </c>
      <c r="B1045" s="2" t="n">
        <v>45785</v>
      </c>
      <c r="C1045" s="3" t="s">
        <v>736</v>
      </c>
      <c r="D1045" s="3" t="s">
        <v>39</v>
      </c>
      <c r="E1045" s="3" t="s">
        <v>35</v>
      </c>
      <c r="F1045" s="3" t="s">
        <v>30</v>
      </c>
      <c r="G1045" s="3" t="s">
        <v>40</v>
      </c>
      <c r="H1045" s="3" t="s">
        <v>30</v>
      </c>
      <c r="I1045" s="3" t="s">
        <v>41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str">
        <f aca="false">IF(OR(NOT(OR(J1045=0,J1045=1)),NOT(OR(K1045=0,K1045=1)),NOT(OR(L1045=0,L1045=1)),NOT(OR(M1045=0,M1045=1)),NOT(OR(U1045=0,U1045=1))),"Yes","No")</f>
        <v>No</v>
      </c>
      <c r="O1045" s="0" t="str">
        <f aca="false">IF(OR(AND(M1045=1,L1045=0),AND(L1045=1,K1045=0),AND(K1045=1,J1045=0)),"Yes","No")</f>
        <v>No</v>
      </c>
      <c r="P1045" s="0" t="n">
        <v>0</v>
      </c>
      <c r="Q1045" s="0" t="str">
        <f aca="false">IF(OR(AND(M1045=0,P1045&gt;0),AND(M1045=1,P1045&lt;=0)),"Yes","No")</f>
        <v>No</v>
      </c>
      <c r="R1045" s="0" t="str">
        <f aca="false">IF(AND(M1045=1,P1045&gt;calc_helpers!$B$5),"Yes","No")</f>
        <v>No</v>
      </c>
      <c r="S1045" s="0" t="n">
        <v>0</v>
      </c>
      <c r="T1045" s="0" t="str">
        <f aca="false">IF(S1045&gt;0,"Yes","No")</f>
        <v>No</v>
      </c>
      <c r="U1045" s="0" t="n">
        <v>0</v>
      </c>
      <c r="W1045" s="0" t="str">
        <f aca="false">IF(OR(AND(M1045=1,ISBLANK(V1045)),AND(M1045=0,NOT(ISBLANK(V1045)))),"Yes","No")</f>
        <v>No</v>
      </c>
      <c r="X1045" s="0" t="n">
        <v>44.9</v>
      </c>
      <c r="Y1045" s="3" t="s">
        <v>30</v>
      </c>
      <c r="Z1045" s="0" t="str">
        <f aca="false">IF(M1045=1,P1045,"")</f>
        <v/>
      </c>
    </row>
    <row r="1046" customFormat="false" ht="15" hidden="false" customHeight="false" outlineLevel="0" collapsed="false">
      <c r="A1046" s="0" t="s">
        <v>1090</v>
      </c>
      <c r="B1046" s="2" t="n">
        <v>45714</v>
      </c>
      <c r="C1046" s="3" t="s">
        <v>736</v>
      </c>
      <c r="D1046" s="3" t="s">
        <v>39</v>
      </c>
      <c r="E1046" s="3" t="s">
        <v>29</v>
      </c>
      <c r="F1046" s="3" t="s">
        <v>30</v>
      </c>
      <c r="G1046" s="3" t="s">
        <v>167</v>
      </c>
      <c r="H1046" s="3" t="s">
        <v>168</v>
      </c>
      <c r="I1046" s="3" t="s">
        <v>32</v>
      </c>
      <c r="J1046" s="0" t="n">
        <v>1</v>
      </c>
      <c r="K1046" s="0" t="n">
        <v>0</v>
      </c>
      <c r="L1046" s="0" t="n">
        <v>0</v>
      </c>
      <c r="M1046" s="0" t="n">
        <v>0</v>
      </c>
      <c r="N1046" s="0" t="str">
        <f aca="false">IF(OR(NOT(OR(J1046=0,J1046=1)),NOT(OR(K1046=0,K1046=1)),NOT(OR(L1046=0,L1046=1)),NOT(OR(M1046=0,M1046=1)),NOT(OR(U1046=0,U1046=1))),"Yes","No")</f>
        <v>No</v>
      </c>
      <c r="O1046" s="0" t="str">
        <f aca="false">IF(OR(AND(M1046=1,L1046=0),AND(L1046=1,K1046=0),AND(K1046=1,J1046=0)),"Yes","No")</f>
        <v>No</v>
      </c>
      <c r="P1046" s="0" t="n">
        <v>0</v>
      </c>
      <c r="Q1046" s="0" t="str">
        <f aca="false">IF(OR(AND(M1046=0,P1046&gt;0),AND(M1046=1,P1046&lt;=0)),"Yes","No")</f>
        <v>No</v>
      </c>
      <c r="R1046" s="0" t="str">
        <f aca="false">IF(AND(M1046=1,P1046&gt;calc_helpers!$B$5),"Yes","No")</f>
        <v>No</v>
      </c>
      <c r="S1046" s="0" t="n">
        <v>0</v>
      </c>
      <c r="T1046" s="0" t="str">
        <f aca="false">IF(S1046&gt;0,"Yes","No")</f>
        <v>No</v>
      </c>
      <c r="U1046" s="0" t="n">
        <v>0</v>
      </c>
      <c r="W1046" s="0" t="str">
        <f aca="false">IF(OR(AND(M1046=1,ISBLANK(V1046)),AND(M1046=0,NOT(ISBLANK(V1046)))),"Yes","No")</f>
        <v>No</v>
      </c>
      <c r="X1046" s="0" t="n">
        <v>68</v>
      </c>
      <c r="Y1046" s="3" t="s">
        <v>30</v>
      </c>
      <c r="Z1046" s="0" t="str">
        <f aca="false">IF(M1046=1,P1046,"")</f>
        <v/>
      </c>
    </row>
    <row r="1047" customFormat="false" ht="15" hidden="false" customHeight="false" outlineLevel="0" collapsed="false">
      <c r="A1047" s="0" t="s">
        <v>1091</v>
      </c>
      <c r="B1047" s="2" t="n">
        <v>45746</v>
      </c>
      <c r="C1047" s="3" t="s">
        <v>736</v>
      </c>
      <c r="D1047" s="3" t="s">
        <v>28</v>
      </c>
      <c r="E1047" s="3" t="s">
        <v>35</v>
      </c>
      <c r="F1047" s="3" t="s">
        <v>30</v>
      </c>
      <c r="G1047" s="3" t="s">
        <v>40</v>
      </c>
      <c r="H1047" s="3" t="s">
        <v>30</v>
      </c>
      <c r="I1047" s="3" t="s">
        <v>37</v>
      </c>
      <c r="J1047" s="0" t="n">
        <v>1</v>
      </c>
      <c r="K1047" s="0" t="n">
        <v>0</v>
      </c>
      <c r="L1047" s="0" t="n">
        <v>0</v>
      </c>
      <c r="M1047" s="0" t="n">
        <v>0</v>
      </c>
      <c r="N1047" s="0" t="str">
        <f aca="false">IF(OR(NOT(OR(J1047=0,J1047=1)),NOT(OR(K1047=0,K1047=1)),NOT(OR(L1047=0,L1047=1)),NOT(OR(M1047=0,M1047=1)),NOT(OR(U1047=0,U1047=1))),"Yes","No")</f>
        <v>No</v>
      </c>
      <c r="O1047" s="0" t="str">
        <f aca="false">IF(OR(AND(M1047=1,L1047=0),AND(L1047=1,K1047=0),AND(K1047=1,J1047=0)),"Yes","No")</f>
        <v>No</v>
      </c>
      <c r="P1047" s="0" t="n">
        <v>0</v>
      </c>
      <c r="Q1047" s="0" t="str">
        <f aca="false">IF(OR(AND(M1047=0,P1047&gt;0),AND(M1047=1,P1047&lt;=0)),"Yes","No")</f>
        <v>No</v>
      </c>
      <c r="R1047" s="0" t="str">
        <f aca="false">IF(AND(M1047=1,P1047&gt;calc_helpers!$B$5),"Yes","No")</f>
        <v>No</v>
      </c>
      <c r="S1047" s="0" t="n">
        <v>0</v>
      </c>
      <c r="T1047" s="0" t="str">
        <f aca="false">IF(S1047&gt;0,"Yes","No")</f>
        <v>No</v>
      </c>
      <c r="U1047" s="0" t="n">
        <v>0</v>
      </c>
      <c r="W1047" s="0" t="str">
        <f aca="false">IF(OR(AND(M1047=1,ISBLANK(V1047)),AND(M1047=0,NOT(ISBLANK(V1047)))),"Yes","No")</f>
        <v>No</v>
      </c>
      <c r="X1047" s="0" t="n">
        <v>61</v>
      </c>
      <c r="Y1047" s="3" t="s">
        <v>30</v>
      </c>
      <c r="Z1047" s="0" t="str">
        <f aca="false">IF(M1047=1,P1047,"")</f>
        <v/>
      </c>
    </row>
    <row r="1048" customFormat="false" ht="15" hidden="false" customHeight="false" outlineLevel="0" collapsed="false">
      <c r="A1048" s="0" t="s">
        <v>1092</v>
      </c>
      <c r="B1048" s="2" t="n">
        <v>45760</v>
      </c>
      <c r="C1048" s="3" t="s">
        <v>736</v>
      </c>
      <c r="D1048" s="3" t="s">
        <v>34</v>
      </c>
      <c r="E1048" s="3" t="s">
        <v>35</v>
      </c>
      <c r="F1048" s="3" t="s">
        <v>30</v>
      </c>
      <c r="G1048" s="3" t="s">
        <v>36</v>
      </c>
      <c r="H1048" s="3" t="s">
        <v>30</v>
      </c>
      <c r="I1048" s="3" t="s">
        <v>32</v>
      </c>
      <c r="J1048" s="0" t="n">
        <v>1</v>
      </c>
      <c r="K1048" s="0" t="n">
        <v>0</v>
      </c>
      <c r="L1048" s="0" t="n">
        <v>0</v>
      </c>
      <c r="M1048" s="0" t="n">
        <v>0</v>
      </c>
      <c r="N1048" s="0" t="str">
        <f aca="false">IF(OR(NOT(OR(J1048=0,J1048=1)),NOT(OR(K1048=0,K1048=1)),NOT(OR(L1048=0,L1048=1)),NOT(OR(M1048=0,M1048=1)),NOT(OR(U1048=0,U1048=1))),"Yes","No")</f>
        <v>No</v>
      </c>
      <c r="O1048" s="0" t="str">
        <f aca="false">IF(OR(AND(M1048=1,L1048=0),AND(L1048=1,K1048=0),AND(K1048=1,J1048=0)),"Yes","No")</f>
        <v>No</v>
      </c>
      <c r="P1048" s="0" t="n">
        <v>0</v>
      </c>
      <c r="Q1048" s="0" t="str">
        <f aca="false">IF(OR(AND(M1048=0,P1048&gt;0),AND(M1048=1,P1048&lt;=0)),"Yes","No")</f>
        <v>No</v>
      </c>
      <c r="R1048" s="0" t="str">
        <f aca="false">IF(AND(M1048=1,P1048&gt;calc_helpers!$B$5),"Yes","No")</f>
        <v>No</v>
      </c>
      <c r="S1048" s="0" t="n">
        <v>0</v>
      </c>
      <c r="T1048" s="0" t="str">
        <f aca="false">IF(S1048&gt;0,"Yes","No")</f>
        <v>No</v>
      </c>
      <c r="U1048" s="0" t="n">
        <v>0</v>
      </c>
      <c r="W1048" s="0" t="str">
        <f aca="false">IF(OR(AND(M1048=1,ISBLANK(V1048)),AND(M1048=0,NOT(ISBLANK(V1048)))),"Yes","No")</f>
        <v>No</v>
      </c>
      <c r="X1048" s="0" t="n">
        <v>55</v>
      </c>
      <c r="Y1048" s="3" t="s">
        <v>30</v>
      </c>
      <c r="Z1048" s="0" t="str">
        <f aca="false">IF(M1048=1,P1048,"")</f>
        <v/>
      </c>
    </row>
    <row r="1049" customFormat="false" ht="15" hidden="false" customHeight="false" outlineLevel="0" collapsed="false">
      <c r="A1049" s="0" t="s">
        <v>1093</v>
      </c>
      <c r="B1049" s="2" t="n">
        <v>45708</v>
      </c>
      <c r="C1049" s="3" t="s">
        <v>736</v>
      </c>
      <c r="D1049" s="3" t="s">
        <v>39</v>
      </c>
      <c r="E1049" s="3" t="s">
        <v>167</v>
      </c>
      <c r="F1049" s="3" t="s">
        <v>168</v>
      </c>
      <c r="G1049" s="3" t="s">
        <v>40</v>
      </c>
      <c r="H1049" s="3" t="s">
        <v>30</v>
      </c>
      <c r="I1049" s="3" t="s">
        <v>32</v>
      </c>
      <c r="J1049" s="0" t="n">
        <v>1</v>
      </c>
      <c r="K1049" s="0" t="n">
        <v>0</v>
      </c>
      <c r="L1049" s="0" t="n">
        <v>0</v>
      </c>
      <c r="M1049" s="0" t="n">
        <v>0</v>
      </c>
      <c r="N1049" s="0" t="str">
        <f aca="false">IF(OR(NOT(OR(J1049=0,J1049=1)),NOT(OR(K1049=0,K1049=1)),NOT(OR(L1049=0,L1049=1)),NOT(OR(M1049=0,M1049=1)),NOT(OR(U1049=0,U1049=1))),"Yes","No")</f>
        <v>No</v>
      </c>
      <c r="O1049" s="0" t="str">
        <f aca="false">IF(OR(AND(M1049=1,L1049=0),AND(L1049=1,K1049=0),AND(K1049=1,J1049=0)),"Yes","No")</f>
        <v>No</v>
      </c>
      <c r="P1049" s="0" t="n">
        <v>0</v>
      </c>
      <c r="Q1049" s="0" t="str">
        <f aca="false">IF(OR(AND(M1049=0,P1049&gt;0),AND(M1049=1,P1049&lt;=0)),"Yes","No")</f>
        <v>No</v>
      </c>
      <c r="R1049" s="0" t="str">
        <f aca="false">IF(AND(M1049=1,P1049&gt;calc_helpers!$B$5),"Yes","No")</f>
        <v>No</v>
      </c>
      <c r="S1049" s="0" t="n">
        <v>0</v>
      </c>
      <c r="T1049" s="0" t="str">
        <f aca="false">IF(S1049&gt;0,"Yes","No")</f>
        <v>No</v>
      </c>
      <c r="U1049" s="0" t="n">
        <v>0</v>
      </c>
      <c r="W1049" s="0" t="str">
        <f aca="false">IF(OR(AND(M1049=1,ISBLANK(V1049)),AND(M1049=0,NOT(ISBLANK(V1049)))),"Yes","No")</f>
        <v>No</v>
      </c>
      <c r="X1049" s="0" t="n">
        <v>63.1</v>
      </c>
      <c r="Y1049" s="3" t="s">
        <v>30</v>
      </c>
      <c r="Z1049" s="0" t="str">
        <f aca="false">IF(M1049=1,P1049,"")</f>
        <v/>
      </c>
    </row>
    <row r="1050" customFormat="false" ht="15" hidden="false" customHeight="false" outlineLevel="0" collapsed="false">
      <c r="A1050" s="0" t="s">
        <v>1094</v>
      </c>
      <c r="B1050" s="2" t="n">
        <v>45766</v>
      </c>
      <c r="C1050" s="3" t="s">
        <v>736</v>
      </c>
      <c r="D1050" s="3" t="s">
        <v>34</v>
      </c>
      <c r="E1050" s="3" t="s">
        <v>29</v>
      </c>
      <c r="F1050" s="3" t="s">
        <v>30</v>
      </c>
      <c r="G1050" s="3" t="s">
        <v>52</v>
      </c>
      <c r="H1050" s="3" t="s">
        <v>30</v>
      </c>
      <c r="I1050" s="3" t="s">
        <v>37</v>
      </c>
      <c r="J1050" s="0" t="n">
        <v>1</v>
      </c>
      <c r="K1050" s="0" t="n">
        <v>0</v>
      </c>
      <c r="L1050" s="0" t="n">
        <v>0</v>
      </c>
      <c r="M1050" s="0" t="n">
        <v>0</v>
      </c>
      <c r="N1050" s="0" t="str">
        <f aca="false">IF(OR(NOT(OR(J1050=0,J1050=1)),NOT(OR(K1050=0,K1050=1)),NOT(OR(L1050=0,L1050=1)),NOT(OR(M1050=0,M1050=1)),NOT(OR(U1050=0,U1050=1))),"Yes","No")</f>
        <v>No</v>
      </c>
      <c r="O1050" s="0" t="str">
        <f aca="false">IF(OR(AND(M1050=1,L1050=0),AND(L1050=1,K1050=0),AND(K1050=1,J1050=0)),"Yes","No")</f>
        <v>No</v>
      </c>
      <c r="P1050" s="0" t="n">
        <v>0</v>
      </c>
      <c r="Q1050" s="0" t="str">
        <f aca="false">IF(OR(AND(M1050=0,P1050&gt;0),AND(M1050=1,P1050&lt;=0)),"Yes","No")</f>
        <v>No</v>
      </c>
      <c r="R1050" s="0" t="str">
        <f aca="false">IF(AND(M1050=1,P1050&gt;calc_helpers!$B$5),"Yes","No")</f>
        <v>No</v>
      </c>
      <c r="S1050" s="0" t="n">
        <v>0</v>
      </c>
      <c r="T1050" s="0" t="str">
        <f aca="false">IF(S1050&gt;0,"Yes","No")</f>
        <v>No</v>
      </c>
      <c r="U1050" s="0" t="n">
        <v>0</v>
      </c>
      <c r="W1050" s="0" t="str">
        <f aca="false">IF(OR(AND(M1050=1,ISBLANK(V1050)),AND(M1050=0,NOT(ISBLANK(V1050)))),"Yes","No")</f>
        <v>No</v>
      </c>
      <c r="X1050" s="0" t="n">
        <v>75.8</v>
      </c>
      <c r="Y1050" s="3" t="s">
        <v>30</v>
      </c>
      <c r="Z1050" s="0" t="str">
        <f aca="false">IF(M1050=1,P1050,"")</f>
        <v/>
      </c>
    </row>
    <row r="1051" customFormat="false" ht="15" hidden="false" customHeight="false" outlineLevel="0" collapsed="false">
      <c r="A1051" s="0" t="s">
        <v>1095</v>
      </c>
      <c r="B1051" s="2" t="n">
        <v>45738</v>
      </c>
      <c r="C1051" s="3" t="s">
        <v>736</v>
      </c>
      <c r="D1051" s="3" t="s">
        <v>43</v>
      </c>
      <c r="E1051" s="3" t="s">
        <v>35</v>
      </c>
      <c r="F1051" s="3" t="s">
        <v>30</v>
      </c>
      <c r="G1051" s="3" t="s">
        <v>40</v>
      </c>
      <c r="H1051" s="3" t="s">
        <v>30</v>
      </c>
      <c r="I1051" s="3" t="s">
        <v>37</v>
      </c>
      <c r="J1051" s="0" t="n">
        <v>1</v>
      </c>
      <c r="K1051" s="0" t="n">
        <v>1</v>
      </c>
      <c r="L1051" s="0" t="n">
        <v>0</v>
      </c>
      <c r="M1051" s="0" t="n">
        <v>0</v>
      </c>
      <c r="N1051" s="0" t="str">
        <f aca="false">IF(OR(NOT(OR(J1051=0,J1051=1)),NOT(OR(K1051=0,K1051=1)),NOT(OR(L1051=0,L1051=1)),NOT(OR(M1051=0,M1051=1)),NOT(OR(U1051=0,U1051=1))),"Yes","No")</f>
        <v>No</v>
      </c>
      <c r="O1051" s="0" t="str">
        <f aca="false">IF(OR(AND(M1051=1,L1051=0),AND(L1051=1,K1051=0),AND(K1051=1,J1051=0)),"Yes","No")</f>
        <v>No</v>
      </c>
      <c r="P1051" s="0" t="n">
        <v>0</v>
      </c>
      <c r="Q1051" s="0" t="str">
        <f aca="false">IF(OR(AND(M1051=0,P1051&gt;0),AND(M1051=1,P1051&lt;=0)),"Yes","No")</f>
        <v>No</v>
      </c>
      <c r="R1051" s="0" t="str">
        <f aca="false">IF(AND(M1051=1,P1051&gt;calc_helpers!$B$5),"Yes","No")</f>
        <v>No</v>
      </c>
      <c r="S1051" s="0" t="n">
        <v>1</v>
      </c>
      <c r="T1051" s="0" t="str">
        <f aca="false">IF(S1051&gt;0,"Yes","No")</f>
        <v>Yes</v>
      </c>
      <c r="U1051" s="0" t="n">
        <v>0</v>
      </c>
      <c r="W1051" s="0" t="str">
        <f aca="false">IF(OR(AND(M1051=1,ISBLANK(V1051)),AND(M1051=0,NOT(ISBLANK(V1051)))),"Yes","No")</f>
        <v>No</v>
      </c>
      <c r="X1051" s="0" t="n">
        <v>43.8</v>
      </c>
      <c r="Y1051" s="3" t="s">
        <v>30</v>
      </c>
      <c r="Z1051" s="0" t="str">
        <f aca="false">IF(M1051=1,P1051,"")</f>
        <v/>
      </c>
    </row>
    <row r="1052" customFormat="false" ht="15" hidden="false" customHeight="false" outlineLevel="0" collapsed="false">
      <c r="A1052" s="0" t="s">
        <v>1096</v>
      </c>
      <c r="B1052" s="2" t="n">
        <v>45716</v>
      </c>
      <c r="C1052" s="3" t="s">
        <v>736</v>
      </c>
      <c r="D1052" s="3" t="s">
        <v>28</v>
      </c>
      <c r="E1052" s="3" t="s">
        <v>35</v>
      </c>
      <c r="F1052" s="3" t="s">
        <v>30</v>
      </c>
      <c r="G1052" s="3" t="s">
        <v>31</v>
      </c>
      <c r="H1052" s="3" t="s">
        <v>30</v>
      </c>
      <c r="I1052" s="3" t="s">
        <v>32</v>
      </c>
      <c r="J1052" s="0" t="n">
        <v>1</v>
      </c>
      <c r="K1052" s="0" t="n">
        <v>1</v>
      </c>
      <c r="L1052" s="0" t="n">
        <v>0</v>
      </c>
      <c r="M1052" s="0" t="n">
        <v>0</v>
      </c>
      <c r="N1052" s="0" t="str">
        <f aca="false">IF(OR(NOT(OR(J1052=0,J1052=1)),NOT(OR(K1052=0,K1052=1)),NOT(OR(L1052=0,L1052=1)),NOT(OR(M1052=0,M1052=1)),NOT(OR(U1052=0,U1052=1))),"Yes","No")</f>
        <v>No</v>
      </c>
      <c r="O1052" s="0" t="str">
        <f aca="false">IF(OR(AND(M1052=1,L1052=0),AND(L1052=1,K1052=0),AND(K1052=1,J1052=0)),"Yes","No")</f>
        <v>No</v>
      </c>
      <c r="P1052" s="0" t="n">
        <v>0</v>
      </c>
      <c r="Q1052" s="0" t="str">
        <f aca="false">IF(OR(AND(M1052=0,P1052&gt;0),AND(M1052=1,P1052&lt;=0)),"Yes","No")</f>
        <v>No</v>
      </c>
      <c r="R1052" s="0" t="str">
        <f aca="false">IF(AND(M1052=1,P1052&gt;calc_helpers!$B$5),"Yes","No")</f>
        <v>No</v>
      </c>
      <c r="S1052" s="0" t="n">
        <v>0</v>
      </c>
      <c r="T1052" s="0" t="str">
        <f aca="false">IF(S1052&gt;0,"Yes","No")</f>
        <v>No</v>
      </c>
      <c r="U1052" s="0" t="n">
        <v>0</v>
      </c>
      <c r="W1052" s="0" t="str">
        <f aca="false">IF(OR(AND(M1052=1,ISBLANK(V1052)),AND(M1052=0,NOT(ISBLANK(V1052)))),"Yes","No")</f>
        <v>No</v>
      </c>
      <c r="X1052" s="0" t="n">
        <v>46.8</v>
      </c>
      <c r="Y1052" s="3" t="s">
        <v>30</v>
      </c>
      <c r="Z1052" s="0" t="str">
        <f aca="false">IF(M1052=1,P1052,"")</f>
        <v/>
      </c>
    </row>
    <row r="1053" customFormat="false" ht="15" hidden="false" customHeight="false" outlineLevel="0" collapsed="false">
      <c r="A1053" s="0" t="s">
        <v>1097</v>
      </c>
      <c r="B1053" s="2" t="n">
        <v>45801</v>
      </c>
      <c r="C1053" s="3" t="s">
        <v>736</v>
      </c>
      <c r="D1053" s="3" t="s">
        <v>39</v>
      </c>
      <c r="E1053" s="3" t="s">
        <v>35</v>
      </c>
      <c r="F1053" s="3" t="s">
        <v>30</v>
      </c>
      <c r="G1053" s="3" t="s">
        <v>52</v>
      </c>
      <c r="H1053" s="3" t="s">
        <v>30</v>
      </c>
      <c r="I1053" s="3" t="s">
        <v>37</v>
      </c>
      <c r="J1053" s="0" t="n">
        <v>1</v>
      </c>
      <c r="K1053" s="0" t="n">
        <v>1</v>
      </c>
      <c r="L1053" s="0" t="n">
        <v>1</v>
      </c>
      <c r="M1053" s="0" t="n">
        <v>0</v>
      </c>
      <c r="N1053" s="0" t="str">
        <f aca="false">IF(OR(NOT(OR(J1053=0,J1053=1)),NOT(OR(K1053=0,K1053=1)),NOT(OR(L1053=0,L1053=1)),NOT(OR(M1053=0,M1053=1)),NOT(OR(U1053=0,U1053=1))),"Yes","No")</f>
        <v>No</v>
      </c>
      <c r="O1053" s="0" t="str">
        <f aca="false">IF(OR(AND(M1053=1,L1053=0),AND(L1053=1,K1053=0),AND(K1053=1,J1053=0)),"Yes","No")</f>
        <v>No</v>
      </c>
      <c r="P1053" s="0" t="n">
        <v>0</v>
      </c>
      <c r="Q1053" s="0" t="str">
        <f aca="false">IF(OR(AND(M1053=0,P1053&gt;0),AND(M1053=1,P1053&lt;=0)),"Yes","No")</f>
        <v>No</v>
      </c>
      <c r="R1053" s="0" t="str">
        <f aca="false">IF(AND(M1053=1,P1053&gt;calc_helpers!$B$5),"Yes","No")</f>
        <v>No</v>
      </c>
      <c r="S1053" s="0" t="n">
        <v>0</v>
      </c>
      <c r="T1053" s="0" t="str">
        <f aca="false">IF(S1053&gt;0,"Yes","No")</f>
        <v>No</v>
      </c>
      <c r="U1053" s="0" t="n">
        <v>0</v>
      </c>
      <c r="W1053" s="0" t="str">
        <f aca="false">IF(OR(AND(M1053=1,ISBLANK(V1053)),AND(M1053=0,NOT(ISBLANK(V1053)))),"Yes","No")</f>
        <v>No</v>
      </c>
      <c r="X1053" s="0" t="n">
        <v>97.4</v>
      </c>
      <c r="Y1053" s="3" t="s">
        <v>30</v>
      </c>
      <c r="Z1053" s="0" t="str">
        <f aca="false">IF(M1053=1,P1053,"")</f>
        <v/>
      </c>
    </row>
    <row r="1054" customFormat="false" ht="15" hidden="false" customHeight="false" outlineLevel="0" collapsed="false">
      <c r="A1054" s="0" t="s">
        <v>1098</v>
      </c>
      <c r="B1054" s="2" t="n">
        <v>45691</v>
      </c>
      <c r="C1054" s="3" t="s">
        <v>736</v>
      </c>
      <c r="D1054" s="3" t="s">
        <v>28</v>
      </c>
      <c r="E1054" s="3" t="s">
        <v>29</v>
      </c>
      <c r="F1054" s="3" t="s">
        <v>30</v>
      </c>
      <c r="G1054" s="3" t="s">
        <v>31</v>
      </c>
      <c r="H1054" s="3" t="s">
        <v>30</v>
      </c>
      <c r="I1054" s="3" t="s">
        <v>37</v>
      </c>
      <c r="J1054" s="0" t="n">
        <v>1</v>
      </c>
      <c r="K1054" s="0" t="n">
        <v>1</v>
      </c>
      <c r="L1054" s="0" t="n">
        <v>1</v>
      </c>
      <c r="M1054" s="0" t="n">
        <v>1</v>
      </c>
      <c r="N1054" s="0" t="str">
        <f aca="false">IF(OR(NOT(OR(J1054=0,J1054=1)),NOT(OR(K1054=0,K1054=1)),NOT(OR(L1054=0,L1054=1)),NOT(OR(M1054=0,M1054=1)),NOT(OR(U1054=0,U1054=1))),"Yes","No")</f>
        <v>No</v>
      </c>
      <c r="O1054" s="0" t="str">
        <f aca="false">IF(OR(AND(M1054=1,L1054=0),AND(L1054=1,K1054=0),AND(K1054=1,J1054=0)),"Yes","No")</f>
        <v>No</v>
      </c>
      <c r="P1054" s="0" t="n">
        <v>268.96</v>
      </c>
      <c r="Q1054" s="0" t="str">
        <f aca="false">IF(OR(AND(M1054=0,P1054&gt;0),AND(M1054=1,P1054&lt;=0)),"Yes","No")</f>
        <v>No</v>
      </c>
      <c r="R1054" s="0" t="str">
        <f aca="false">IF(AND(M1054=1,P1054&gt;calc_helpers!$B$5),"Yes","No")</f>
        <v>No</v>
      </c>
      <c r="S1054" s="0" t="n">
        <v>0</v>
      </c>
      <c r="T1054" s="0" t="str">
        <f aca="false">IF(S1054&gt;0,"Yes","No")</f>
        <v>No</v>
      </c>
      <c r="U1054" s="0" t="n">
        <v>0</v>
      </c>
      <c r="V1054" s="0" t="n">
        <v>14</v>
      </c>
      <c r="W1054" s="0" t="str">
        <f aca="false">IF(OR(AND(M1054=1,ISBLANK(V1054)),AND(M1054=0,NOT(ISBLANK(V1054)))),"Yes","No")</f>
        <v>No</v>
      </c>
      <c r="X1054" s="0" t="n">
        <v>81</v>
      </c>
      <c r="Y1054" s="3" t="s">
        <v>30</v>
      </c>
      <c r="Z1054" s="3" t="n">
        <f aca="false">IF(M1054=1,P1054,"")</f>
        <v>268.96</v>
      </c>
    </row>
    <row r="1055" customFormat="false" ht="15" hidden="false" customHeight="false" outlineLevel="0" collapsed="false">
      <c r="A1055" s="0" t="s">
        <v>1099</v>
      </c>
      <c r="B1055" s="2" t="n">
        <v>45684</v>
      </c>
      <c r="C1055" s="3" t="s">
        <v>736</v>
      </c>
      <c r="D1055" s="3" t="s">
        <v>43</v>
      </c>
      <c r="E1055" s="3" t="s">
        <v>35</v>
      </c>
      <c r="F1055" s="3" t="s">
        <v>30</v>
      </c>
      <c r="G1055" s="3" t="s">
        <v>36</v>
      </c>
      <c r="H1055" s="3" t="s">
        <v>30</v>
      </c>
      <c r="I1055" s="3" t="s">
        <v>37</v>
      </c>
      <c r="J1055" s="0" t="n">
        <v>1</v>
      </c>
      <c r="K1055" s="0" t="n">
        <v>0</v>
      </c>
      <c r="L1055" s="0" t="n">
        <v>0</v>
      </c>
      <c r="M1055" s="0" t="n">
        <v>0</v>
      </c>
      <c r="N1055" s="0" t="str">
        <f aca="false">IF(OR(NOT(OR(J1055=0,J1055=1)),NOT(OR(K1055=0,K1055=1)),NOT(OR(L1055=0,L1055=1)),NOT(OR(M1055=0,M1055=1)),NOT(OR(U1055=0,U1055=1))),"Yes","No")</f>
        <v>No</v>
      </c>
      <c r="O1055" s="0" t="str">
        <f aca="false">IF(OR(AND(M1055=1,L1055=0),AND(L1055=1,K1055=0),AND(K1055=1,J1055=0)),"Yes","No")</f>
        <v>No</v>
      </c>
      <c r="P1055" s="0" t="n">
        <v>0</v>
      </c>
      <c r="Q1055" s="0" t="str">
        <f aca="false">IF(OR(AND(M1055=0,P1055&gt;0),AND(M1055=1,P1055&lt;=0)),"Yes","No")</f>
        <v>No</v>
      </c>
      <c r="R1055" s="0" t="str">
        <f aca="false">IF(AND(M1055=1,P1055&gt;calc_helpers!$B$5),"Yes","No")</f>
        <v>No</v>
      </c>
      <c r="S1055" s="0" t="n">
        <v>1</v>
      </c>
      <c r="T1055" s="0" t="str">
        <f aca="false">IF(S1055&gt;0,"Yes","No")</f>
        <v>Yes</v>
      </c>
      <c r="U1055" s="0" t="n">
        <v>0</v>
      </c>
      <c r="W1055" s="0" t="str">
        <f aca="false">IF(OR(AND(M1055=1,ISBLANK(V1055)),AND(M1055=0,NOT(ISBLANK(V1055)))),"Yes","No")</f>
        <v>No</v>
      </c>
      <c r="X1055" s="0" t="n">
        <v>58.9</v>
      </c>
      <c r="Y1055" s="3" t="s">
        <v>30</v>
      </c>
      <c r="Z1055" s="0" t="str">
        <f aca="false">IF(M1055=1,P1055,"")</f>
        <v/>
      </c>
    </row>
    <row r="1056" customFormat="false" ht="15" hidden="false" customHeight="false" outlineLevel="0" collapsed="false">
      <c r="A1056" s="0" t="s">
        <v>1100</v>
      </c>
      <c r="B1056" s="2" t="n">
        <v>45764</v>
      </c>
      <c r="C1056" s="3" t="s">
        <v>736</v>
      </c>
      <c r="D1056" s="3" t="s">
        <v>39</v>
      </c>
      <c r="E1056" s="3" t="s">
        <v>35</v>
      </c>
      <c r="F1056" s="3" t="s">
        <v>30</v>
      </c>
      <c r="G1056" s="3" t="s">
        <v>36</v>
      </c>
      <c r="H1056" s="3" t="s">
        <v>30</v>
      </c>
      <c r="I1056" s="3" t="s">
        <v>37</v>
      </c>
      <c r="J1056" s="0" t="n">
        <v>1</v>
      </c>
      <c r="K1056" s="0" t="n">
        <v>0</v>
      </c>
      <c r="L1056" s="0" t="n">
        <v>0</v>
      </c>
      <c r="M1056" s="0" t="n">
        <v>0</v>
      </c>
      <c r="N1056" s="0" t="str">
        <f aca="false">IF(OR(NOT(OR(J1056=0,J1056=1)),NOT(OR(K1056=0,K1056=1)),NOT(OR(L1056=0,L1056=1)),NOT(OR(M1056=0,M1056=1)),NOT(OR(U1056=0,U1056=1))),"Yes","No")</f>
        <v>No</v>
      </c>
      <c r="O1056" s="0" t="str">
        <f aca="false">IF(OR(AND(M1056=1,L1056=0),AND(L1056=1,K1056=0),AND(K1056=1,J1056=0)),"Yes","No")</f>
        <v>No</v>
      </c>
      <c r="P1056" s="0" t="n">
        <v>0</v>
      </c>
      <c r="Q1056" s="0" t="str">
        <f aca="false">IF(OR(AND(M1056=0,P1056&gt;0),AND(M1056=1,P1056&lt;=0)),"Yes","No")</f>
        <v>No</v>
      </c>
      <c r="R1056" s="0" t="str">
        <f aca="false">IF(AND(M1056=1,P1056&gt;calc_helpers!$B$5),"Yes","No")</f>
        <v>No</v>
      </c>
      <c r="S1056" s="0" t="n">
        <v>0</v>
      </c>
      <c r="T1056" s="0" t="str">
        <f aca="false">IF(S1056&gt;0,"Yes","No")</f>
        <v>No</v>
      </c>
      <c r="U1056" s="0" t="n">
        <v>0</v>
      </c>
      <c r="W1056" s="0" t="str">
        <f aca="false">IF(OR(AND(M1056=1,ISBLANK(V1056)),AND(M1056=0,NOT(ISBLANK(V1056)))),"Yes","No")</f>
        <v>No</v>
      </c>
      <c r="X1056" s="0" t="n">
        <v>51.9</v>
      </c>
      <c r="Y1056" s="3" t="s">
        <v>30</v>
      </c>
      <c r="Z1056" s="0" t="str">
        <f aca="false">IF(M1056=1,P1056,"")</f>
        <v/>
      </c>
    </row>
    <row r="1057" customFormat="false" ht="15" hidden="false" customHeight="false" outlineLevel="0" collapsed="false">
      <c r="A1057" s="0" t="s">
        <v>1101</v>
      </c>
      <c r="B1057" s="2" t="n">
        <v>45694</v>
      </c>
      <c r="C1057" s="3" t="s">
        <v>736</v>
      </c>
      <c r="D1057" s="3" t="s">
        <v>34</v>
      </c>
      <c r="E1057" s="3" t="s">
        <v>35</v>
      </c>
      <c r="F1057" s="3" t="s">
        <v>30</v>
      </c>
      <c r="G1057" s="3" t="s">
        <v>52</v>
      </c>
      <c r="H1057" s="3" t="s">
        <v>30</v>
      </c>
      <c r="I1057" s="3" t="s">
        <v>37</v>
      </c>
      <c r="J1057" s="0" t="n">
        <v>1</v>
      </c>
      <c r="K1057" s="0" t="n">
        <v>1</v>
      </c>
      <c r="L1057" s="0" t="n">
        <v>0</v>
      </c>
      <c r="M1057" s="0" t="n">
        <v>0</v>
      </c>
      <c r="N1057" s="0" t="str">
        <f aca="false">IF(OR(NOT(OR(J1057=0,J1057=1)),NOT(OR(K1057=0,K1057=1)),NOT(OR(L1057=0,L1057=1)),NOT(OR(M1057=0,M1057=1)),NOT(OR(U1057=0,U1057=1))),"Yes","No")</f>
        <v>No</v>
      </c>
      <c r="O1057" s="0" t="str">
        <f aca="false">IF(OR(AND(M1057=1,L1057=0),AND(L1057=1,K1057=0),AND(K1057=1,J1057=0)),"Yes","No")</f>
        <v>No</v>
      </c>
      <c r="P1057" s="0" t="n">
        <v>0</v>
      </c>
      <c r="Q1057" s="0" t="str">
        <f aca="false">IF(OR(AND(M1057=0,P1057&gt;0),AND(M1057=1,P1057&lt;=0)),"Yes","No")</f>
        <v>No</v>
      </c>
      <c r="R1057" s="0" t="str">
        <f aca="false">IF(AND(M1057=1,P1057&gt;calc_helpers!$B$5),"Yes","No")</f>
        <v>No</v>
      </c>
      <c r="S1057" s="0" t="n">
        <v>0</v>
      </c>
      <c r="T1057" s="0" t="str">
        <f aca="false">IF(S1057&gt;0,"Yes","No")</f>
        <v>No</v>
      </c>
      <c r="U1057" s="0" t="n">
        <v>0</v>
      </c>
      <c r="W1057" s="0" t="str">
        <f aca="false">IF(OR(AND(M1057=1,ISBLANK(V1057)),AND(M1057=0,NOT(ISBLANK(V1057)))),"Yes","No")</f>
        <v>No</v>
      </c>
      <c r="X1057" s="0" t="n">
        <v>61.7</v>
      </c>
      <c r="Y1057" s="3" t="s">
        <v>30</v>
      </c>
      <c r="Z1057" s="0" t="str">
        <f aca="false">IF(M1057=1,P1057,"")</f>
        <v/>
      </c>
    </row>
    <row r="1058" customFormat="false" ht="15" hidden="false" customHeight="false" outlineLevel="0" collapsed="false">
      <c r="A1058" s="0" t="s">
        <v>1102</v>
      </c>
      <c r="B1058" s="2" t="n">
        <v>45767</v>
      </c>
      <c r="C1058" s="3" t="s">
        <v>736</v>
      </c>
      <c r="D1058" s="3" t="s">
        <v>43</v>
      </c>
      <c r="E1058" s="3" t="s">
        <v>35</v>
      </c>
      <c r="F1058" s="3" t="s">
        <v>30</v>
      </c>
      <c r="G1058" s="3" t="s">
        <v>40</v>
      </c>
      <c r="H1058" s="3" t="s">
        <v>30</v>
      </c>
      <c r="I1058" s="3" t="s">
        <v>37</v>
      </c>
      <c r="J1058" s="0" t="n">
        <v>1</v>
      </c>
      <c r="K1058" s="0" t="n">
        <v>0</v>
      </c>
      <c r="L1058" s="0" t="n">
        <v>0</v>
      </c>
      <c r="M1058" s="0" t="n">
        <v>0</v>
      </c>
      <c r="N1058" s="0" t="str">
        <f aca="false">IF(OR(NOT(OR(J1058=0,J1058=1)),NOT(OR(K1058=0,K1058=1)),NOT(OR(L1058=0,L1058=1)),NOT(OR(M1058=0,M1058=1)),NOT(OR(U1058=0,U1058=1))),"Yes","No")</f>
        <v>No</v>
      </c>
      <c r="O1058" s="0" t="str">
        <f aca="false">IF(OR(AND(M1058=1,L1058=0),AND(L1058=1,K1058=0),AND(K1058=1,J1058=0)),"Yes","No")</f>
        <v>No</v>
      </c>
      <c r="P1058" s="0" t="n">
        <v>0</v>
      </c>
      <c r="Q1058" s="0" t="str">
        <f aca="false">IF(OR(AND(M1058=0,P1058&gt;0),AND(M1058=1,P1058&lt;=0)),"Yes","No")</f>
        <v>No</v>
      </c>
      <c r="R1058" s="0" t="str">
        <f aca="false">IF(AND(M1058=1,P1058&gt;calc_helpers!$B$5),"Yes","No")</f>
        <v>No</v>
      </c>
      <c r="S1058" s="0" t="n">
        <v>0</v>
      </c>
      <c r="T1058" s="0" t="str">
        <f aca="false">IF(S1058&gt;0,"Yes","No")</f>
        <v>No</v>
      </c>
      <c r="U1058" s="0" t="n">
        <v>0</v>
      </c>
      <c r="W1058" s="0" t="str">
        <f aca="false">IF(OR(AND(M1058=1,ISBLANK(V1058)),AND(M1058=0,NOT(ISBLANK(V1058)))),"Yes","No")</f>
        <v>No</v>
      </c>
      <c r="X1058" s="0" t="n">
        <v>44.7</v>
      </c>
      <c r="Y1058" s="3" t="s">
        <v>30</v>
      </c>
      <c r="Z1058" s="0" t="str">
        <f aca="false">IF(M1058=1,P1058,"")</f>
        <v/>
      </c>
    </row>
    <row r="1059" customFormat="false" ht="15" hidden="false" customHeight="false" outlineLevel="0" collapsed="false">
      <c r="A1059" s="0" t="s">
        <v>1103</v>
      </c>
      <c r="B1059" s="2" t="n">
        <v>45783</v>
      </c>
      <c r="C1059" s="3" t="s">
        <v>736</v>
      </c>
      <c r="D1059" s="3" t="s">
        <v>28</v>
      </c>
      <c r="E1059" s="3" t="s">
        <v>35</v>
      </c>
      <c r="F1059" s="3" t="s">
        <v>30</v>
      </c>
      <c r="G1059" s="3" t="s">
        <v>40</v>
      </c>
      <c r="H1059" s="3" t="s">
        <v>30</v>
      </c>
      <c r="I1059" s="3" t="s">
        <v>32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str">
        <f aca="false">IF(OR(NOT(OR(J1059=0,J1059=1)),NOT(OR(K1059=0,K1059=1)),NOT(OR(L1059=0,L1059=1)),NOT(OR(M1059=0,M1059=1)),NOT(OR(U1059=0,U1059=1))),"Yes","No")</f>
        <v>No</v>
      </c>
      <c r="O1059" s="0" t="str">
        <f aca="false">IF(OR(AND(M1059=1,L1059=0),AND(L1059=1,K1059=0),AND(K1059=1,J1059=0)),"Yes","No")</f>
        <v>No</v>
      </c>
      <c r="P1059" s="0" t="n">
        <v>0</v>
      </c>
      <c r="Q1059" s="0" t="str">
        <f aca="false">IF(OR(AND(M1059=0,P1059&gt;0),AND(M1059=1,P1059&lt;=0)),"Yes","No")</f>
        <v>No</v>
      </c>
      <c r="R1059" s="0" t="str">
        <f aca="false">IF(AND(M1059=1,P1059&gt;calc_helpers!$B$5),"Yes","No")</f>
        <v>No</v>
      </c>
      <c r="S1059" s="0" t="n">
        <v>0</v>
      </c>
      <c r="T1059" s="0" t="str">
        <f aca="false">IF(S1059&gt;0,"Yes","No")</f>
        <v>No</v>
      </c>
      <c r="U1059" s="0" t="n">
        <v>0</v>
      </c>
      <c r="W1059" s="0" t="str">
        <f aca="false">IF(OR(AND(M1059=1,ISBLANK(V1059)),AND(M1059=0,NOT(ISBLANK(V1059)))),"Yes","No")</f>
        <v>No</v>
      </c>
      <c r="X1059" s="0" t="n">
        <v>63.2</v>
      </c>
      <c r="Y1059" s="3" t="s">
        <v>30</v>
      </c>
      <c r="Z1059" s="0" t="str">
        <f aca="false">IF(M1059=1,P1059,"")</f>
        <v/>
      </c>
    </row>
    <row r="1060" customFormat="false" ht="15" hidden="false" customHeight="false" outlineLevel="0" collapsed="false">
      <c r="A1060" s="0" t="s">
        <v>1104</v>
      </c>
      <c r="B1060" s="2" t="n">
        <v>45793</v>
      </c>
      <c r="C1060" s="3" t="s">
        <v>736</v>
      </c>
      <c r="D1060" s="3" t="s">
        <v>43</v>
      </c>
      <c r="E1060" s="3" t="s">
        <v>35</v>
      </c>
      <c r="F1060" s="3" t="s">
        <v>30</v>
      </c>
      <c r="G1060" s="3" t="s">
        <v>36</v>
      </c>
      <c r="H1060" s="3" t="s">
        <v>30</v>
      </c>
      <c r="I1060" s="3" t="s">
        <v>37</v>
      </c>
      <c r="J1060" s="0" t="n">
        <v>1</v>
      </c>
      <c r="K1060" s="0" t="n">
        <v>0</v>
      </c>
      <c r="L1060" s="0" t="n">
        <v>0</v>
      </c>
      <c r="M1060" s="0" t="n">
        <v>0</v>
      </c>
      <c r="N1060" s="0" t="str">
        <f aca="false">IF(OR(NOT(OR(J1060=0,J1060=1)),NOT(OR(K1060=0,K1060=1)),NOT(OR(L1060=0,L1060=1)),NOT(OR(M1060=0,M1060=1)),NOT(OR(U1060=0,U1060=1))),"Yes","No")</f>
        <v>No</v>
      </c>
      <c r="O1060" s="0" t="str">
        <f aca="false">IF(OR(AND(M1060=1,L1060=0),AND(L1060=1,K1060=0),AND(K1060=1,J1060=0)),"Yes","No")</f>
        <v>No</v>
      </c>
      <c r="P1060" s="0" t="n">
        <v>0</v>
      </c>
      <c r="Q1060" s="0" t="str">
        <f aca="false">IF(OR(AND(M1060=0,P1060&gt;0),AND(M1060=1,P1060&lt;=0)),"Yes","No")</f>
        <v>No</v>
      </c>
      <c r="R1060" s="0" t="str">
        <f aca="false">IF(AND(M1060=1,P1060&gt;calc_helpers!$B$5),"Yes","No")</f>
        <v>No</v>
      </c>
      <c r="S1060" s="0" t="n">
        <v>0</v>
      </c>
      <c r="T1060" s="0" t="str">
        <f aca="false">IF(S1060&gt;0,"Yes","No")</f>
        <v>No</v>
      </c>
      <c r="U1060" s="0" t="n">
        <v>0</v>
      </c>
      <c r="W1060" s="0" t="str">
        <f aca="false">IF(OR(AND(M1060=1,ISBLANK(V1060)),AND(M1060=0,NOT(ISBLANK(V1060)))),"Yes","No")</f>
        <v>No</v>
      </c>
      <c r="X1060" s="0" t="n">
        <v>70.3</v>
      </c>
      <c r="Y1060" s="3" t="s">
        <v>30</v>
      </c>
      <c r="Z1060" s="0" t="str">
        <f aca="false">IF(M1060=1,P1060,"")</f>
        <v/>
      </c>
    </row>
    <row r="1061" customFormat="false" ht="15" hidden="false" customHeight="false" outlineLevel="0" collapsed="false">
      <c r="A1061" s="0" t="s">
        <v>1105</v>
      </c>
      <c r="B1061" s="2" t="n">
        <v>45718</v>
      </c>
      <c r="C1061" s="3" t="s">
        <v>736</v>
      </c>
      <c r="D1061" s="3" t="s">
        <v>43</v>
      </c>
      <c r="E1061" s="3" t="s">
        <v>35</v>
      </c>
      <c r="F1061" s="3" t="s">
        <v>30</v>
      </c>
      <c r="G1061" s="3" t="s">
        <v>40</v>
      </c>
      <c r="H1061" s="3" t="s">
        <v>30</v>
      </c>
      <c r="I1061" s="3" t="s">
        <v>41</v>
      </c>
      <c r="J1061" s="0" t="n">
        <v>1</v>
      </c>
      <c r="K1061" s="0" t="n">
        <v>1</v>
      </c>
      <c r="L1061" s="0" t="n">
        <v>0</v>
      </c>
      <c r="M1061" s="0" t="n">
        <v>0</v>
      </c>
      <c r="N1061" s="0" t="str">
        <f aca="false">IF(OR(NOT(OR(J1061=0,J1061=1)),NOT(OR(K1061=0,K1061=1)),NOT(OR(L1061=0,L1061=1)),NOT(OR(M1061=0,M1061=1)),NOT(OR(U1061=0,U1061=1))),"Yes","No")</f>
        <v>No</v>
      </c>
      <c r="O1061" s="0" t="str">
        <f aca="false">IF(OR(AND(M1061=1,L1061=0),AND(L1061=1,K1061=0),AND(K1061=1,J1061=0)),"Yes","No")</f>
        <v>No</v>
      </c>
      <c r="P1061" s="0" t="n">
        <v>0</v>
      </c>
      <c r="Q1061" s="0" t="str">
        <f aca="false">IF(OR(AND(M1061=0,P1061&gt;0),AND(M1061=1,P1061&lt;=0)),"Yes","No")</f>
        <v>No</v>
      </c>
      <c r="R1061" s="0" t="str">
        <f aca="false">IF(AND(M1061=1,P1061&gt;calc_helpers!$B$5),"Yes","No")</f>
        <v>No</v>
      </c>
      <c r="S1061" s="0" t="n">
        <v>1</v>
      </c>
      <c r="T1061" s="0" t="str">
        <f aca="false">IF(S1061&gt;0,"Yes","No")</f>
        <v>Yes</v>
      </c>
      <c r="U1061" s="0" t="n">
        <v>0</v>
      </c>
      <c r="W1061" s="0" t="str">
        <f aca="false">IF(OR(AND(M1061=1,ISBLANK(V1061)),AND(M1061=0,NOT(ISBLANK(V1061)))),"Yes","No")</f>
        <v>No</v>
      </c>
      <c r="X1061" s="0" t="n">
        <v>83.1</v>
      </c>
      <c r="Y1061" s="3" t="s">
        <v>30</v>
      </c>
      <c r="Z1061" s="0" t="str">
        <f aca="false">IF(M1061=1,P1061,"")</f>
        <v/>
      </c>
    </row>
    <row r="1062" customFormat="false" ht="15" hidden="false" customHeight="false" outlineLevel="0" collapsed="false">
      <c r="A1062" s="0" t="s">
        <v>1106</v>
      </c>
      <c r="B1062" s="2" t="n">
        <v>45756</v>
      </c>
      <c r="C1062" s="3" t="s">
        <v>736</v>
      </c>
      <c r="D1062" s="3" t="s">
        <v>34</v>
      </c>
      <c r="E1062" s="3" t="s">
        <v>35</v>
      </c>
      <c r="F1062" s="3" t="s">
        <v>30</v>
      </c>
      <c r="G1062" s="3" t="s">
        <v>52</v>
      </c>
      <c r="H1062" s="3" t="s">
        <v>30</v>
      </c>
      <c r="I1062" s="3" t="s">
        <v>37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str">
        <f aca="false">IF(OR(NOT(OR(J1062=0,J1062=1)),NOT(OR(K1062=0,K1062=1)),NOT(OR(L1062=0,L1062=1)),NOT(OR(M1062=0,M1062=1)),NOT(OR(U1062=0,U1062=1))),"Yes","No")</f>
        <v>No</v>
      </c>
      <c r="O1062" s="0" t="str">
        <f aca="false">IF(OR(AND(M1062=1,L1062=0),AND(L1062=1,K1062=0),AND(K1062=1,J1062=0)),"Yes","No")</f>
        <v>No</v>
      </c>
      <c r="P1062" s="0" t="n">
        <v>0</v>
      </c>
      <c r="Q1062" s="0" t="str">
        <f aca="false">IF(OR(AND(M1062=0,P1062&gt;0),AND(M1062=1,P1062&lt;=0)),"Yes","No")</f>
        <v>No</v>
      </c>
      <c r="R1062" s="0" t="str">
        <f aca="false">IF(AND(M1062=1,P1062&gt;calc_helpers!$B$5),"Yes","No")</f>
        <v>No</v>
      </c>
      <c r="S1062" s="0" t="n">
        <v>0</v>
      </c>
      <c r="T1062" s="0" t="str">
        <f aca="false">IF(S1062&gt;0,"Yes","No")</f>
        <v>No</v>
      </c>
      <c r="U1062" s="0" t="n">
        <v>0</v>
      </c>
      <c r="W1062" s="0" t="str">
        <f aca="false">IF(OR(AND(M1062=1,ISBLANK(V1062)),AND(M1062=0,NOT(ISBLANK(V1062)))),"Yes","No")</f>
        <v>No</v>
      </c>
      <c r="X1062" s="0" t="n">
        <v>50.3</v>
      </c>
      <c r="Y1062" s="3" t="s">
        <v>30</v>
      </c>
      <c r="Z1062" s="0" t="str">
        <f aca="false">IF(M1062=1,P1062,"")</f>
        <v/>
      </c>
    </row>
    <row r="1063" customFormat="false" ht="15" hidden="false" customHeight="false" outlineLevel="0" collapsed="false">
      <c r="A1063" s="0" t="s">
        <v>1107</v>
      </c>
      <c r="B1063" s="2" t="n">
        <v>45683</v>
      </c>
      <c r="C1063" s="3" t="s">
        <v>736</v>
      </c>
      <c r="D1063" s="3" t="s">
        <v>39</v>
      </c>
      <c r="E1063" s="3" t="s">
        <v>35</v>
      </c>
      <c r="F1063" s="3" t="s">
        <v>30</v>
      </c>
      <c r="G1063" s="3" t="s">
        <v>40</v>
      </c>
      <c r="H1063" s="3" t="s">
        <v>30</v>
      </c>
      <c r="I1063" s="3" t="s">
        <v>37</v>
      </c>
      <c r="J1063" s="0" t="n">
        <v>1</v>
      </c>
      <c r="K1063" s="0" t="n">
        <v>1</v>
      </c>
      <c r="L1063" s="0" t="n">
        <v>1</v>
      </c>
      <c r="M1063" s="0" t="n">
        <v>1</v>
      </c>
      <c r="N1063" s="0" t="str">
        <f aca="false">IF(OR(NOT(OR(J1063=0,J1063=1)),NOT(OR(K1063=0,K1063=1)),NOT(OR(L1063=0,L1063=1)),NOT(OR(M1063=0,M1063=1)),NOT(OR(U1063=0,U1063=1))),"Yes","No")</f>
        <v>No</v>
      </c>
      <c r="O1063" s="0" t="str">
        <f aca="false">IF(OR(AND(M1063=1,L1063=0),AND(L1063=1,K1063=0),AND(K1063=1,J1063=0)),"Yes","No")</f>
        <v>No</v>
      </c>
      <c r="P1063" s="0" t="n">
        <v>437.09</v>
      </c>
      <c r="Q1063" s="0" t="str">
        <f aca="false">IF(OR(AND(M1063=0,P1063&gt;0),AND(M1063=1,P1063&lt;=0)),"Yes","No")</f>
        <v>No</v>
      </c>
      <c r="R1063" s="0" t="str">
        <f aca="false">IF(AND(M1063=1,P1063&gt;calc_helpers!$B$5),"Yes","No")</f>
        <v>No</v>
      </c>
      <c r="S1063" s="0" t="n">
        <v>2</v>
      </c>
      <c r="T1063" s="0" t="str">
        <f aca="false">IF(S1063&gt;0,"Yes","No")</f>
        <v>Yes</v>
      </c>
      <c r="U1063" s="0" t="n">
        <v>1</v>
      </c>
      <c r="V1063" s="0" t="n">
        <v>1</v>
      </c>
      <c r="W1063" s="0" t="str">
        <f aca="false">IF(OR(AND(M1063=1,ISBLANK(V1063)),AND(M1063=0,NOT(ISBLANK(V1063)))),"Yes","No")</f>
        <v>No</v>
      </c>
      <c r="X1063" s="0" t="n">
        <v>58.2</v>
      </c>
      <c r="Y1063" s="3" t="s">
        <v>30</v>
      </c>
      <c r="Z1063" s="3" t="n">
        <f aca="false">IF(M1063=1,P1063,"")</f>
        <v>437.09</v>
      </c>
    </row>
    <row r="1064" customFormat="false" ht="15" hidden="false" customHeight="false" outlineLevel="0" collapsed="false">
      <c r="A1064" s="0" t="s">
        <v>1108</v>
      </c>
      <c r="B1064" s="2" t="n">
        <v>45713</v>
      </c>
      <c r="C1064" s="3" t="s">
        <v>736</v>
      </c>
      <c r="D1064" s="3" t="s">
        <v>43</v>
      </c>
      <c r="E1064" s="3" t="s">
        <v>35</v>
      </c>
      <c r="F1064" s="3" t="s">
        <v>30</v>
      </c>
      <c r="G1064" s="3" t="s">
        <v>40</v>
      </c>
      <c r="H1064" s="3" t="s">
        <v>30</v>
      </c>
      <c r="I1064" s="3" t="s">
        <v>32</v>
      </c>
      <c r="J1064" s="0" t="n">
        <v>1</v>
      </c>
      <c r="K1064" s="0" t="n">
        <v>1</v>
      </c>
      <c r="L1064" s="0" t="n">
        <v>1</v>
      </c>
      <c r="M1064" s="0" t="n">
        <v>0</v>
      </c>
      <c r="N1064" s="0" t="str">
        <f aca="false">IF(OR(NOT(OR(J1064=0,J1064=1)),NOT(OR(K1064=0,K1064=1)),NOT(OR(L1064=0,L1064=1)),NOT(OR(M1064=0,M1064=1)),NOT(OR(U1064=0,U1064=1))),"Yes","No")</f>
        <v>No</v>
      </c>
      <c r="O1064" s="0" t="str">
        <f aca="false">IF(OR(AND(M1064=1,L1064=0),AND(L1064=1,K1064=0),AND(K1064=1,J1064=0)),"Yes","No")</f>
        <v>No</v>
      </c>
      <c r="P1064" s="0" t="n">
        <v>0</v>
      </c>
      <c r="Q1064" s="0" t="str">
        <f aca="false">IF(OR(AND(M1064=0,P1064&gt;0),AND(M1064=1,P1064&lt;=0)),"Yes","No")</f>
        <v>No</v>
      </c>
      <c r="R1064" s="0" t="str">
        <f aca="false">IF(AND(M1064=1,P1064&gt;calc_helpers!$B$5),"Yes","No")</f>
        <v>No</v>
      </c>
      <c r="S1064" s="0" t="n">
        <v>0</v>
      </c>
      <c r="T1064" s="0" t="str">
        <f aca="false">IF(S1064&gt;0,"Yes","No")</f>
        <v>No</v>
      </c>
      <c r="U1064" s="0" t="n">
        <v>0</v>
      </c>
      <c r="W1064" s="0" t="str">
        <f aca="false">IF(OR(AND(M1064=1,ISBLANK(V1064)),AND(M1064=0,NOT(ISBLANK(V1064)))),"Yes","No")</f>
        <v>No</v>
      </c>
      <c r="X1064" s="0" t="n">
        <v>53.2</v>
      </c>
      <c r="Y1064" s="3" t="s">
        <v>30</v>
      </c>
      <c r="Z1064" s="0" t="str">
        <f aca="false">IF(M1064=1,P1064,"")</f>
        <v/>
      </c>
    </row>
    <row r="1065" customFormat="false" ht="15" hidden="false" customHeight="false" outlineLevel="0" collapsed="false">
      <c r="A1065" s="0" t="s">
        <v>1109</v>
      </c>
      <c r="B1065" s="2" t="n">
        <v>45664</v>
      </c>
      <c r="C1065" s="3" t="s">
        <v>736</v>
      </c>
      <c r="D1065" s="3" t="s">
        <v>39</v>
      </c>
      <c r="E1065" s="3" t="s">
        <v>35</v>
      </c>
      <c r="F1065" s="3" t="s">
        <v>30</v>
      </c>
      <c r="G1065" s="3" t="s">
        <v>36</v>
      </c>
      <c r="H1065" s="3" t="s">
        <v>30</v>
      </c>
      <c r="I1065" s="3" t="s">
        <v>41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str">
        <f aca="false">IF(OR(NOT(OR(J1065=0,J1065=1)),NOT(OR(K1065=0,K1065=1)),NOT(OR(L1065=0,L1065=1)),NOT(OR(M1065=0,M1065=1)),NOT(OR(U1065=0,U1065=1))),"Yes","No")</f>
        <v>No</v>
      </c>
      <c r="O1065" s="0" t="str">
        <f aca="false">IF(OR(AND(M1065=1,L1065=0),AND(L1065=1,K1065=0),AND(K1065=1,J1065=0)),"Yes","No")</f>
        <v>No</v>
      </c>
      <c r="P1065" s="0" t="n">
        <v>0</v>
      </c>
      <c r="Q1065" s="0" t="str">
        <f aca="false">IF(OR(AND(M1065=0,P1065&gt;0),AND(M1065=1,P1065&lt;=0)),"Yes","No")</f>
        <v>No</v>
      </c>
      <c r="R1065" s="0" t="str">
        <f aca="false">IF(AND(M1065=1,P1065&gt;calc_helpers!$B$5),"Yes","No")</f>
        <v>No</v>
      </c>
      <c r="S1065" s="0" t="n">
        <v>0</v>
      </c>
      <c r="T1065" s="0" t="str">
        <f aca="false">IF(S1065&gt;0,"Yes","No")</f>
        <v>No</v>
      </c>
      <c r="U1065" s="0" t="n">
        <v>0</v>
      </c>
      <c r="W1065" s="0" t="str">
        <f aca="false">IF(OR(AND(M1065=1,ISBLANK(V1065)),AND(M1065=0,NOT(ISBLANK(V1065)))),"Yes","No")</f>
        <v>No</v>
      </c>
      <c r="X1065" s="0" t="n">
        <v>36.4</v>
      </c>
      <c r="Y1065" s="3" t="s">
        <v>30</v>
      </c>
      <c r="Z1065" s="0" t="str">
        <f aca="false">IF(M1065=1,P1065,"")</f>
        <v/>
      </c>
    </row>
    <row r="1066" customFormat="false" ht="15" hidden="false" customHeight="false" outlineLevel="0" collapsed="false">
      <c r="A1066" s="0" t="s">
        <v>1110</v>
      </c>
      <c r="B1066" s="2" t="n">
        <v>45724</v>
      </c>
      <c r="C1066" s="3" t="s">
        <v>736</v>
      </c>
      <c r="D1066" s="3" t="s">
        <v>43</v>
      </c>
      <c r="E1066" s="3" t="s">
        <v>35</v>
      </c>
      <c r="F1066" s="3" t="s">
        <v>30</v>
      </c>
      <c r="G1066" s="3" t="s">
        <v>52</v>
      </c>
      <c r="H1066" s="3" t="s">
        <v>30</v>
      </c>
      <c r="I1066" s="3" t="s">
        <v>32</v>
      </c>
      <c r="J1066" s="0" t="n">
        <v>1</v>
      </c>
      <c r="K1066" s="0" t="n">
        <v>1</v>
      </c>
      <c r="L1066" s="0" t="n">
        <v>1</v>
      </c>
      <c r="M1066" s="0" t="n">
        <v>0</v>
      </c>
      <c r="N1066" s="0" t="str">
        <f aca="false">IF(OR(NOT(OR(J1066=0,J1066=1)),NOT(OR(K1066=0,K1066=1)),NOT(OR(L1066=0,L1066=1)),NOT(OR(M1066=0,M1066=1)),NOT(OR(U1066=0,U1066=1))),"Yes","No")</f>
        <v>No</v>
      </c>
      <c r="O1066" s="0" t="str">
        <f aca="false">IF(OR(AND(M1066=1,L1066=0),AND(L1066=1,K1066=0),AND(K1066=1,J1066=0)),"Yes","No")</f>
        <v>No</v>
      </c>
      <c r="P1066" s="0" t="n">
        <v>0</v>
      </c>
      <c r="Q1066" s="0" t="str">
        <f aca="false">IF(OR(AND(M1066=0,P1066&gt;0),AND(M1066=1,P1066&lt;=0)),"Yes","No")</f>
        <v>No</v>
      </c>
      <c r="R1066" s="0" t="str">
        <f aca="false">IF(AND(M1066=1,P1066&gt;calc_helpers!$B$5),"Yes","No")</f>
        <v>No</v>
      </c>
      <c r="S1066" s="0" t="n">
        <v>0</v>
      </c>
      <c r="T1066" s="0" t="str">
        <f aca="false">IF(S1066&gt;0,"Yes","No")</f>
        <v>No</v>
      </c>
      <c r="U1066" s="0" t="n">
        <v>0</v>
      </c>
      <c r="W1066" s="0" t="str">
        <f aca="false">IF(OR(AND(M1066=1,ISBLANK(V1066)),AND(M1066=0,NOT(ISBLANK(V1066)))),"Yes","No")</f>
        <v>No</v>
      </c>
      <c r="X1066" s="0" t="n">
        <v>72.7</v>
      </c>
      <c r="Y1066" s="3" t="s">
        <v>30</v>
      </c>
      <c r="Z1066" s="0" t="str">
        <f aca="false">IF(M1066=1,P1066,"")</f>
        <v/>
      </c>
    </row>
    <row r="1067" customFormat="false" ht="15" hidden="false" customHeight="false" outlineLevel="0" collapsed="false">
      <c r="A1067" s="0" t="s">
        <v>1111</v>
      </c>
      <c r="B1067" s="2" t="n">
        <v>45799</v>
      </c>
      <c r="C1067" s="3" t="s">
        <v>736</v>
      </c>
      <c r="D1067" s="3" t="s">
        <v>39</v>
      </c>
      <c r="E1067" s="3" t="s">
        <v>35</v>
      </c>
      <c r="F1067" s="3" t="s">
        <v>30</v>
      </c>
      <c r="G1067" s="3" t="s">
        <v>50</v>
      </c>
      <c r="H1067" s="3" t="s">
        <v>30</v>
      </c>
      <c r="I1067" s="3" t="s">
        <v>37</v>
      </c>
      <c r="J1067" s="0" t="n">
        <v>1</v>
      </c>
      <c r="K1067" s="0" t="n">
        <v>0</v>
      </c>
      <c r="L1067" s="0" t="n">
        <v>0</v>
      </c>
      <c r="M1067" s="0" t="n">
        <v>0</v>
      </c>
      <c r="N1067" s="0" t="str">
        <f aca="false">IF(OR(NOT(OR(J1067=0,J1067=1)),NOT(OR(K1067=0,K1067=1)),NOT(OR(L1067=0,L1067=1)),NOT(OR(M1067=0,M1067=1)),NOT(OR(U1067=0,U1067=1))),"Yes","No")</f>
        <v>No</v>
      </c>
      <c r="O1067" s="0" t="str">
        <f aca="false">IF(OR(AND(M1067=1,L1067=0),AND(L1067=1,K1067=0),AND(K1067=1,J1067=0)),"Yes","No")</f>
        <v>No</v>
      </c>
      <c r="P1067" s="0" t="n">
        <v>0</v>
      </c>
      <c r="Q1067" s="0" t="str">
        <f aca="false">IF(OR(AND(M1067=0,P1067&gt;0),AND(M1067=1,P1067&lt;=0)),"Yes","No")</f>
        <v>No</v>
      </c>
      <c r="R1067" s="0" t="str">
        <f aca="false">IF(AND(M1067=1,P1067&gt;calc_helpers!$B$5),"Yes","No")</f>
        <v>No</v>
      </c>
      <c r="S1067" s="0" t="n">
        <v>1</v>
      </c>
      <c r="T1067" s="0" t="str">
        <f aca="false">IF(S1067&gt;0,"Yes","No")</f>
        <v>Yes</v>
      </c>
      <c r="U1067" s="0" t="n">
        <v>0</v>
      </c>
      <c r="W1067" s="0" t="str">
        <f aca="false">IF(OR(AND(M1067=1,ISBLANK(V1067)),AND(M1067=0,NOT(ISBLANK(V1067)))),"Yes","No")</f>
        <v>No</v>
      </c>
      <c r="X1067" s="0" t="n">
        <v>86.7</v>
      </c>
      <c r="Y1067" s="3" t="s">
        <v>30</v>
      </c>
      <c r="Z1067" s="0" t="str">
        <f aca="false">IF(M1067=1,P1067,"")</f>
        <v/>
      </c>
    </row>
    <row r="1068" customFormat="false" ht="15" hidden="false" customHeight="false" outlineLevel="0" collapsed="false">
      <c r="A1068" s="0" t="s">
        <v>1112</v>
      </c>
      <c r="B1068" s="2" t="n">
        <v>45765</v>
      </c>
      <c r="C1068" s="3" t="s">
        <v>736</v>
      </c>
      <c r="D1068" s="3" t="s">
        <v>39</v>
      </c>
      <c r="E1068" s="3" t="s">
        <v>35</v>
      </c>
      <c r="F1068" s="3" t="s">
        <v>30</v>
      </c>
      <c r="G1068" s="3" t="s">
        <v>40</v>
      </c>
      <c r="H1068" s="3" t="s">
        <v>30</v>
      </c>
      <c r="I1068" s="3" t="s">
        <v>41</v>
      </c>
      <c r="J1068" s="0" t="n">
        <v>1</v>
      </c>
      <c r="K1068" s="0" t="n">
        <v>0</v>
      </c>
      <c r="L1068" s="0" t="n">
        <v>0</v>
      </c>
      <c r="M1068" s="0" t="n">
        <v>0</v>
      </c>
      <c r="N1068" s="0" t="str">
        <f aca="false">IF(OR(NOT(OR(J1068=0,J1068=1)),NOT(OR(K1068=0,K1068=1)),NOT(OR(L1068=0,L1068=1)),NOT(OR(M1068=0,M1068=1)),NOT(OR(U1068=0,U1068=1))),"Yes","No")</f>
        <v>No</v>
      </c>
      <c r="O1068" s="0" t="str">
        <f aca="false">IF(OR(AND(M1068=1,L1068=0),AND(L1068=1,K1068=0),AND(K1068=1,J1068=0)),"Yes","No")</f>
        <v>No</v>
      </c>
      <c r="P1068" s="0" t="n">
        <v>0</v>
      </c>
      <c r="Q1068" s="0" t="str">
        <f aca="false">IF(OR(AND(M1068=0,P1068&gt;0),AND(M1068=1,P1068&lt;=0)),"Yes","No")</f>
        <v>No</v>
      </c>
      <c r="R1068" s="0" t="str">
        <f aca="false">IF(AND(M1068=1,P1068&gt;calc_helpers!$B$5),"Yes","No")</f>
        <v>No</v>
      </c>
      <c r="S1068" s="0" t="n">
        <v>0</v>
      </c>
      <c r="T1068" s="0" t="str">
        <f aca="false">IF(S1068&gt;0,"Yes","No")</f>
        <v>No</v>
      </c>
      <c r="U1068" s="0" t="n">
        <v>0</v>
      </c>
      <c r="W1068" s="0" t="str">
        <f aca="false">IF(OR(AND(M1068=1,ISBLANK(V1068)),AND(M1068=0,NOT(ISBLANK(V1068)))),"Yes","No")</f>
        <v>No</v>
      </c>
      <c r="X1068" s="0" t="n">
        <v>48.2</v>
      </c>
      <c r="Y1068" s="3" t="s">
        <v>30</v>
      </c>
      <c r="Z1068" s="0" t="str">
        <f aca="false">IF(M1068=1,P1068,"")</f>
        <v/>
      </c>
    </row>
    <row r="1069" customFormat="false" ht="15" hidden="false" customHeight="false" outlineLevel="0" collapsed="false">
      <c r="A1069" s="0" t="s">
        <v>1113</v>
      </c>
      <c r="B1069" s="2" t="n">
        <v>45712</v>
      </c>
      <c r="C1069" s="3" t="s">
        <v>736</v>
      </c>
      <c r="D1069" s="3" t="s">
        <v>34</v>
      </c>
      <c r="E1069" s="3" t="s">
        <v>35</v>
      </c>
      <c r="F1069" s="3" t="s">
        <v>30</v>
      </c>
      <c r="G1069" s="3" t="s">
        <v>50</v>
      </c>
      <c r="H1069" s="3" t="s">
        <v>30</v>
      </c>
      <c r="I1069" s="3" t="s">
        <v>32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str">
        <f aca="false">IF(OR(NOT(OR(J1069=0,J1069=1)),NOT(OR(K1069=0,K1069=1)),NOT(OR(L1069=0,L1069=1)),NOT(OR(M1069=0,M1069=1)),NOT(OR(U1069=0,U1069=1))),"Yes","No")</f>
        <v>No</v>
      </c>
      <c r="O1069" s="0" t="str">
        <f aca="false">IF(OR(AND(M1069=1,L1069=0),AND(L1069=1,K1069=0),AND(K1069=1,J1069=0)),"Yes","No")</f>
        <v>No</v>
      </c>
      <c r="P1069" s="0" t="n">
        <v>0</v>
      </c>
      <c r="Q1069" s="0" t="str">
        <f aca="false">IF(OR(AND(M1069=0,P1069&gt;0),AND(M1069=1,P1069&lt;=0)),"Yes","No")</f>
        <v>No</v>
      </c>
      <c r="R1069" s="0" t="str">
        <f aca="false">IF(AND(M1069=1,P1069&gt;calc_helpers!$B$5),"Yes","No")</f>
        <v>No</v>
      </c>
      <c r="S1069" s="0" t="n">
        <v>1</v>
      </c>
      <c r="T1069" s="0" t="str">
        <f aca="false">IF(S1069&gt;0,"Yes","No")</f>
        <v>Yes</v>
      </c>
      <c r="U1069" s="0" t="n">
        <v>0</v>
      </c>
      <c r="W1069" s="0" t="str">
        <f aca="false">IF(OR(AND(M1069=1,ISBLANK(V1069)),AND(M1069=0,NOT(ISBLANK(V1069)))),"Yes","No")</f>
        <v>No</v>
      </c>
      <c r="X1069" s="0" t="n">
        <v>57.6</v>
      </c>
      <c r="Y1069" s="3" t="s">
        <v>30</v>
      </c>
      <c r="Z1069" s="0" t="str">
        <f aca="false">IF(M1069=1,P1069,"")</f>
        <v/>
      </c>
    </row>
    <row r="1070" customFormat="false" ht="15" hidden="false" customHeight="false" outlineLevel="0" collapsed="false">
      <c r="A1070" s="0" t="s">
        <v>1114</v>
      </c>
      <c r="B1070" s="2" t="n">
        <v>45699</v>
      </c>
      <c r="C1070" s="3" t="s">
        <v>736</v>
      </c>
      <c r="D1070" s="3" t="s">
        <v>28</v>
      </c>
      <c r="E1070" s="3" t="s">
        <v>35</v>
      </c>
      <c r="F1070" s="3" t="s">
        <v>30</v>
      </c>
      <c r="G1070" s="3" t="s">
        <v>36</v>
      </c>
      <c r="H1070" s="3" t="s">
        <v>30</v>
      </c>
      <c r="I1070" s="3" t="s">
        <v>37</v>
      </c>
      <c r="J1070" s="0" t="n">
        <v>1</v>
      </c>
      <c r="K1070" s="0" t="n">
        <v>1</v>
      </c>
      <c r="L1070" s="0" t="n">
        <v>1</v>
      </c>
      <c r="M1070" s="0" t="n">
        <v>0</v>
      </c>
      <c r="N1070" s="0" t="str">
        <f aca="false">IF(OR(NOT(OR(J1070=0,J1070=1)),NOT(OR(K1070=0,K1070=1)),NOT(OR(L1070=0,L1070=1)),NOT(OR(M1070=0,M1070=1)),NOT(OR(U1070=0,U1070=1))),"Yes","No")</f>
        <v>No</v>
      </c>
      <c r="O1070" s="0" t="str">
        <f aca="false">IF(OR(AND(M1070=1,L1070=0),AND(L1070=1,K1070=0),AND(K1070=1,J1070=0)),"Yes","No")</f>
        <v>No</v>
      </c>
      <c r="P1070" s="0" t="n">
        <v>0</v>
      </c>
      <c r="Q1070" s="0" t="str">
        <f aca="false">IF(OR(AND(M1070=0,P1070&gt;0),AND(M1070=1,P1070&lt;=0)),"Yes","No")</f>
        <v>No</v>
      </c>
      <c r="R1070" s="0" t="str">
        <f aca="false">IF(AND(M1070=1,P1070&gt;calc_helpers!$B$5),"Yes","No")</f>
        <v>No</v>
      </c>
      <c r="S1070" s="0" t="n">
        <v>0</v>
      </c>
      <c r="T1070" s="0" t="str">
        <f aca="false">IF(S1070&gt;0,"Yes","No")</f>
        <v>No</v>
      </c>
      <c r="U1070" s="0" t="n">
        <v>0</v>
      </c>
      <c r="W1070" s="0" t="str">
        <f aca="false">IF(OR(AND(M1070=1,ISBLANK(V1070)),AND(M1070=0,NOT(ISBLANK(V1070)))),"Yes","No")</f>
        <v>No</v>
      </c>
      <c r="X1070" s="0" t="n">
        <v>75.7</v>
      </c>
      <c r="Y1070" s="3" t="s">
        <v>30</v>
      </c>
      <c r="Z1070" s="0" t="str">
        <f aca="false">IF(M1070=1,P1070,"")</f>
        <v/>
      </c>
    </row>
    <row r="1071" customFormat="false" ht="15" hidden="false" customHeight="false" outlineLevel="0" collapsed="false">
      <c r="A1071" s="0" t="s">
        <v>1115</v>
      </c>
      <c r="B1071" s="2" t="n">
        <v>45727</v>
      </c>
      <c r="C1071" s="3" t="s">
        <v>736</v>
      </c>
      <c r="D1071" s="3" t="s">
        <v>34</v>
      </c>
      <c r="E1071" s="3" t="s">
        <v>29</v>
      </c>
      <c r="F1071" s="3" t="s">
        <v>30</v>
      </c>
      <c r="G1071" s="3" t="s">
        <v>40</v>
      </c>
      <c r="H1071" s="3" t="s">
        <v>30</v>
      </c>
      <c r="I1071" s="3" t="s">
        <v>37</v>
      </c>
      <c r="J1071" s="0" t="n">
        <v>1</v>
      </c>
      <c r="K1071" s="0" t="n">
        <v>0</v>
      </c>
      <c r="L1071" s="0" t="n">
        <v>0</v>
      </c>
      <c r="M1071" s="0" t="n">
        <v>0</v>
      </c>
      <c r="N1071" s="0" t="str">
        <f aca="false">IF(OR(NOT(OR(J1071=0,J1071=1)),NOT(OR(K1071=0,K1071=1)),NOT(OR(L1071=0,L1071=1)),NOT(OR(M1071=0,M1071=1)),NOT(OR(U1071=0,U1071=1))),"Yes","No")</f>
        <v>No</v>
      </c>
      <c r="O1071" s="0" t="str">
        <f aca="false">IF(OR(AND(M1071=1,L1071=0),AND(L1071=1,K1071=0),AND(K1071=1,J1071=0)),"Yes","No")</f>
        <v>No</v>
      </c>
      <c r="P1071" s="0" t="n">
        <v>0</v>
      </c>
      <c r="Q1071" s="0" t="str">
        <f aca="false">IF(OR(AND(M1071=0,P1071&gt;0),AND(M1071=1,P1071&lt;=0)),"Yes","No")</f>
        <v>No</v>
      </c>
      <c r="R1071" s="0" t="str">
        <f aca="false">IF(AND(M1071=1,P1071&gt;calc_helpers!$B$5),"Yes","No")</f>
        <v>No</v>
      </c>
      <c r="S1071" s="0" t="n">
        <v>2</v>
      </c>
      <c r="T1071" s="0" t="str">
        <f aca="false">IF(S1071&gt;0,"Yes","No")</f>
        <v>Yes</v>
      </c>
      <c r="U1071" s="0" t="n">
        <v>0</v>
      </c>
      <c r="W1071" s="0" t="str">
        <f aca="false">IF(OR(AND(M1071=1,ISBLANK(V1071)),AND(M1071=0,NOT(ISBLANK(V1071)))),"Yes","No")</f>
        <v>No</v>
      </c>
      <c r="X1071" s="0" t="n">
        <v>48.6</v>
      </c>
      <c r="Y1071" s="3" t="s">
        <v>30</v>
      </c>
      <c r="Z1071" s="0" t="str">
        <f aca="false">IF(M1071=1,P1071,"")</f>
        <v/>
      </c>
    </row>
    <row r="1072" customFormat="false" ht="15" hidden="false" customHeight="false" outlineLevel="0" collapsed="false">
      <c r="A1072" s="0" t="s">
        <v>1116</v>
      </c>
      <c r="B1072" s="2" t="n">
        <v>45758</v>
      </c>
      <c r="C1072" s="3" t="s">
        <v>736</v>
      </c>
      <c r="D1072" s="3" t="s">
        <v>39</v>
      </c>
      <c r="E1072" s="3" t="s">
        <v>45</v>
      </c>
      <c r="F1072" s="3" t="s">
        <v>30</v>
      </c>
      <c r="G1072" s="3" t="s">
        <v>50</v>
      </c>
      <c r="H1072" s="3" t="s">
        <v>30</v>
      </c>
      <c r="I1072" s="3" t="s">
        <v>37</v>
      </c>
      <c r="J1072" s="0" t="n">
        <v>1</v>
      </c>
      <c r="K1072" s="0" t="n">
        <v>1</v>
      </c>
      <c r="L1072" s="0" t="n">
        <v>1</v>
      </c>
      <c r="M1072" s="0" t="n">
        <v>0</v>
      </c>
      <c r="N1072" s="0" t="str">
        <f aca="false">IF(OR(NOT(OR(J1072=0,J1072=1)),NOT(OR(K1072=0,K1072=1)),NOT(OR(L1072=0,L1072=1)),NOT(OR(M1072=0,M1072=1)),NOT(OR(U1072=0,U1072=1))),"Yes","No")</f>
        <v>No</v>
      </c>
      <c r="O1072" s="0" t="str">
        <f aca="false">IF(OR(AND(M1072=1,L1072=0),AND(L1072=1,K1072=0),AND(K1072=1,J1072=0)),"Yes","No")</f>
        <v>No</v>
      </c>
      <c r="P1072" s="0" t="n">
        <v>0</v>
      </c>
      <c r="Q1072" s="0" t="str">
        <f aca="false">IF(OR(AND(M1072=0,P1072&gt;0),AND(M1072=1,P1072&lt;=0)),"Yes","No")</f>
        <v>No</v>
      </c>
      <c r="R1072" s="0" t="str">
        <f aca="false">IF(AND(M1072=1,P1072&gt;calc_helpers!$B$5),"Yes","No")</f>
        <v>No</v>
      </c>
      <c r="S1072" s="0" t="n">
        <v>0</v>
      </c>
      <c r="T1072" s="0" t="str">
        <f aca="false">IF(S1072&gt;0,"Yes","No")</f>
        <v>No</v>
      </c>
      <c r="U1072" s="0" t="n">
        <v>0</v>
      </c>
      <c r="W1072" s="0" t="str">
        <f aca="false">IF(OR(AND(M1072=1,ISBLANK(V1072)),AND(M1072=0,NOT(ISBLANK(V1072)))),"Yes","No")</f>
        <v>No</v>
      </c>
      <c r="X1072" s="0" t="n">
        <v>72</v>
      </c>
      <c r="Y1072" s="3" t="s">
        <v>30</v>
      </c>
      <c r="Z1072" s="0" t="str">
        <f aca="false">IF(M1072=1,P1072,"")</f>
        <v/>
      </c>
    </row>
    <row r="1073" customFormat="false" ht="15" hidden="false" customHeight="false" outlineLevel="0" collapsed="false">
      <c r="A1073" s="0" t="s">
        <v>1117</v>
      </c>
      <c r="B1073" s="2" t="n">
        <v>45727</v>
      </c>
      <c r="C1073" s="3" t="s">
        <v>736</v>
      </c>
      <c r="D1073" s="3" t="s">
        <v>28</v>
      </c>
      <c r="E1073" s="3" t="s">
        <v>35</v>
      </c>
      <c r="F1073" s="3" t="s">
        <v>30</v>
      </c>
      <c r="G1073" s="3" t="s">
        <v>36</v>
      </c>
      <c r="H1073" s="3" t="s">
        <v>30</v>
      </c>
      <c r="I1073" s="3" t="s">
        <v>37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str">
        <f aca="false">IF(OR(NOT(OR(J1073=0,J1073=1)),NOT(OR(K1073=0,K1073=1)),NOT(OR(L1073=0,L1073=1)),NOT(OR(M1073=0,M1073=1)),NOT(OR(U1073=0,U1073=1))),"Yes","No")</f>
        <v>No</v>
      </c>
      <c r="O1073" s="0" t="str">
        <f aca="false">IF(OR(AND(M1073=1,L1073=0),AND(L1073=1,K1073=0),AND(K1073=1,J1073=0)),"Yes","No")</f>
        <v>No</v>
      </c>
      <c r="P1073" s="0" t="n">
        <v>0</v>
      </c>
      <c r="Q1073" s="0" t="str">
        <f aca="false">IF(OR(AND(M1073=0,P1073&gt;0),AND(M1073=1,P1073&lt;=0)),"Yes","No")</f>
        <v>No</v>
      </c>
      <c r="R1073" s="0" t="str">
        <f aca="false">IF(AND(M1073=1,P1073&gt;calc_helpers!$B$5),"Yes","No")</f>
        <v>No</v>
      </c>
      <c r="S1073" s="0" t="n">
        <v>0</v>
      </c>
      <c r="T1073" s="0" t="str">
        <f aca="false">IF(S1073&gt;0,"Yes","No")</f>
        <v>No</v>
      </c>
      <c r="U1073" s="0" t="n">
        <v>0</v>
      </c>
      <c r="W1073" s="0" t="str">
        <f aca="false">IF(OR(AND(M1073=1,ISBLANK(V1073)),AND(M1073=0,NOT(ISBLANK(V1073)))),"Yes","No")</f>
        <v>No</v>
      </c>
      <c r="X1073" s="0" t="n">
        <v>72.2</v>
      </c>
      <c r="Y1073" s="3" t="s">
        <v>30</v>
      </c>
      <c r="Z1073" s="0" t="str">
        <f aca="false">IF(M1073=1,P1073,"")</f>
        <v/>
      </c>
    </row>
    <row r="1074" customFormat="false" ht="15" hidden="false" customHeight="false" outlineLevel="0" collapsed="false">
      <c r="A1074" s="0" t="s">
        <v>1118</v>
      </c>
      <c r="B1074" s="2" t="n">
        <v>45799</v>
      </c>
      <c r="C1074" s="3" t="s">
        <v>736</v>
      </c>
      <c r="D1074" s="3" t="s">
        <v>39</v>
      </c>
      <c r="E1074" s="3" t="s">
        <v>35</v>
      </c>
      <c r="F1074" s="3" t="s">
        <v>30</v>
      </c>
      <c r="G1074" s="3" t="s">
        <v>50</v>
      </c>
      <c r="H1074" s="3" t="s">
        <v>30</v>
      </c>
      <c r="I1074" s="3" t="s">
        <v>37</v>
      </c>
      <c r="J1074" s="0" t="n">
        <v>1</v>
      </c>
      <c r="K1074" s="0" t="n">
        <v>0</v>
      </c>
      <c r="L1074" s="0" t="n">
        <v>0</v>
      </c>
      <c r="M1074" s="0" t="n">
        <v>0</v>
      </c>
      <c r="N1074" s="0" t="str">
        <f aca="false">IF(OR(NOT(OR(J1074=0,J1074=1)),NOT(OR(K1074=0,K1074=1)),NOT(OR(L1074=0,L1074=1)),NOT(OR(M1074=0,M1074=1)),NOT(OR(U1074=0,U1074=1))),"Yes","No")</f>
        <v>No</v>
      </c>
      <c r="O1074" s="0" t="str">
        <f aca="false">IF(OR(AND(M1074=1,L1074=0),AND(L1074=1,K1074=0),AND(K1074=1,J1074=0)),"Yes","No")</f>
        <v>No</v>
      </c>
      <c r="P1074" s="0" t="n">
        <v>0</v>
      </c>
      <c r="Q1074" s="0" t="str">
        <f aca="false">IF(OR(AND(M1074=0,P1074&gt;0),AND(M1074=1,P1074&lt;=0)),"Yes","No")</f>
        <v>No</v>
      </c>
      <c r="R1074" s="0" t="str">
        <f aca="false">IF(AND(M1074=1,P1074&gt;calc_helpers!$B$5),"Yes","No")</f>
        <v>No</v>
      </c>
      <c r="S1074" s="0" t="n">
        <v>1</v>
      </c>
      <c r="T1074" s="0" t="str">
        <f aca="false">IF(S1074&gt;0,"Yes","No")</f>
        <v>Yes</v>
      </c>
      <c r="U1074" s="0" t="n">
        <v>0</v>
      </c>
      <c r="W1074" s="0" t="str">
        <f aca="false">IF(OR(AND(M1074=1,ISBLANK(V1074)),AND(M1074=0,NOT(ISBLANK(V1074)))),"Yes","No")</f>
        <v>No</v>
      </c>
      <c r="Y1074" s="3" t="s">
        <v>168</v>
      </c>
      <c r="Z1074" s="0" t="str">
        <f aca="false">IF(M1074=1,P1074,"")</f>
        <v/>
      </c>
    </row>
    <row r="1075" customFormat="false" ht="15" hidden="false" customHeight="false" outlineLevel="0" collapsed="false">
      <c r="A1075" s="0" t="s">
        <v>1119</v>
      </c>
      <c r="B1075" s="2" t="n">
        <v>45710</v>
      </c>
      <c r="C1075" s="3" t="s">
        <v>736</v>
      </c>
      <c r="D1075" s="3" t="s">
        <v>43</v>
      </c>
      <c r="E1075" s="3" t="s">
        <v>29</v>
      </c>
      <c r="F1075" s="3" t="s">
        <v>30</v>
      </c>
      <c r="G1075" s="3" t="s">
        <v>36</v>
      </c>
      <c r="H1075" s="3" t="s">
        <v>30</v>
      </c>
      <c r="I1075" s="3" t="s">
        <v>37</v>
      </c>
      <c r="J1075" s="0" t="n">
        <v>1</v>
      </c>
      <c r="K1075" s="0" t="n">
        <v>1</v>
      </c>
      <c r="L1075" s="0" t="n">
        <v>1</v>
      </c>
      <c r="M1075" s="0" t="n">
        <v>1</v>
      </c>
      <c r="N1075" s="0" t="str">
        <f aca="false">IF(OR(NOT(OR(J1075=0,J1075=1)),NOT(OR(K1075=0,K1075=1)),NOT(OR(L1075=0,L1075=1)),NOT(OR(M1075=0,M1075=1)),NOT(OR(U1075=0,U1075=1))),"Yes","No")</f>
        <v>No</v>
      </c>
      <c r="O1075" s="0" t="str">
        <f aca="false">IF(OR(AND(M1075=1,L1075=0),AND(L1075=1,K1075=0),AND(K1075=1,J1075=0)),"Yes","No")</f>
        <v>No</v>
      </c>
      <c r="P1075" s="0" t="n">
        <v>331.53</v>
      </c>
      <c r="Q1075" s="0" t="str">
        <f aca="false">IF(OR(AND(M1075=0,P1075&gt;0),AND(M1075=1,P1075&lt;=0)),"Yes","No")</f>
        <v>No</v>
      </c>
      <c r="R1075" s="0" t="str">
        <f aca="false">IF(AND(M1075=1,P1075&gt;calc_helpers!$B$5),"Yes","No")</f>
        <v>No</v>
      </c>
      <c r="S1075" s="0" t="n">
        <v>2</v>
      </c>
      <c r="T1075" s="0" t="str">
        <f aca="false">IF(S1075&gt;0,"Yes","No")</f>
        <v>Yes</v>
      </c>
      <c r="U1075" s="0" t="n">
        <v>0</v>
      </c>
      <c r="V1075" s="0" t="n">
        <v>4</v>
      </c>
      <c r="W1075" s="0" t="str">
        <f aca="false">IF(OR(AND(M1075=1,ISBLANK(V1075)),AND(M1075=0,NOT(ISBLANK(V1075)))),"Yes","No")</f>
        <v>No</v>
      </c>
      <c r="X1075" s="0" t="n">
        <v>56.8</v>
      </c>
      <c r="Y1075" s="3" t="s">
        <v>30</v>
      </c>
      <c r="Z1075" s="3" t="n">
        <f aca="false">IF(M1075=1,P1075,"")</f>
        <v>331.53</v>
      </c>
    </row>
    <row r="1076" customFormat="false" ht="15" hidden="false" customHeight="false" outlineLevel="0" collapsed="false">
      <c r="A1076" s="0" t="s">
        <v>1120</v>
      </c>
      <c r="B1076" s="2" t="n">
        <v>45670</v>
      </c>
      <c r="C1076" s="3" t="s">
        <v>736</v>
      </c>
      <c r="D1076" s="3" t="s">
        <v>39</v>
      </c>
      <c r="E1076" s="3" t="s">
        <v>35</v>
      </c>
      <c r="F1076" s="3" t="s">
        <v>30</v>
      </c>
      <c r="G1076" s="3" t="s">
        <v>40</v>
      </c>
      <c r="H1076" s="3" t="s">
        <v>30</v>
      </c>
      <c r="I1076" s="3" t="s">
        <v>32</v>
      </c>
      <c r="J1076" s="0" t="n">
        <v>1</v>
      </c>
      <c r="K1076" s="0" t="n">
        <v>0</v>
      </c>
      <c r="L1076" s="0" t="n">
        <v>0</v>
      </c>
      <c r="M1076" s="0" t="n">
        <v>0</v>
      </c>
      <c r="N1076" s="0" t="str">
        <f aca="false">IF(OR(NOT(OR(J1076=0,J1076=1)),NOT(OR(K1076=0,K1076=1)),NOT(OR(L1076=0,L1076=1)),NOT(OR(M1076=0,M1076=1)),NOT(OR(U1076=0,U1076=1))),"Yes","No")</f>
        <v>No</v>
      </c>
      <c r="O1076" s="0" t="str">
        <f aca="false">IF(OR(AND(M1076=1,L1076=0),AND(L1076=1,K1076=0),AND(K1076=1,J1076=0)),"Yes","No")</f>
        <v>No</v>
      </c>
      <c r="P1076" s="0" t="n">
        <v>0</v>
      </c>
      <c r="Q1076" s="0" t="str">
        <f aca="false">IF(OR(AND(M1076=0,P1076&gt;0),AND(M1076=1,P1076&lt;=0)),"Yes","No")</f>
        <v>No</v>
      </c>
      <c r="R1076" s="0" t="str">
        <f aca="false">IF(AND(M1076=1,P1076&gt;calc_helpers!$B$5),"Yes","No")</f>
        <v>No</v>
      </c>
      <c r="S1076" s="0" t="n">
        <v>0</v>
      </c>
      <c r="T1076" s="0" t="str">
        <f aca="false">IF(S1076&gt;0,"Yes","No")</f>
        <v>No</v>
      </c>
      <c r="U1076" s="0" t="n">
        <v>0</v>
      </c>
      <c r="W1076" s="0" t="str">
        <f aca="false">IF(OR(AND(M1076=1,ISBLANK(V1076)),AND(M1076=0,NOT(ISBLANK(V1076)))),"Yes","No")</f>
        <v>No</v>
      </c>
      <c r="X1076" s="0" t="n">
        <v>62.5</v>
      </c>
      <c r="Y1076" s="3" t="s">
        <v>30</v>
      </c>
      <c r="Z1076" s="0" t="str">
        <f aca="false">IF(M1076=1,P1076,"")</f>
        <v/>
      </c>
    </row>
    <row r="1077" customFormat="false" ht="15" hidden="false" customHeight="false" outlineLevel="0" collapsed="false">
      <c r="A1077" s="0" t="s">
        <v>1121</v>
      </c>
      <c r="B1077" s="2" t="n">
        <v>45796</v>
      </c>
      <c r="C1077" s="3" t="s">
        <v>736</v>
      </c>
      <c r="D1077" s="3" t="s">
        <v>43</v>
      </c>
      <c r="E1077" s="3" t="s">
        <v>35</v>
      </c>
      <c r="F1077" s="3" t="s">
        <v>30</v>
      </c>
      <c r="G1077" s="3" t="s">
        <v>36</v>
      </c>
      <c r="H1077" s="3" t="s">
        <v>30</v>
      </c>
      <c r="I1077" s="3" t="s">
        <v>37</v>
      </c>
      <c r="J1077" s="0" t="n">
        <v>1</v>
      </c>
      <c r="K1077" s="0" t="n">
        <v>0</v>
      </c>
      <c r="L1077" s="0" t="n">
        <v>0</v>
      </c>
      <c r="M1077" s="0" t="n">
        <v>0</v>
      </c>
      <c r="N1077" s="0" t="str">
        <f aca="false">IF(OR(NOT(OR(J1077=0,J1077=1)),NOT(OR(K1077=0,K1077=1)),NOT(OR(L1077=0,L1077=1)),NOT(OR(M1077=0,M1077=1)),NOT(OR(U1077=0,U1077=1))),"Yes","No")</f>
        <v>No</v>
      </c>
      <c r="O1077" s="0" t="str">
        <f aca="false">IF(OR(AND(M1077=1,L1077=0),AND(L1077=1,K1077=0),AND(K1077=1,J1077=0)),"Yes","No")</f>
        <v>No</v>
      </c>
      <c r="P1077" s="0" t="n">
        <v>0</v>
      </c>
      <c r="Q1077" s="0" t="str">
        <f aca="false">IF(OR(AND(M1077=0,P1077&gt;0),AND(M1077=1,P1077&lt;=0)),"Yes","No")</f>
        <v>No</v>
      </c>
      <c r="R1077" s="0" t="str">
        <f aca="false">IF(AND(M1077=1,P1077&gt;calc_helpers!$B$5),"Yes","No")</f>
        <v>No</v>
      </c>
      <c r="S1077" s="0" t="n">
        <v>0</v>
      </c>
      <c r="T1077" s="0" t="str">
        <f aca="false">IF(S1077&gt;0,"Yes","No")</f>
        <v>No</v>
      </c>
      <c r="U1077" s="0" t="n">
        <v>0</v>
      </c>
      <c r="W1077" s="0" t="str">
        <f aca="false">IF(OR(AND(M1077=1,ISBLANK(V1077)),AND(M1077=0,NOT(ISBLANK(V1077)))),"Yes","No")</f>
        <v>No</v>
      </c>
      <c r="X1077" s="0" t="n">
        <v>63.4</v>
      </c>
      <c r="Y1077" s="3" t="s">
        <v>30</v>
      </c>
      <c r="Z1077" s="0" t="str">
        <f aca="false">IF(M1077=1,P1077,"")</f>
        <v/>
      </c>
    </row>
    <row r="1078" customFormat="false" ht="15" hidden="false" customHeight="false" outlineLevel="0" collapsed="false">
      <c r="A1078" s="0" t="s">
        <v>1122</v>
      </c>
      <c r="B1078" s="2" t="n">
        <v>45724</v>
      </c>
      <c r="C1078" s="3" t="s">
        <v>736</v>
      </c>
      <c r="D1078" s="3" t="s">
        <v>28</v>
      </c>
      <c r="E1078" s="3" t="s">
        <v>45</v>
      </c>
      <c r="F1078" s="3" t="s">
        <v>30</v>
      </c>
      <c r="G1078" s="3" t="s">
        <v>36</v>
      </c>
      <c r="H1078" s="3" t="s">
        <v>30</v>
      </c>
      <c r="I1078" s="3" t="s">
        <v>32</v>
      </c>
      <c r="J1078" s="0" t="n">
        <v>1</v>
      </c>
      <c r="K1078" s="0" t="n">
        <v>1</v>
      </c>
      <c r="L1078" s="0" t="n">
        <v>1</v>
      </c>
      <c r="M1078" s="0" t="n">
        <v>1</v>
      </c>
      <c r="N1078" s="0" t="str">
        <f aca="false">IF(OR(NOT(OR(J1078=0,J1078=1)),NOT(OR(K1078=0,K1078=1)),NOT(OR(L1078=0,L1078=1)),NOT(OR(M1078=0,M1078=1)),NOT(OR(U1078=0,U1078=1))),"Yes","No")</f>
        <v>No</v>
      </c>
      <c r="O1078" s="0" t="str">
        <f aca="false">IF(OR(AND(M1078=1,L1078=0),AND(L1078=1,K1078=0),AND(K1078=1,J1078=0)),"Yes","No")</f>
        <v>No</v>
      </c>
      <c r="P1078" s="0" t="n">
        <v>774.78</v>
      </c>
      <c r="Q1078" s="0" t="str">
        <f aca="false">IF(OR(AND(M1078=0,P1078&gt;0),AND(M1078=1,P1078&lt;=0)),"Yes","No")</f>
        <v>No</v>
      </c>
      <c r="R1078" s="0" t="str">
        <f aca="false">IF(AND(M1078=1,P1078&gt;calc_helpers!$B$5),"Yes","No")</f>
        <v>No</v>
      </c>
      <c r="S1078" s="0" t="n">
        <v>0</v>
      </c>
      <c r="T1078" s="0" t="str">
        <f aca="false">IF(S1078&gt;0,"Yes","No")</f>
        <v>No</v>
      </c>
      <c r="U1078" s="0" t="n">
        <v>0</v>
      </c>
      <c r="V1078" s="0" t="n">
        <v>3</v>
      </c>
      <c r="W1078" s="0" t="str">
        <f aca="false">IF(OR(AND(M1078=1,ISBLANK(V1078)),AND(M1078=0,NOT(ISBLANK(V1078)))),"Yes","No")</f>
        <v>No</v>
      </c>
      <c r="X1078" s="0" t="n">
        <v>46.8</v>
      </c>
      <c r="Y1078" s="3" t="s">
        <v>30</v>
      </c>
      <c r="Z1078" s="3" t="n">
        <f aca="false">IF(M1078=1,P1078,"")</f>
        <v>774.78</v>
      </c>
    </row>
    <row r="1079" customFormat="false" ht="15" hidden="false" customHeight="false" outlineLevel="0" collapsed="false">
      <c r="A1079" s="0" t="s">
        <v>1123</v>
      </c>
      <c r="B1079" s="2" t="n">
        <v>45767</v>
      </c>
      <c r="C1079" s="3" t="s">
        <v>736</v>
      </c>
      <c r="D1079" s="3" t="s">
        <v>43</v>
      </c>
      <c r="E1079" s="3" t="s">
        <v>35</v>
      </c>
      <c r="F1079" s="3" t="s">
        <v>30</v>
      </c>
      <c r="G1079" s="3" t="s">
        <v>36</v>
      </c>
      <c r="H1079" s="3" t="s">
        <v>30</v>
      </c>
      <c r="I1079" s="3" t="s">
        <v>37</v>
      </c>
      <c r="J1079" s="0" t="n">
        <v>1</v>
      </c>
      <c r="K1079" s="0" t="n">
        <v>1</v>
      </c>
      <c r="L1079" s="0" t="n">
        <v>1</v>
      </c>
      <c r="M1079" s="0" t="n">
        <v>1</v>
      </c>
      <c r="N1079" s="0" t="str">
        <f aca="false">IF(OR(NOT(OR(J1079=0,J1079=1)),NOT(OR(K1079=0,K1079=1)),NOT(OR(L1079=0,L1079=1)),NOT(OR(M1079=0,M1079=1)),NOT(OR(U1079=0,U1079=1))),"Yes","No")</f>
        <v>No</v>
      </c>
      <c r="O1079" s="0" t="str">
        <f aca="false">IF(OR(AND(M1079=1,L1079=0),AND(L1079=1,K1079=0),AND(K1079=1,J1079=0)),"Yes","No")</f>
        <v>No</v>
      </c>
      <c r="P1079" s="0" t="n">
        <v>422.02</v>
      </c>
      <c r="Q1079" s="0" t="str">
        <f aca="false">IF(OR(AND(M1079=0,P1079&gt;0),AND(M1079=1,P1079&lt;=0)),"Yes","No")</f>
        <v>No</v>
      </c>
      <c r="R1079" s="0" t="str">
        <f aca="false">IF(AND(M1079=1,P1079&gt;calc_helpers!$B$5),"Yes","No")</f>
        <v>No</v>
      </c>
      <c r="S1079" s="0" t="n">
        <v>0</v>
      </c>
      <c r="T1079" s="0" t="str">
        <f aca="false">IF(S1079&gt;0,"Yes","No")</f>
        <v>No</v>
      </c>
      <c r="U1079" s="0" t="n">
        <v>0</v>
      </c>
      <c r="V1079" s="0" t="n">
        <v>8</v>
      </c>
      <c r="W1079" s="0" t="str">
        <f aca="false">IF(OR(AND(M1079=1,ISBLANK(V1079)),AND(M1079=0,NOT(ISBLANK(V1079)))),"Yes","No")</f>
        <v>No</v>
      </c>
      <c r="X1079" s="0" t="n">
        <v>86.5</v>
      </c>
      <c r="Y1079" s="3" t="s">
        <v>30</v>
      </c>
      <c r="Z1079" s="3" t="n">
        <f aca="false">IF(M1079=1,P1079,"")</f>
        <v>422.02</v>
      </c>
    </row>
    <row r="1080" customFormat="false" ht="15" hidden="false" customHeight="false" outlineLevel="0" collapsed="false">
      <c r="A1080" s="0" t="s">
        <v>1124</v>
      </c>
      <c r="B1080" s="2" t="n">
        <v>45785</v>
      </c>
      <c r="C1080" s="3" t="s">
        <v>736</v>
      </c>
      <c r="D1080" s="3" t="s">
        <v>34</v>
      </c>
      <c r="E1080" s="3" t="s">
        <v>35</v>
      </c>
      <c r="F1080" s="3" t="s">
        <v>30</v>
      </c>
      <c r="G1080" s="3" t="s">
        <v>31</v>
      </c>
      <c r="H1080" s="3" t="s">
        <v>30</v>
      </c>
      <c r="I1080" s="3" t="s">
        <v>32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str">
        <f aca="false">IF(OR(NOT(OR(J1080=0,J1080=1)),NOT(OR(K1080=0,K1080=1)),NOT(OR(L1080=0,L1080=1)),NOT(OR(M1080=0,M1080=1)),NOT(OR(U1080=0,U1080=1))),"Yes","No")</f>
        <v>No</v>
      </c>
      <c r="O1080" s="0" t="str">
        <f aca="false">IF(OR(AND(M1080=1,L1080=0),AND(L1080=1,K1080=0),AND(K1080=1,J1080=0)),"Yes","No")</f>
        <v>No</v>
      </c>
      <c r="P1080" s="0" t="n">
        <v>0</v>
      </c>
      <c r="Q1080" s="0" t="str">
        <f aca="false">IF(OR(AND(M1080=0,P1080&gt;0),AND(M1080=1,P1080&lt;=0)),"Yes","No")</f>
        <v>No</v>
      </c>
      <c r="R1080" s="0" t="str">
        <f aca="false">IF(AND(M1080=1,P1080&gt;calc_helpers!$B$5),"Yes","No")</f>
        <v>No</v>
      </c>
      <c r="S1080" s="0" t="n">
        <v>1</v>
      </c>
      <c r="T1080" s="0" t="str">
        <f aca="false">IF(S1080&gt;0,"Yes","No")</f>
        <v>Yes</v>
      </c>
      <c r="U1080" s="0" t="n">
        <v>0</v>
      </c>
      <c r="W1080" s="0" t="str">
        <f aca="false">IF(OR(AND(M1080=1,ISBLANK(V1080)),AND(M1080=0,NOT(ISBLANK(V1080)))),"Yes","No")</f>
        <v>No</v>
      </c>
      <c r="X1080" s="0" t="n">
        <v>75.1</v>
      </c>
      <c r="Y1080" s="3" t="s">
        <v>30</v>
      </c>
      <c r="Z1080" s="0" t="str">
        <f aca="false">IF(M1080=1,P1080,"")</f>
        <v/>
      </c>
    </row>
    <row r="1081" customFormat="false" ht="15" hidden="false" customHeight="false" outlineLevel="0" collapsed="false">
      <c r="A1081" s="0" t="s">
        <v>1125</v>
      </c>
      <c r="B1081" s="2" t="n">
        <v>45787</v>
      </c>
      <c r="C1081" s="3" t="s">
        <v>736</v>
      </c>
      <c r="D1081" s="3" t="s">
        <v>43</v>
      </c>
      <c r="E1081" s="3" t="s">
        <v>35</v>
      </c>
      <c r="F1081" s="3" t="s">
        <v>30</v>
      </c>
      <c r="G1081" s="3" t="s">
        <v>36</v>
      </c>
      <c r="H1081" s="3" t="s">
        <v>30</v>
      </c>
      <c r="I1081" s="3" t="s">
        <v>32</v>
      </c>
      <c r="J1081" s="0" t="n">
        <v>1</v>
      </c>
      <c r="K1081" s="0" t="n">
        <v>0</v>
      </c>
      <c r="L1081" s="0" t="n">
        <v>0</v>
      </c>
      <c r="M1081" s="0" t="n">
        <v>0</v>
      </c>
      <c r="N1081" s="0" t="str">
        <f aca="false">IF(OR(NOT(OR(J1081=0,J1081=1)),NOT(OR(K1081=0,K1081=1)),NOT(OR(L1081=0,L1081=1)),NOT(OR(M1081=0,M1081=1)),NOT(OR(U1081=0,U1081=1))),"Yes","No")</f>
        <v>No</v>
      </c>
      <c r="O1081" s="0" t="str">
        <f aca="false">IF(OR(AND(M1081=1,L1081=0),AND(L1081=1,K1081=0),AND(K1081=1,J1081=0)),"Yes","No")</f>
        <v>No</v>
      </c>
      <c r="P1081" s="0" t="n">
        <v>0</v>
      </c>
      <c r="Q1081" s="0" t="str">
        <f aca="false">IF(OR(AND(M1081=0,P1081&gt;0),AND(M1081=1,P1081&lt;=0)),"Yes","No")</f>
        <v>No</v>
      </c>
      <c r="R1081" s="0" t="str">
        <f aca="false">IF(AND(M1081=1,P1081&gt;calc_helpers!$B$5),"Yes","No")</f>
        <v>No</v>
      </c>
      <c r="S1081" s="0" t="n">
        <v>0</v>
      </c>
      <c r="T1081" s="0" t="str">
        <f aca="false">IF(S1081&gt;0,"Yes","No")</f>
        <v>No</v>
      </c>
      <c r="U1081" s="0" t="n">
        <v>0</v>
      </c>
      <c r="W1081" s="0" t="str">
        <f aca="false">IF(OR(AND(M1081=1,ISBLANK(V1081)),AND(M1081=0,NOT(ISBLANK(V1081)))),"Yes","No")</f>
        <v>No</v>
      </c>
      <c r="X1081" s="0" t="n">
        <v>64.5</v>
      </c>
      <c r="Y1081" s="3" t="s">
        <v>30</v>
      </c>
      <c r="Z1081" s="0" t="str">
        <f aca="false">IF(M1081=1,P1081,"")</f>
        <v/>
      </c>
    </row>
    <row r="1082" customFormat="false" ht="15" hidden="false" customHeight="false" outlineLevel="0" collapsed="false">
      <c r="A1082" s="0" t="s">
        <v>1126</v>
      </c>
      <c r="B1082" s="2" t="n">
        <v>45744</v>
      </c>
      <c r="C1082" s="3" t="s">
        <v>736</v>
      </c>
      <c r="D1082" s="3" t="s">
        <v>39</v>
      </c>
      <c r="E1082" s="3" t="s">
        <v>35</v>
      </c>
      <c r="F1082" s="3" t="s">
        <v>30</v>
      </c>
      <c r="G1082" s="3" t="s">
        <v>36</v>
      </c>
      <c r="H1082" s="3" t="s">
        <v>30</v>
      </c>
      <c r="I1082" s="3" t="s">
        <v>37</v>
      </c>
      <c r="J1082" s="0" t="n">
        <v>1</v>
      </c>
      <c r="K1082" s="0" t="n">
        <v>0</v>
      </c>
      <c r="L1082" s="0" t="n">
        <v>0</v>
      </c>
      <c r="M1082" s="0" t="n">
        <v>0</v>
      </c>
      <c r="N1082" s="0" t="str">
        <f aca="false">IF(OR(NOT(OR(J1082=0,J1082=1)),NOT(OR(K1082=0,K1082=1)),NOT(OR(L1082=0,L1082=1)),NOT(OR(M1082=0,M1082=1)),NOT(OR(U1082=0,U1082=1))),"Yes","No")</f>
        <v>No</v>
      </c>
      <c r="O1082" s="0" t="str">
        <f aca="false">IF(OR(AND(M1082=1,L1082=0),AND(L1082=1,K1082=0),AND(K1082=1,J1082=0)),"Yes","No")</f>
        <v>No</v>
      </c>
      <c r="P1082" s="0" t="n">
        <v>0</v>
      </c>
      <c r="Q1082" s="0" t="str">
        <f aca="false">IF(OR(AND(M1082=0,P1082&gt;0),AND(M1082=1,P1082&lt;=0)),"Yes","No")</f>
        <v>No</v>
      </c>
      <c r="R1082" s="0" t="str">
        <f aca="false">IF(AND(M1082=1,P1082&gt;calc_helpers!$B$5),"Yes","No")</f>
        <v>No</v>
      </c>
      <c r="S1082" s="0" t="n">
        <v>0</v>
      </c>
      <c r="T1082" s="0" t="str">
        <f aca="false">IF(S1082&gt;0,"Yes","No")</f>
        <v>No</v>
      </c>
      <c r="U1082" s="0" t="n">
        <v>0</v>
      </c>
      <c r="W1082" s="0" t="str">
        <f aca="false">IF(OR(AND(M1082=1,ISBLANK(V1082)),AND(M1082=0,NOT(ISBLANK(V1082)))),"Yes","No")</f>
        <v>No</v>
      </c>
      <c r="X1082" s="0" t="n">
        <v>54.2</v>
      </c>
      <c r="Y1082" s="3" t="s">
        <v>30</v>
      </c>
      <c r="Z1082" s="0" t="str">
        <f aca="false">IF(M1082=1,P1082,"")</f>
        <v/>
      </c>
    </row>
    <row r="1083" customFormat="false" ht="15" hidden="false" customHeight="false" outlineLevel="0" collapsed="false">
      <c r="A1083" s="0" t="s">
        <v>1127</v>
      </c>
      <c r="B1083" s="2" t="n">
        <v>45777</v>
      </c>
      <c r="C1083" s="3" t="s">
        <v>736</v>
      </c>
      <c r="D1083" s="3" t="s">
        <v>39</v>
      </c>
      <c r="E1083" s="3" t="s">
        <v>35</v>
      </c>
      <c r="F1083" s="3" t="s">
        <v>30</v>
      </c>
      <c r="G1083" s="3" t="s">
        <v>40</v>
      </c>
      <c r="H1083" s="3" t="s">
        <v>30</v>
      </c>
      <c r="I1083" s="3" t="s">
        <v>41</v>
      </c>
      <c r="J1083" s="0" t="n">
        <v>1</v>
      </c>
      <c r="K1083" s="0" t="n">
        <v>1</v>
      </c>
      <c r="L1083" s="0" t="n">
        <v>1</v>
      </c>
      <c r="M1083" s="0" t="n">
        <v>0</v>
      </c>
      <c r="N1083" s="0" t="str">
        <f aca="false">IF(OR(NOT(OR(J1083=0,J1083=1)),NOT(OR(K1083=0,K1083=1)),NOT(OR(L1083=0,L1083=1)),NOT(OR(M1083=0,M1083=1)),NOT(OR(U1083=0,U1083=1))),"Yes","No")</f>
        <v>No</v>
      </c>
      <c r="O1083" s="0" t="str">
        <f aca="false">IF(OR(AND(M1083=1,L1083=0),AND(L1083=1,K1083=0),AND(K1083=1,J1083=0)),"Yes","No")</f>
        <v>No</v>
      </c>
      <c r="P1083" s="0" t="n">
        <v>0</v>
      </c>
      <c r="Q1083" s="0" t="str">
        <f aca="false">IF(OR(AND(M1083=0,P1083&gt;0),AND(M1083=1,P1083&lt;=0)),"Yes","No")</f>
        <v>No</v>
      </c>
      <c r="R1083" s="0" t="str">
        <f aca="false">IF(AND(M1083=1,P1083&gt;calc_helpers!$B$5),"Yes","No")</f>
        <v>No</v>
      </c>
      <c r="S1083" s="0" t="n">
        <v>0</v>
      </c>
      <c r="T1083" s="0" t="str">
        <f aca="false">IF(S1083&gt;0,"Yes","No")</f>
        <v>No</v>
      </c>
      <c r="U1083" s="0" t="n">
        <v>0</v>
      </c>
      <c r="W1083" s="0" t="str">
        <f aca="false">IF(OR(AND(M1083=1,ISBLANK(V1083)),AND(M1083=0,NOT(ISBLANK(V1083)))),"Yes","No")</f>
        <v>No</v>
      </c>
      <c r="X1083" s="0" t="n">
        <v>84.1</v>
      </c>
      <c r="Y1083" s="3" t="s">
        <v>30</v>
      </c>
      <c r="Z1083" s="0" t="str">
        <f aca="false">IF(M1083=1,P1083,"")</f>
        <v/>
      </c>
    </row>
    <row r="1084" customFormat="false" ht="15" hidden="false" customHeight="false" outlineLevel="0" collapsed="false">
      <c r="A1084" s="0" t="s">
        <v>1128</v>
      </c>
      <c r="B1084" s="2" t="n">
        <v>45696</v>
      </c>
      <c r="C1084" s="3" t="s">
        <v>736</v>
      </c>
      <c r="D1084" s="3" t="s">
        <v>28</v>
      </c>
      <c r="E1084" s="3" t="s">
        <v>35</v>
      </c>
      <c r="F1084" s="3" t="s">
        <v>30</v>
      </c>
      <c r="G1084" s="3" t="s">
        <v>36</v>
      </c>
      <c r="H1084" s="3" t="s">
        <v>30</v>
      </c>
      <c r="I1084" s="3" t="s">
        <v>32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str">
        <f aca="false">IF(OR(NOT(OR(J1084=0,J1084=1)),NOT(OR(K1084=0,K1084=1)),NOT(OR(L1084=0,L1084=1)),NOT(OR(M1084=0,M1084=1)),NOT(OR(U1084=0,U1084=1))),"Yes","No")</f>
        <v>No</v>
      </c>
      <c r="O1084" s="0" t="str">
        <f aca="false">IF(OR(AND(M1084=1,L1084=0),AND(L1084=1,K1084=0),AND(K1084=1,J1084=0)),"Yes","No")</f>
        <v>No</v>
      </c>
      <c r="P1084" s="0" t="n">
        <v>0</v>
      </c>
      <c r="Q1084" s="0" t="str">
        <f aca="false">IF(OR(AND(M1084=0,P1084&gt;0),AND(M1084=1,P1084&lt;=0)),"Yes","No")</f>
        <v>No</v>
      </c>
      <c r="R1084" s="0" t="str">
        <f aca="false">IF(AND(M1084=1,P1084&gt;calc_helpers!$B$5),"Yes","No")</f>
        <v>No</v>
      </c>
      <c r="S1084" s="0" t="n">
        <v>1</v>
      </c>
      <c r="T1084" s="0" t="str">
        <f aca="false">IF(S1084&gt;0,"Yes","No")</f>
        <v>Yes</v>
      </c>
      <c r="U1084" s="0" t="n">
        <v>0</v>
      </c>
      <c r="W1084" s="0" t="str">
        <f aca="false">IF(OR(AND(M1084=1,ISBLANK(V1084)),AND(M1084=0,NOT(ISBLANK(V1084)))),"Yes","No")</f>
        <v>No</v>
      </c>
      <c r="X1084" s="0" t="n">
        <v>49.1</v>
      </c>
      <c r="Y1084" s="3" t="s">
        <v>30</v>
      </c>
      <c r="Z1084" s="0" t="str">
        <f aca="false">IF(M1084=1,P1084,"")</f>
        <v/>
      </c>
    </row>
    <row r="1085" customFormat="false" ht="15" hidden="false" customHeight="false" outlineLevel="0" collapsed="false">
      <c r="A1085" s="0" t="s">
        <v>1129</v>
      </c>
      <c r="B1085" s="2" t="n">
        <v>45723</v>
      </c>
      <c r="C1085" s="3" t="s">
        <v>736</v>
      </c>
      <c r="D1085" s="3" t="s">
        <v>43</v>
      </c>
      <c r="E1085" s="3" t="s">
        <v>35</v>
      </c>
      <c r="F1085" s="3" t="s">
        <v>30</v>
      </c>
      <c r="G1085" s="3" t="s">
        <v>50</v>
      </c>
      <c r="H1085" s="3" t="s">
        <v>30</v>
      </c>
      <c r="I1085" s="3" t="s">
        <v>41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str">
        <f aca="false">IF(OR(NOT(OR(J1085=0,J1085=1)),NOT(OR(K1085=0,K1085=1)),NOT(OR(L1085=0,L1085=1)),NOT(OR(M1085=0,M1085=1)),NOT(OR(U1085=0,U1085=1))),"Yes","No")</f>
        <v>No</v>
      </c>
      <c r="O1085" s="0" t="str">
        <f aca="false">IF(OR(AND(M1085=1,L1085=0),AND(L1085=1,K1085=0),AND(K1085=1,J1085=0)),"Yes","No")</f>
        <v>No</v>
      </c>
      <c r="P1085" s="0" t="n">
        <v>0</v>
      </c>
      <c r="Q1085" s="0" t="str">
        <f aca="false">IF(OR(AND(M1085=0,P1085&gt;0),AND(M1085=1,P1085&lt;=0)),"Yes","No")</f>
        <v>No</v>
      </c>
      <c r="R1085" s="0" t="str">
        <f aca="false">IF(AND(M1085=1,P1085&gt;calc_helpers!$B$5),"Yes","No")</f>
        <v>No</v>
      </c>
      <c r="S1085" s="0" t="n">
        <v>0</v>
      </c>
      <c r="T1085" s="0" t="str">
        <f aca="false">IF(S1085&gt;0,"Yes","No")</f>
        <v>No</v>
      </c>
      <c r="U1085" s="0" t="n">
        <v>0</v>
      </c>
      <c r="W1085" s="0" t="str">
        <f aca="false">IF(OR(AND(M1085=1,ISBLANK(V1085)),AND(M1085=0,NOT(ISBLANK(V1085)))),"Yes","No")</f>
        <v>No</v>
      </c>
      <c r="X1085" s="0" t="n">
        <v>92.7</v>
      </c>
      <c r="Y1085" s="3" t="s">
        <v>30</v>
      </c>
      <c r="Z1085" s="0" t="str">
        <f aca="false">IF(M1085=1,P1085,"")</f>
        <v/>
      </c>
    </row>
    <row r="1086" customFormat="false" ht="15" hidden="false" customHeight="false" outlineLevel="0" collapsed="false">
      <c r="A1086" s="0" t="s">
        <v>1130</v>
      </c>
      <c r="B1086" s="2" t="n">
        <v>45798</v>
      </c>
      <c r="C1086" s="3" t="s">
        <v>736</v>
      </c>
      <c r="D1086" s="3" t="s">
        <v>43</v>
      </c>
      <c r="E1086" s="3" t="s">
        <v>35</v>
      </c>
      <c r="F1086" s="3" t="s">
        <v>30</v>
      </c>
      <c r="G1086" s="3" t="s">
        <v>52</v>
      </c>
      <c r="H1086" s="3" t="s">
        <v>30</v>
      </c>
      <c r="I1086" s="3" t="s">
        <v>32</v>
      </c>
      <c r="J1086" s="0" t="n">
        <v>1</v>
      </c>
      <c r="K1086" s="0" t="n">
        <v>1</v>
      </c>
      <c r="L1086" s="0" t="n">
        <v>1</v>
      </c>
      <c r="M1086" s="0" t="n">
        <v>0</v>
      </c>
      <c r="N1086" s="0" t="str">
        <f aca="false">IF(OR(NOT(OR(J1086=0,J1086=1)),NOT(OR(K1086=0,K1086=1)),NOT(OR(L1086=0,L1086=1)),NOT(OR(M1086=0,M1086=1)),NOT(OR(U1086=0,U1086=1))),"Yes","No")</f>
        <v>No</v>
      </c>
      <c r="O1086" s="0" t="str">
        <f aca="false">IF(OR(AND(M1086=1,L1086=0),AND(L1086=1,K1086=0),AND(K1086=1,J1086=0)),"Yes","No")</f>
        <v>No</v>
      </c>
      <c r="P1086" s="0" t="n">
        <v>0</v>
      </c>
      <c r="Q1086" s="0" t="str">
        <f aca="false">IF(OR(AND(M1086=0,P1086&gt;0),AND(M1086=1,P1086&lt;=0)),"Yes","No")</f>
        <v>No</v>
      </c>
      <c r="R1086" s="0" t="str">
        <f aca="false">IF(AND(M1086=1,P1086&gt;calc_helpers!$B$5),"Yes","No")</f>
        <v>No</v>
      </c>
      <c r="S1086" s="0" t="n">
        <v>1</v>
      </c>
      <c r="T1086" s="0" t="str">
        <f aca="false">IF(S1086&gt;0,"Yes","No")</f>
        <v>Yes</v>
      </c>
      <c r="U1086" s="0" t="n">
        <v>0</v>
      </c>
      <c r="W1086" s="0" t="str">
        <f aca="false">IF(OR(AND(M1086=1,ISBLANK(V1086)),AND(M1086=0,NOT(ISBLANK(V1086)))),"Yes","No")</f>
        <v>No</v>
      </c>
      <c r="X1086" s="0" t="n">
        <v>58.7</v>
      </c>
      <c r="Y1086" s="3" t="s">
        <v>30</v>
      </c>
      <c r="Z1086" s="0" t="str">
        <f aca="false">IF(M1086=1,P1086,"")</f>
        <v/>
      </c>
    </row>
    <row r="1087" customFormat="false" ht="15" hidden="false" customHeight="false" outlineLevel="0" collapsed="false">
      <c r="A1087" s="0" t="s">
        <v>1131</v>
      </c>
      <c r="B1087" s="2" t="n">
        <v>45759</v>
      </c>
      <c r="C1087" s="3" t="s">
        <v>736</v>
      </c>
      <c r="D1087" s="3" t="s">
        <v>43</v>
      </c>
      <c r="E1087" s="3" t="s">
        <v>35</v>
      </c>
      <c r="F1087" s="3" t="s">
        <v>30</v>
      </c>
      <c r="G1087" s="3" t="s">
        <v>52</v>
      </c>
      <c r="H1087" s="3" t="s">
        <v>30</v>
      </c>
      <c r="I1087" s="3" t="s">
        <v>37</v>
      </c>
      <c r="J1087" s="0" t="n">
        <v>1</v>
      </c>
      <c r="K1087" s="0" t="n">
        <v>1</v>
      </c>
      <c r="L1087" s="0" t="n">
        <v>1</v>
      </c>
      <c r="M1087" s="0" t="n">
        <v>0</v>
      </c>
      <c r="N1087" s="0" t="str">
        <f aca="false">IF(OR(NOT(OR(J1087=0,J1087=1)),NOT(OR(K1087=0,K1087=1)),NOT(OR(L1087=0,L1087=1)),NOT(OR(M1087=0,M1087=1)),NOT(OR(U1087=0,U1087=1))),"Yes","No")</f>
        <v>No</v>
      </c>
      <c r="O1087" s="0" t="str">
        <f aca="false">IF(OR(AND(M1087=1,L1087=0),AND(L1087=1,K1087=0),AND(K1087=1,J1087=0)),"Yes","No")</f>
        <v>No</v>
      </c>
      <c r="P1087" s="0" t="n">
        <v>0</v>
      </c>
      <c r="Q1087" s="0" t="str">
        <f aca="false">IF(OR(AND(M1087=0,P1087&gt;0),AND(M1087=1,P1087&lt;=0)),"Yes","No")</f>
        <v>No</v>
      </c>
      <c r="R1087" s="0" t="str">
        <f aca="false">IF(AND(M1087=1,P1087&gt;calc_helpers!$B$5),"Yes","No")</f>
        <v>No</v>
      </c>
      <c r="S1087" s="0" t="n">
        <v>0</v>
      </c>
      <c r="T1087" s="0" t="str">
        <f aca="false">IF(S1087&gt;0,"Yes","No")</f>
        <v>No</v>
      </c>
      <c r="U1087" s="0" t="n">
        <v>0</v>
      </c>
      <c r="W1087" s="0" t="str">
        <f aca="false">IF(OR(AND(M1087=1,ISBLANK(V1087)),AND(M1087=0,NOT(ISBLANK(V1087)))),"Yes","No")</f>
        <v>No</v>
      </c>
      <c r="X1087" s="0" t="n">
        <v>59.3</v>
      </c>
      <c r="Y1087" s="3" t="s">
        <v>30</v>
      </c>
      <c r="Z1087" s="0" t="str">
        <f aca="false">IF(M1087=1,P1087,"")</f>
        <v/>
      </c>
    </row>
    <row r="1088" customFormat="false" ht="15" hidden="false" customHeight="false" outlineLevel="0" collapsed="false">
      <c r="A1088" s="0" t="s">
        <v>1132</v>
      </c>
      <c r="B1088" s="2" t="n">
        <v>45690</v>
      </c>
      <c r="C1088" s="3" t="s">
        <v>736</v>
      </c>
      <c r="D1088" s="3" t="s">
        <v>43</v>
      </c>
      <c r="E1088" s="3" t="s">
        <v>35</v>
      </c>
      <c r="F1088" s="3" t="s">
        <v>30</v>
      </c>
      <c r="G1088" s="3" t="s">
        <v>40</v>
      </c>
      <c r="H1088" s="3" t="s">
        <v>30</v>
      </c>
      <c r="I1088" s="3" t="s">
        <v>37</v>
      </c>
      <c r="J1088" s="0" t="n">
        <v>1</v>
      </c>
      <c r="K1088" s="0" t="n">
        <v>0</v>
      </c>
      <c r="L1088" s="0" t="n">
        <v>0</v>
      </c>
      <c r="M1088" s="0" t="n">
        <v>0</v>
      </c>
      <c r="N1088" s="0" t="str">
        <f aca="false">IF(OR(NOT(OR(J1088=0,J1088=1)),NOT(OR(K1088=0,K1088=1)),NOT(OR(L1088=0,L1088=1)),NOT(OR(M1088=0,M1088=1)),NOT(OR(U1088=0,U1088=1))),"Yes","No")</f>
        <v>No</v>
      </c>
      <c r="O1088" s="0" t="str">
        <f aca="false">IF(OR(AND(M1088=1,L1088=0),AND(L1088=1,K1088=0),AND(K1088=1,J1088=0)),"Yes","No")</f>
        <v>No</v>
      </c>
      <c r="P1088" s="0" t="n">
        <v>0</v>
      </c>
      <c r="Q1088" s="0" t="str">
        <f aca="false">IF(OR(AND(M1088=0,P1088&gt;0),AND(M1088=1,P1088&lt;=0)),"Yes","No")</f>
        <v>No</v>
      </c>
      <c r="R1088" s="0" t="str">
        <f aca="false">IF(AND(M1088=1,P1088&gt;calc_helpers!$B$5),"Yes","No")</f>
        <v>No</v>
      </c>
      <c r="S1088" s="0" t="n">
        <v>0</v>
      </c>
      <c r="T1088" s="0" t="str">
        <f aca="false">IF(S1088&gt;0,"Yes","No")</f>
        <v>No</v>
      </c>
      <c r="U1088" s="0" t="n">
        <v>0</v>
      </c>
      <c r="W1088" s="0" t="str">
        <f aca="false">IF(OR(AND(M1088=1,ISBLANK(V1088)),AND(M1088=0,NOT(ISBLANK(V1088)))),"Yes","No")</f>
        <v>No</v>
      </c>
      <c r="X1088" s="0" t="n">
        <v>62</v>
      </c>
      <c r="Y1088" s="3" t="s">
        <v>30</v>
      </c>
      <c r="Z1088" s="0" t="str">
        <f aca="false">IF(M1088=1,P1088,"")</f>
        <v/>
      </c>
    </row>
    <row r="1089" customFormat="false" ht="15" hidden="false" customHeight="false" outlineLevel="0" collapsed="false">
      <c r="A1089" s="0" t="s">
        <v>1133</v>
      </c>
      <c r="B1089" s="2" t="n">
        <v>45769</v>
      </c>
      <c r="C1089" s="3" t="s">
        <v>736</v>
      </c>
      <c r="D1089" s="3" t="s">
        <v>28</v>
      </c>
      <c r="E1089" s="3" t="s">
        <v>45</v>
      </c>
      <c r="F1089" s="3" t="s">
        <v>30</v>
      </c>
      <c r="G1089" s="3" t="s">
        <v>50</v>
      </c>
      <c r="H1089" s="3" t="s">
        <v>30</v>
      </c>
      <c r="I1089" s="3" t="s">
        <v>37</v>
      </c>
      <c r="J1089" s="0" t="n">
        <v>1</v>
      </c>
      <c r="K1089" s="0" t="n">
        <v>1</v>
      </c>
      <c r="L1089" s="0" t="n">
        <v>1</v>
      </c>
      <c r="M1089" s="0" t="n">
        <v>0</v>
      </c>
      <c r="N1089" s="0" t="str">
        <f aca="false">IF(OR(NOT(OR(J1089=0,J1089=1)),NOT(OR(K1089=0,K1089=1)),NOT(OR(L1089=0,L1089=1)),NOT(OR(M1089=0,M1089=1)),NOT(OR(U1089=0,U1089=1))),"Yes","No")</f>
        <v>No</v>
      </c>
      <c r="O1089" s="0" t="str">
        <f aca="false">IF(OR(AND(M1089=1,L1089=0),AND(L1089=1,K1089=0),AND(K1089=1,J1089=0)),"Yes","No")</f>
        <v>No</v>
      </c>
      <c r="P1089" s="0" t="n">
        <v>0</v>
      </c>
      <c r="Q1089" s="0" t="str">
        <f aca="false">IF(OR(AND(M1089=0,P1089&gt;0),AND(M1089=1,P1089&lt;=0)),"Yes","No")</f>
        <v>No</v>
      </c>
      <c r="R1089" s="0" t="str">
        <f aca="false">IF(AND(M1089=1,P1089&gt;calc_helpers!$B$5),"Yes","No")</f>
        <v>No</v>
      </c>
      <c r="S1089" s="0" t="n">
        <v>1</v>
      </c>
      <c r="T1089" s="0" t="str">
        <f aca="false">IF(S1089&gt;0,"Yes","No")</f>
        <v>Yes</v>
      </c>
      <c r="U1089" s="0" t="n">
        <v>0</v>
      </c>
      <c r="W1089" s="0" t="str">
        <f aca="false">IF(OR(AND(M1089=1,ISBLANK(V1089)),AND(M1089=0,NOT(ISBLANK(V1089)))),"Yes","No")</f>
        <v>No</v>
      </c>
      <c r="X1089" s="0" t="n">
        <v>60.3</v>
      </c>
      <c r="Y1089" s="3" t="s">
        <v>30</v>
      </c>
      <c r="Z1089" s="0" t="str">
        <f aca="false">IF(M1089=1,P1089,"")</f>
        <v/>
      </c>
    </row>
    <row r="1090" customFormat="false" ht="15" hidden="false" customHeight="false" outlineLevel="0" collapsed="false">
      <c r="A1090" s="0" t="s">
        <v>1134</v>
      </c>
      <c r="B1090" s="2" t="n">
        <v>45696</v>
      </c>
      <c r="C1090" s="3" t="s">
        <v>736</v>
      </c>
      <c r="D1090" s="3" t="s">
        <v>28</v>
      </c>
      <c r="E1090" s="3" t="s">
        <v>35</v>
      </c>
      <c r="F1090" s="3" t="s">
        <v>30</v>
      </c>
      <c r="G1090" s="3" t="s">
        <v>52</v>
      </c>
      <c r="H1090" s="3" t="s">
        <v>30</v>
      </c>
      <c r="I1090" s="3" t="s">
        <v>32</v>
      </c>
      <c r="J1090" s="0" t="n">
        <v>1</v>
      </c>
      <c r="K1090" s="0" t="n">
        <v>0</v>
      </c>
      <c r="L1090" s="0" t="n">
        <v>0</v>
      </c>
      <c r="M1090" s="0" t="n">
        <v>0</v>
      </c>
      <c r="N1090" s="0" t="str">
        <f aca="false">IF(OR(NOT(OR(J1090=0,J1090=1)),NOT(OR(K1090=0,K1090=1)),NOT(OR(L1090=0,L1090=1)),NOT(OR(M1090=0,M1090=1)),NOT(OR(U1090=0,U1090=1))),"Yes","No")</f>
        <v>No</v>
      </c>
      <c r="O1090" s="0" t="str">
        <f aca="false">IF(OR(AND(M1090=1,L1090=0),AND(L1090=1,K1090=0),AND(K1090=1,J1090=0)),"Yes","No")</f>
        <v>No</v>
      </c>
      <c r="P1090" s="0" t="n">
        <v>0</v>
      </c>
      <c r="Q1090" s="0" t="str">
        <f aca="false">IF(OR(AND(M1090=0,P1090&gt;0),AND(M1090=1,P1090&lt;=0)),"Yes","No")</f>
        <v>No</v>
      </c>
      <c r="R1090" s="0" t="str">
        <f aca="false">IF(AND(M1090=1,P1090&gt;calc_helpers!$B$5),"Yes","No")</f>
        <v>No</v>
      </c>
      <c r="S1090" s="0" t="n">
        <v>0</v>
      </c>
      <c r="T1090" s="0" t="str">
        <f aca="false">IF(S1090&gt;0,"Yes","No")</f>
        <v>No</v>
      </c>
      <c r="U1090" s="0" t="n">
        <v>0</v>
      </c>
      <c r="W1090" s="0" t="str">
        <f aca="false">IF(OR(AND(M1090=1,ISBLANK(V1090)),AND(M1090=0,NOT(ISBLANK(V1090)))),"Yes","No")</f>
        <v>No</v>
      </c>
      <c r="X1090" s="0" t="n">
        <v>70.5</v>
      </c>
      <c r="Y1090" s="3" t="s">
        <v>30</v>
      </c>
      <c r="Z1090" s="0" t="str">
        <f aca="false">IF(M1090=1,P1090,"")</f>
        <v/>
      </c>
    </row>
    <row r="1091" customFormat="false" ht="15" hidden="false" customHeight="false" outlineLevel="0" collapsed="false">
      <c r="A1091" s="0" t="s">
        <v>1135</v>
      </c>
      <c r="B1091" s="2" t="n">
        <v>45681</v>
      </c>
      <c r="C1091" s="3" t="s">
        <v>736</v>
      </c>
      <c r="D1091" s="3" t="s">
        <v>43</v>
      </c>
      <c r="E1091" s="3" t="s">
        <v>29</v>
      </c>
      <c r="F1091" s="3" t="s">
        <v>30</v>
      </c>
      <c r="G1091" s="3" t="s">
        <v>31</v>
      </c>
      <c r="H1091" s="3" t="s">
        <v>30</v>
      </c>
      <c r="I1091" s="3" t="s">
        <v>37</v>
      </c>
      <c r="J1091" s="0" t="n">
        <v>1</v>
      </c>
      <c r="K1091" s="0" t="n">
        <v>0</v>
      </c>
      <c r="L1091" s="0" t="n">
        <v>0</v>
      </c>
      <c r="M1091" s="0" t="n">
        <v>0</v>
      </c>
      <c r="N1091" s="0" t="str">
        <f aca="false">IF(OR(NOT(OR(J1091=0,J1091=1)),NOT(OR(K1091=0,K1091=1)),NOT(OR(L1091=0,L1091=1)),NOT(OR(M1091=0,M1091=1)),NOT(OR(U1091=0,U1091=1))),"Yes","No")</f>
        <v>No</v>
      </c>
      <c r="O1091" s="0" t="str">
        <f aca="false">IF(OR(AND(M1091=1,L1091=0),AND(L1091=1,K1091=0),AND(K1091=1,J1091=0)),"Yes","No")</f>
        <v>No</v>
      </c>
      <c r="P1091" s="0" t="n">
        <v>0</v>
      </c>
      <c r="Q1091" s="0" t="str">
        <f aca="false">IF(OR(AND(M1091=0,P1091&gt;0),AND(M1091=1,P1091&lt;=0)),"Yes","No")</f>
        <v>No</v>
      </c>
      <c r="R1091" s="0" t="str">
        <f aca="false">IF(AND(M1091=1,P1091&gt;calc_helpers!$B$5),"Yes","No")</f>
        <v>No</v>
      </c>
      <c r="S1091" s="0" t="n">
        <v>0</v>
      </c>
      <c r="T1091" s="0" t="str">
        <f aca="false">IF(S1091&gt;0,"Yes","No")</f>
        <v>No</v>
      </c>
      <c r="U1091" s="0" t="n">
        <v>0</v>
      </c>
      <c r="W1091" s="0" t="str">
        <f aca="false">IF(OR(AND(M1091=1,ISBLANK(V1091)),AND(M1091=0,NOT(ISBLANK(V1091)))),"Yes","No")</f>
        <v>No</v>
      </c>
      <c r="X1091" s="0" t="n">
        <v>36.8</v>
      </c>
      <c r="Y1091" s="3" t="s">
        <v>30</v>
      </c>
      <c r="Z1091" s="0" t="str">
        <f aca="false">IF(M1091=1,P1091,"")</f>
        <v/>
      </c>
    </row>
    <row r="1092" customFormat="false" ht="15" hidden="false" customHeight="false" outlineLevel="0" collapsed="false">
      <c r="A1092" s="0" t="s">
        <v>1136</v>
      </c>
      <c r="B1092" s="2" t="n">
        <v>45789</v>
      </c>
      <c r="C1092" s="3" t="s">
        <v>736</v>
      </c>
      <c r="D1092" s="3" t="s">
        <v>43</v>
      </c>
      <c r="E1092" s="3" t="s">
        <v>35</v>
      </c>
      <c r="F1092" s="3" t="s">
        <v>30</v>
      </c>
      <c r="G1092" s="3" t="s">
        <v>40</v>
      </c>
      <c r="H1092" s="3" t="s">
        <v>30</v>
      </c>
      <c r="I1092" s="3" t="s">
        <v>32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str">
        <f aca="false">IF(OR(NOT(OR(J1092=0,J1092=1)),NOT(OR(K1092=0,K1092=1)),NOT(OR(L1092=0,L1092=1)),NOT(OR(M1092=0,M1092=1)),NOT(OR(U1092=0,U1092=1))),"Yes","No")</f>
        <v>No</v>
      </c>
      <c r="O1092" s="0" t="str">
        <f aca="false">IF(OR(AND(M1092=1,L1092=0),AND(L1092=1,K1092=0),AND(K1092=1,J1092=0)),"Yes","No")</f>
        <v>No</v>
      </c>
      <c r="P1092" s="0" t="n">
        <v>0</v>
      </c>
      <c r="Q1092" s="0" t="str">
        <f aca="false">IF(OR(AND(M1092=0,P1092&gt;0),AND(M1092=1,P1092&lt;=0)),"Yes","No")</f>
        <v>No</v>
      </c>
      <c r="R1092" s="0" t="str">
        <f aca="false">IF(AND(M1092=1,P1092&gt;calc_helpers!$B$5),"Yes","No")</f>
        <v>No</v>
      </c>
      <c r="S1092" s="0" t="n">
        <v>1</v>
      </c>
      <c r="T1092" s="0" t="str">
        <f aca="false">IF(S1092&gt;0,"Yes","No")</f>
        <v>Yes</v>
      </c>
      <c r="U1092" s="0" t="n">
        <v>0</v>
      </c>
      <c r="W1092" s="0" t="str">
        <f aca="false">IF(OR(AND(M1092=1,ISBLANK(V1092)),AND(M1092=0,NOT(ISBLANK(V1092)))),"Yes","No")</f>
        <v>No</v>
      </c>
      <c r="X1092" s="0" t="n">
        <v>73.2</v>
      </c>
      <c r="Y1092" s="3" t="s">
        <v>30</v>
      </c>
      <c r="Z1092" s="0" t="str">
        <f aca="false">IF(M1092=1,P1092,"")</f>
        <v/>
      </c>
    </row>
    <row r="1093" customFormat="false" ht="15" hidden="false" customHeight="false" outlineLevel="0" collapsed="false">
      <c r="A1093" s="0" t="s">
        <v>1137</v>
      </c>
      <c r="B1093" s="2" t="n">
        <v>45746</v>
      </c>
      <c r="C1093" s="3" t="s">
        <v>736</v>
      </c>
      <c r="D1093" s="3" t="s">
        <v>28</v>
      </c>
      <c r="E1093" s="3" t="s">
        <v>35</v>
      </c>
      <c r="F1093" s="3" t="s">
        <v>30</v>
      </c>
      <c r="G1093" s="3" t="s">
        <v>36</v>
      </c>
      <c r="H1093" s="3" t="s">
        <v>30</v>
      </c>
      <c r="I1093" s="3" t="s">
        <v>32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str">
        <f aca="false">IF(OR(NOT(OR(J1093=0,J1093=1)),NOT(OR(K1093=0,K1093=1)),NOT(OR(L1093=0,L1093=1)),NOT(OR(M1093=0,M1093=1)),NOT(OR(U1093=0,U1093=1))),"Yes","No")</f>
        <v>No</v>
      </c>
      <c r="O1093" s="0" t="str">
        <f aca="false">IF(OR(AND(M1093=1,L1093=0),AND(L1093=1,K1093=0),AND(K1093=1,J1093=0)),"Yes","No")</f>
        <v>No</v>
      </c>
      <c r="P1093" s="0" t="n">
        <v>0</v>
      </c>
      <c r="Q1093" s="0" t="str">
        <f aca="false">IF(OR(AND(M1093=0,P1093&gt;0),AND(M1093=1,P1093&lt;=0)),"Yes","No")</f>
        <v>No</v>
      </c>
      <c r="R1093" s="0" t="str">
        <f aca="false">IF(AND(M1093=1,P1093&gt;calc_helpers!$B$5),"Yes","No")</f>
        <v>No</v>
      </c>
      <c r="S1093" s="0" t="n">
        <v>0</v>
      </c>
      <c r="T1093" s="0" t="str">
        <f aca="false">IF(S1093&gt;0,"Yes","No")</f>
        <v>No</v>
      </c>
      <c r="U1093" s="0" t="n">
        <v>0</v>
      </c>
      <c r="W1093" s="0" t="str">
        <f aca="false">IF(OR(AND(M1093=1,ISBLANK(V1093)),AND(M1093=0,NOT(ISBLANK(V1093)))),"Yes","No")</f>
        <v>No</v>
      </c>
      <c r="X1093" s="0" t="n">
        <v>70.1</v>
      </c>
      <c r="Y1093" s="3" t="s">
        <v>30</v>
      </c>
      <c r="Z1093" s="0" t="str">
        <f aca="false">IF(M1093=1,P1093,"")</f>
        <v/>
      </c>
    </row>
    <row r="1094" customFormat="false" ht="15" hidden="false" customHeight="false" outlineLevel="0" collapsed="false">
      <c r="A1094" s="0" t="s">
        <v>1138</v>
      </c>
      <c r="B1094" s="2" t="n">
        <v>45659</v>
      </c>
      <c r="C1094" s="3" t="s">
        <v>736</v>
      </c>
      <c r="D1094" s="3" t="s">
        <v>43</v>
      </c>
      <c r="E1094" s="3" t="s">
        <v>29</v>
      </c>
      <c r="F1094" s="3" t="s">
        <v>30</v>
      </c>
      <c r="G1094" s="3" t="s">
        <v>40</v>
      </c>
      <c r="H1094" s="3" t="s">
        <v>30</v>
      </c>
      <c r="I1094" s="3" t="s">
        <v>32</v>
      </c>
      <c r="J1094" s="0" t="n">
        <v>1</v>
      </c>
      <c r="K1094" s="0" t="n">
        <v>0</v>
      </c>
      <c r="L1094" s="0" t="n">
        <v>0</v>
      </c>
      <c r="M1094" s="0" t="n">
        <v>0</v>
      </c>
      <c r="N1094" s="0" t="str">
        <f aca="false">IF(OR(NOT(OR(J1094=0,J1094=1)),NOT(OR(K1094=0,K1094=1)),NOT(OR(L1094=0,L1094=1)),NOT(OR(M1094=0,M1094=1)),NOT(OR(U1094=0,U1094=1))),"Yes","No")</f>
        <v>No</v>
      </c>
      <c r="O1094" s="0" t="str">
        <f aca="false">IF(OR(AND(M1094=1,L1094=0),AND(L1094=1,K1094=0),AND(K1094=1,J1094=0)),"Yes","No")</f>
        <v>No</v>
      </c>
      <c r="P1094" s="0" t="n">
        <v>0</v>
      </c>
      <c r="Q1094" s="0" t="str">
        <f aca="false">IF(OR(AND(M1094=0,P1094&gt;0),AND(M1094=1,P1094&lt;=0)),"Yes","No")</f>
        <v>No</v>
      </c>
      <c r="R1094" s="0" t="str">
        <f aca="false">IF(AND(M1094=1,P1094&gt;calc_helpers!$B$5),"Yes","No")</f>
        <v>No</v>
      </c>
      <c r="S1094" s="0" t="n">
        <v>0</v>
      </c>
      <c r="T1094" s="0" t="str">
        <f aca="false">IF(S1094&gt;0,"Yes","No")</f>
        <v>No</v>
      </c>
      <c r="U1094" s="0" t="n">
        <v>0</v>
      </c>
      <c r="W1094" s="0" t="str">
        <f aca="false">IF(OR(AND(M1094=1,ISBLANK(V1094)),AND(M1094=0,NOT(ISBLANK(V1094)))),"Yes","No")</f>
        <v>No</v>
      </c>
      <c r="X1094" s="0" t="n">
        <v>76.4</v>
      </c>
      <c r="Y1094" s="3" t="s">
        <v>30</v>
      </c>
      <c r="Z1094" s="0" t="str">
        <f aca="false">IF(M1094=1,P1094,"")</f>
        <v/>
      </c>
    </row>
    <row r="1095" customFormat="false" ht="15" hidden="false" customHeight="false" outlineLevel="0" collapsed="false">
      <c r="A1095" s="0" t="s">
        <v>1139</v>
      </c>
      <c r="B1095" s="2" t="n">
        <v>45737</v>
      </c>
      <c r="C1095" s="3" t="s">
        <v>736</v>
      </c>
      <c r="D1095" s="3" t="s">
        <v>43</v>
      </c>
      <c r="E1095" s="3" t="s">
        <v>45</v>
      </c>
      <c r="F1095" s="3" t="s">
        <v>30</v>
      </c>
      <c r="G1095" s="3" t="s">
        <v>31</v>
      </c>
      <c r="H1095" s="3" t="s">
        <v>30</v>
      </c>
      <c r="I1095" s="3" t="s">
        <v>32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str">
        <f aca="false">IF(OR(NOT(OR(J1095=0,J1095=1)),NOT(OR(K1095=0,K1095=1)),NOT(OR(L1095=0,L1095=1)),NOT(OR(M1095=0,M1095=1)),NOT(OR(U1095=0,U1095=1))),"Yes","No")</f>
        <v>No</v>
      </c>
      <c r="O1095" s="0" t="str">
        <f aca="false">IF(OR(AND(M1095=1,L1095=0),AND(L1095=1,K1095=0),AND(K1095=1,J1095=0)),"Yes","No")</f>
        <v>No</v>
      </c>
      <c r="P1095" s="0" t="n">
        <v>0</v>
      </c>
      <c r="Q1095" s="0" t="str">
        <f aca="false">IF(OR(AND(M1095=0,P1095&gt;0),AND(M1095=1,P1095&lt;=0)),"Yes","No")</f>
        <v>No</v>
      </c>
      <c r="R1095" s="0" t="str">
        <f aca="false">IF(AND(M1095=1,P1095&gt;calc_helpers!$B$5),"Yes","No")</f>
        <v>No</v>
      </c>
      <c r="S1095" s="0" t="n">
        <v>0</v>
      </c>
      <c r="T1095" s="0" t="str">
        <f aca="false">IF(S1095&gt;0,"Yes","No")</f>
        <v>No</v>
      </c>
      <c r="U1095" s="0" t="n">
        <v>0</v>
      </c>
      <c r="W1095" s="0" t="str">
        <f aca="false">IF(OR(AND(M1095=1,ISBLANK(V1095)),AND(M1095=0,NOT(ISBLANK(V1095)))),"Yes","No")</f>
        <v>No</v>
      </c>
      <c r="X1095" s="0" t="n">
        <v>46.4</v>
      </c>
      <c r="Y1095" s="3" t="s">
        <v>30</v>
      </c>
      <c r="Z1095" s="0" t="str">
        <f aca="false">IF(M1095=1,P1095,"")</f>
        <v/>
      </c>
    </row>
    <row r="1096" customFormat="false" ht="15" hidden="false" customHeight="false" outlineLevel="0" collapsed="false">
      <c r="A1096" s="0" t="s">
        <v>1140</v>
      </c>
      <c r="B1096" s="2" t="n">
        <v>45682</v>
      </c>
      <c r="C1096" s="3" t="s">
        <v>736</v>
      </c>
      <c r="D1096" s="3" t="s">
        <v>34</v>
      </c>
      <c r="E1096" s="3" t="s">
        <v>35</v>
      </c>
      <c r="F1096" s="3" t="s">
        <v>30</v>
      </c>
      <c r="G1096" s="3" t="s">
        <v>36</v>
      </c>
      <c r="H1096" s="3" t="s">
        <v>30</v>
      </c>
      <c r="I1096" s="3" t="s">
        <v>37</v>
      </c>
      <c r="J1096" s="0" t="n">
        <v>1</v>
      </c>
      <c r="K1096" s="0" t="n">
        <v>1</v>
      </c>
      <c r="L1096" s="0" t="n">
        <v>1</v>
      </c>
      <c r="M1096" s="0" t="n">
        <v>0</v>
      </c>
      <c r="N1096" s="0" t="str">
        <f aca="false">IF(OR(NOT(OR(J1096=0,J1096=1)),NOT(OR(K1096=0,K1096=1)),NOT(OR(L1096=0,L1096=1)),NOT(OR(M1096=0,M1096=1)),NOT(OR(U1096=0,U1096=1))),"Yes","No")</f>
        <v>No</v>
      </c>
      <c r="O1096" s="0" t="str">
        <f aca="false">IF(OR(AND(M1096=1,L1096=0),AND(L1096=1,K1096=0),AND(K1096=1,J1096=0)),"Yes","No")</f>
        <v>No</v>
      </c>
      <c r="P1096" s="0" t="n">
        <v>0</v>
      </c>
      <c r="Q1096" s="0" t="str">
        <f aca="false">IF(OR(AND(M1096=0,P1096&gt;0),AND(M1096=1,P1096&lt;=0)),"Yes","No")</f>
        <v>No</v>
      </c>
      <c r="R1096" s="0" t="str">
        <f aca="false">IF(AND(M1096=1,P1096&gt;calc_helpers!$B$5),"Yes","No")</f>
        <v>No</v>
      </c>
      <c r="S1096" s="0" t="n">
        <v>1</v>
      </c>
      <c r="T1096" s="0" t="str">
        <f aca="false">IF(S1096&gt;0,"Yes","No")</f>
        <v>Yes</v>
      </c>
      <c r="U1096" s="0" t="n">
        <v>0</v>
      </c>
      <c r="W1096" s="0" t="str">
        <f aca="false">IF(OR(AND(M1096=1,ISBLANK(V1096)),AND(M1096=0,NOT(ISBLANK(V1096)))),"Yes","No")</f>
        <v>No</v>
      </c>
      <c r="X1096" s="0" t="n">
        <v>81.3</v>
      </c>
      <c r="Y1096" s="3" t="s">
        <v>30</v>
      </c>
      <c r="Z1096" s="0" t="str">
        <f aca="false">IF(M1096=1,P1096,"")</f>
        <v/>
      </c>
    </row>
    <row r="1097" customFormat="false" ht="15" hidden="false" customHeight="false" outlineLevel="0" collapsed="false">
      <c r="A1097" s="0" t="s">
        <v>1141</v>
      </c>
      <c r="B1097" s="2" t="n">
        <v>45669</v>
      </c>
      <c r="C1097" s="3" t="s">
        <v>736</v>
      </c>
      <c r="D1097" s="3" t="s">
        <v>43</v>
      </c>
      <c r="E1097" s="3" t="s">
        <v>45</v>
      </c>
      <c r="F1097" s="3" t="s">
        <v>30</v>
      </c>
      <c r="G1097" s="3" t="s">
        <v>52</v>
      </c>
      <c r="H1097" s="3" t="s">
        <v>30</v>
      </c>
      <c r="I1097" s="3" t="s">
        <v>37</v>
      </c>
      <c r="J1097" s="0" t="n">
        <v>1</v>
      </c>
      <c r="K1097" s="0" t="n">
        <v>1</v>
      </c>
      <c r="L1097" s="0" t="n">
        <v>1</v>
      </c>
      <c r="M1097" s="0" t="n">
        <v>0</v>
      </c>
      <c r="N1097" s="0" t="str">
        <f aca="false">IF(OR(NOT(OR(J1097=0,J1097=1)),NOT(OR(K1097=0,K1097=1)),NOT(OR(L1097=0,L1097=1)),NOT(OR(M1097=0,M1097=1)),NOT(OR(U1097=0,U1097=1))),"Yes","No")</f>
        <v>No</v>
      </c>
      <c r="O1097" s="0" t="str">
        <f aca="false">IF(OR(AND(M1097=1,L1097=0),AND(L1097=1,K1097=0),AND(K1097=1,J1097=0)),"Yes","No")</f>
        <v>No</v>
      </c>
      <c r="P1097" s="0" t="n">
        <v>0</v>
      </c>
      <c r="Q1097" s="0" t="str">
        <f aca="false">IF(OR(AND(M1097=0,P1097&gt;0),AND(M1097=1,P1097&lt;=0)),"Yes","No")</f>
        <v>No</v>
      </c>
      <c r="R1097" s="0" t="str">
        <f aca="false">IF(AND(M1097=1,P1097&gt;calc_helpers!$B$5),"Yes","No")</f>
        <v>No</v>
      </c>
      <c r="S1097" s="0" t="n">
        <v>0</v>
      </c>
      <c r="T1097" s="0" t="str">
        <f aca="false">IF(S1097&gt;0,"Yes","No")</f>
        <v>No</v>
      </c>
      <c r="U1097" s="0" t="n">
        <v>0</v>
      </c>
      <c r="W1097" s="0" t="str">
        <f aca="false">IF(OR(AND(M1097=1,ISBLANK(V1097)),AND(M1097=0,NOT(ISBLANK(V1097)))),"Yes","No")</f>
        <v>No</v>
      </c>
      <c r="X1097" s="0" t="n">
        <v>55.3</v>
      </c>
      <c r="Y1097" s="3" t="s">
        <v>30</v>
      </c>
      <c r="Z1097" s="0" t="str">
        <f aca="false">IF(M1097=1,P1097,"")</f>
        <v/>
      </c>
    </row>
    <row r="1098" customFormat="false" ht="15" hidden="false" customHeight="false" outlineLevel="0" collapsed="false">
      <c r="A1098" s="0" t="s">
        <v>1142</v>
      </c>
      <c r="B1098" s="2" t="n">
        <v>45734</v>
      </c>
      <c r="C1098" s="3" t="s">
        <v>736</v>
      </c>
      <c r="D1098" s="3" t="s">
        <v>39</v>
      </c>
      <c r="E1098" s="3" t="s">
        <v>29</v>
      </c>
      <c r="F1098" s="3" t="s">
        <v>30</v>
      </c>
      <c r="G1098" s="3" t="s">
        <v>50</v>
      </c>
      <c r="H1098" s="3" t="s">
        <v>30</v>
      </c>
      <c r="I1098" s="3" t="s">
        <v>37</v>
      </c>
      <c r="J1098" s="0" t="n">
        <v>1</v>
      </c>
      <c r="K1098" s="0" t="n">
        <v>0</v>
      </c>
      <c r="L1098" s="0" t="n">
        <v>0</v>
      </c>
      <c r="M1098" s="0" t="n">
        <v>0</v>
      </c>
      <c r="N1098" s="0" t="str">
        <f aca="false">IF(OR(NOT(OR(J1098=0,J1098=1)),NOT(OR(K1098=0,K1098=1)),NOT(OR(L1098=0,L1098=1)),NOT(OR(M1098=0,M1098=1)),NOT(OR(U1098=0,U1098=1))),"Yes","No")</f>
        <v>No</v>
      </c>
      <c r="O1098" s="0" t="str">
        <f aca="false">IF(OR(AND(M1098=1,L1098=0),AND(L1098=1,K1098=0),AND(K1098=1,J1098=0)),"Yes","No")</f>
        <v>No</v>
      </c>
      <c r="P1098" s="0" t="n">
        <v>0</v>
      </c>
      <c r="Q1098" s="0" t="str">
        <f aca="false">IF(OR(AND(M1098=0,P1098&gt;0),AND(M1098=1,P1098&lt;=0)),"Yes","No")</f>
        <v>No</v>
      </c>
      <c r="R1098" s="0" t="str">
        <f aca="false">IF(AND(M1098=1,P1098&gt;calc_helpers!$B$5),"Yes","No")</f>
        <v>No</v>
      </c>
      <c r="S1098" s="0" t="n">
        <v>0</v>
      </c>
      <c r="T1098" s="0" t="str">
        <f aca="false">IF(S1098&gt;0,"Yes","No")</f>
        <v>No</v>
      </c>
      <c r="U1098" s="0" t="n">
        <v>0</v>
      </c>
      <c r="W1098" s="0" t="str">
        <f aca="false">IF(OR(AND(M1098=1,ISBLANK(V1098)),AND(M1098=0,NOT(ISBLANK(V1098)))),"Yes","No")</f>
        <v>No</v>
      </c>
      <c r="X1098" s="0" t="n">
        <v>44.7</v>
      </c>
      <c r="Y1098" s="3" t="s">
        <v>30</v>
      </c>
      <c r="Z1098" s="0" t="str">
        <f aca="false">IF(M1098=1,P1098,"")</f>
        <v/>
      </c>
    </row>
    <row r="1099" customFormat="false" ht="15" hidden="false" customHeight="false" outlineLevel="0" collapsed="false">
      <c r="A1099" s="0" t="s">
        <v>1143</v>
      </c>
      <c r="B1099" s="2" t="n">
        <v>45742</v>
      </c>
      <c r="C1099" s="3" t="s">
        <v>736</v>
      </c>
      <c r="D1099" s="3" t="s">
        <v>39</v>
      </c>
      <c r="E1099" s="3" t="s">
        <v>35</v>
      </c>
      <c r="F1099" s="3" t="s">
        <v>30</v>
      </c>
      <c r="G1099" s="3" t="s">
        <v>40</v>
      </c>
      <c r="H1099" s="3" t="s">
        <v>30</v>
      </c>
      <c r="I1099" s="3" t="s">
        <v>32</v>
      </c>
      <c r="J1099" s="0" t="n">
        <v>1</v>
      </c>
      <c r="K1099" s="0" t="n">
        <v>0</v>
      </c>
      <c r="L1099" s="0" t="n">
        <v>0</v>
      </c>
      <c r="M1099" s="0" t="n">
        <v>0</v>
      </c>
      <c r="N1099" s="0" t="str">
        <f aca="false">IF(OR(NOT(OR(J1099=0,J1099=1)),NOT(OR(K1099=0,K1099=1)),NOT(OR(L1099=0,L1099=1)),NOT(OR(M1099=0,M1099=1)),NOT(OR(U1099=0,U1099=1))),"Yes","No")</f>
        <v>No</v>
      </c>
      <c r="O1099" s="0" t="str">
        <f aca="false">IF(OR(AND(M1099=1,L1099=0),AND(L1099=1,K1099=0),AND(K1099=1,J1099=0)),"Yes","No")</f>
        <v>No</v>
      </c>
      <c r="P1099" s="0" t="n">
        <v>0</v>
      </c>
      <c r="Q1099" s="0" t="str">
        <f aca="false">IF(OR(AND(M1099=0,P1099&gt;0),AND(M1099=1,P1099&lt;=0)),"Yes","No")</f>
        <v>No</v>
      </c>
      <c r="R1099" s="0" t="str">
        <f aca="false">IF(AND(M1099=1,P1099&gt;calc_helpers!$B$5),"Yes","No")</f>
        <v>No</v>
      </c>
      <c r="S1099" s="0" t="n">
        <v>0</v>
      </c>
      <c r="T1099" s="0" t="str">
        <f aca="false">IF(S1099&gt;0,"Yes","No")</f>
        <v>No</v>
      </c>
      <c r="U1099" s="0" t="n">
        <v>0</v>
      </c>
      <c r="W1099" s="0" t="str">
        <f aca="false">IF(OR(AND(M1099=1,ISBLANK(V1099)),AND(M1099=0,NOT(ISBLANK(V1099)))),"Yes","No")</f>
        <v>No</v>
      </c>
      <c r="X1099" s="0" t="n">
        <v>67.2</v>
      </c>
      <c r="Y1099" s="3" t="s">
        <v>30</v>
      </c>
      <c r="Z1099" s="0" t="str">
        <f aca="false">IF(M1099=1,P1099,"")</f>
        <v/>
      </c>
    </row>
    <row r="1100" customFormat="false" ht="15" hidden="false" customHeight="false" outlineLevel="0" collapsed="false">
      <c r="A1100" s="0" t="s">
        <v>1144</v>
      </c>
      <c r="B1100" s="2" t="n">
        <v>45766</v>
      </c>
      <c r="C1100" s="3" t="s">
        <v>736</v>
      </c>
      <c r="D1100" s="3" t="s">
        <v>28</v>
      </c>
      <c r="E1100" s="3" t="s">
        <v>35</v>
      </c>
      <c r="F1100" s="3" t="s">
        <v>30</v>
      </c>
      <c r="G1100" s="3" t="s">
        <v>40</v>
      </c>
      <c r="H1100" s="3" t="s">
        <v>30</v>
      </c>
      <c r="I1100" s="3" t="s">
        <v>32</v>
      </c>
      <c r="J1100" s="0" t="n">
        <v>1</v>
      </c>
      <c r="K1100" s="0" t="n">
        <v>0</v>
      </c>
      <c r="L1100" s="0" t="n">
        <v>0</v>
      </c>
      <c r="M1100" s="0" t="n">
        <v>0</v>
      </c>
      <c r="N1100" s="0" t="str">
        <f aca="false">IF(OR(NOT(OR(J1100=0,J1100=1)),NOT(OR(K1100=0,K1100=1)),NOT(OR(L1100=0,L1100=1)),NOT(OR(M1100=0,M1100=1)),NOT(OR(U1100=0,U1100=1))),"Yes","No")</f>
        <v>No</v>
      </c>
      <c r="O1100" s="0" t="str">
        <f aca="false">IF(OR(AND(M1100=1,L1100=0),AND(L1100=1,K1100=0),AND(K1100=1,J1100=0)),"Yes","No")</f>
        <v>No</v>
      </c>
      <c r="P1100" s="0" t="n">
        <v>0</v>
      </c>
      <c r="Q1100" s="0" t="str">
        <f aca="false">IF(OR(AND(M1100=0,P1100&gt;0),AND(M1100=1,P1100&lt;=0)),"Yes","No")</f>
        <v>No</v>
      </c>
      <c r="R1100" s="0" t="str">
        <f aca="false">IF(AND(M1100=1,P1100&gt;calc_helpers!$B$5),"Yes","No")</f>
        <v>No</v>
      </c>
      <c r="S1100" s="0" t="n">
        <v>0</v>
      </c>
      <c r="T1100" s="0" t="str">
        <f aca="false">IF(S1100&gt;0,"Yes","No")</f>
        <v>No</v>
      </c>
      <c r="U1100" s="0" t="n">
        <v>0</v>
      </c>
      <c r="W1100" s="0" t="str">
        <f aca="false">IF(OR(AND(M1100=1,ISBLANK(V1100)),AND(M1100=0,NOT(ISBLANK(V1100)))),"Yes","No")</f>
        <v>No</v>
      </c>
      <c r="Y1100" s="3" t="s">
        <v>168</v>
      </c>
      <c r="Z1100" s="0" t="str">
        <f aca="false">IF(M1100=1,P1100,"")</f>
        <v/>
      </c>
    </row>
    <row r="1101" customFormat="false" ht="15" hidden="false" customHeight="false" outlineLevel="0" collapsed="false">
      <c r="A1101" s="0" t="s">
        <v>1145</v>
      </c>
      <c r="B1101" s="2" t="n">
        <v>45764</v>
      </c>
      <c r="C1101" s="3" t="s">
        <v>736</v>
      </c>
      <c r="D1101" s="3" t="s">
        <v>39</v>
      </c>
      <c r="E1101" s="3" t="s">
        <v>35</v>
      </c>
      <c r="F1101" s="3" t="s">
        <v>30</v>
      </c>
      <c r="G1101" s="3" t="s">
        <v>36</v>
      </c>
      <c r="H1101" s="3" t="s">
        <v>30</v>
      </c>
      <c r="I1101" s="3" t="s">
        <v>41</v>
      </c>
      <c r="J1101" s="0" t="n">
        <v>1</v>
      </c>
      <c r="K1101" s="0" t="n">
        <v>1</v>
      </c>
      <c r="L1101" s="0" t="n">
        <v>1</v>
      </c>
      <c r="M1101" s="0" t="n">
        <v>0</v>
      </c>
      <c r="N1101" s="0" t="str">
        <f aca="false">IF(OR(NOT(OR(J1101=0,J1101=1)),NOT(OR(K1101=0,K1101=1)),NOT(OR(L1101=0,L1101=1)),NOT(OR(M1101=0,M1101=1)),NOT(OR(U1101=0,U1101=1))),"Yes","No")</f>
        <v>No</v>
      </c>
      <c r="O1101" s="0" t="str">
        <f aca="false">IF(OR(AND(M1101=1,L1101=0),AND(L1101=1,K1101=0),AND(K1101=1,J1101=0)),"Yes","No")</f>
        <v>No</v>
      </c>
      <c r="P1101" s="0" t="n">
        <v>0</v>
      </c>
      <c r="Q1101" s="0" t="str">
        <f aca="false">IF(OR(AND(M1101=0,P1101&gt;0),AND(M1101=1,P1101&lt;=0)),"Yes","No")</f>
        <v>No</v>
      </c>
      <c r="R1101" s="0" t="str">
        <f aca="false">IF(AND(M1101=1,P1101&gt;calc_helpers!$B$5),"Yes","No")</f>
        <v>No</v>
      </c>
      <c r="S1101" s="0" t="n">
        <v>1</v>
      </c>
      <c r="T1101" s="0" t="str">
        <f aca="false">IF(S1101&gt;0,"Yes","No")</f>
        <v>Yes</v>
      </c>
      <c r="U1101" s="0" t="n">
        <v>0</v>
      </c>
      <c r="W1101" s="0" t="str">
        <f aca="false">IF(OR(AND(M1101=1,ISBLANK(V1101)),AND(M1101=0,NOT(ISBLANK(V1101)))),"Yes","No")</f>
        <v>No</v>
      </c>
      <c r="X1101" s="0" t="n">
        <v>70.8</v>
      </c>
      <c r="Y1101" s="3" t="s">
        <v>30</v>
      </c>
      <c r="Z1101" s="0" t="str">
        <f aca="false">IF(M1101=1,P1101,"")</f>
        <v/>
      </c>
    </row>
    <row r="1102" customFormat="false" ht="15" hidden="false" customHeight="false" outlineLevel="0" collapsed="false">
      <c r="A1102" s="0" t="s">
        <v>1146</v>
      </c>
      <c r="B1102" s="2" t="n">
        <v>45803</v>
      </c>
      <c r="C1102" s="3" t="s">
        <v>736</v>
      </c>
      <c r="D1102" s="3" t="s">
        <v>43</v>
      </c>
      <c r="E1102" s="3" t="s">
        <v>35</v>
      </c>
      <c r="F1102" s="3" t="s">
        <v>30</v>
      </c>
      <c r="G1102" s="3" t="s">
        <v>40</v>
      </c>
      <c r="H1102" s="3" t="s">
        <v>30</v>
      </c>
      <c r="I1102" s="3" t="s">
        <v>37</v>
      </c>
      <c r="J1102" s="0" t="n">
        <v>1</v>
      </c>
      <c r="K1102" s="0" t="n">
        <v>0</v>
      </c>
      <c r="L1102" s="0" t="n">
        <v>0</v>
      </c>
      <c r="M1102" s="0" t="n">
        <v>0</v>
      </c>
      <c r="N1102" s="0" t="str">
        <f aca="false">IF(OR(NOT(OR(J1102=0,J1102=1)),NOT(OR(K1102=0,K1102=1)),NOT(OR(L1102=0,L1102=1)),NOT(OR(M1102=0,M1102=1)),NOT(OR(U1102=0,U1102=1))),"Yes","No")</f>
        <v>No</v>
      </c>
      <c r="O1102" s="0" t="str">
        <f aca="false">IF(OR(AND(M1102=1,L1102=0),AND(L1102=1,K1102=0),AND(K1102=1,J1102=0)),"Yes","No")</f>
        <v>No</v>
      </c>
      <c r="P1102" s="0" t="n">
        <v>0</v>
      </c>
      <c r="Q1102" s="0" t="str">
        <f aca="false">IF(OR(AND(M1102=0,P1102&gt;0),AND(M1102=1,P1102&lt;=0)),"Yes","No")</f>
        <v>No</v>
      </c>
      <c r="R1102" s="0" t="str">
        <f aca="false">IF(AND(M1102=1,P1102&gt;calc_helpers!$B$5),"Yes","No")</f>
        <v>No</v>
      </c>
      <c r="S1102" s="0" t="n">
        <v>0</v>
      </c>
      <c r="T1102" s="0" t="str">
        <f aca="false">IF(S1102&gt;0,"Yes","No")</f>
        <v>No</v>
      </c>
      <c r="U1102" s="0" t="n">
        <v>0</v>
      </c>
      <c r="W1102" s="0" t="str">
        <f aca="false">IF(OR(AND(M1102=1,ISBLANK(V1102)),AND(M1102=0,NOT(ISBLANK(V1102)))),"Yes","No")</f>
        <v>No</v>
      </c>
      <c r="X1102" s="0" t="n">
        <v>71.3</v>
      </c>
      <c r="Y1102" s="3" t="s">
        <v>30</v>
      </c>
      <c r="Z1102" s="0" t="str">
        <f aca="false">IF(M1102=1,P1102,"")</f>
        <v/>
      </c>
    </row>
    <row r="1103" customFormat="false" ht="15" hidden="false" customHeight="false" outlineLevel="0" collapsed="false">
      <c r="A1103" s="0" t="s">
        <v>1147</v>
      </c>
      <c r="B1103" s="2" t="n">
        <v>45761</v>
      </c>
      <c r="C1103" s="3" t="s">
        <v>736</v>
      </c>
      <c r="D1103" s="3" t="s">
        <v>28</v>
      </c>
      <c r="E1103" s="3" t="s">
        <v>35</v>
      </c>
      <c r="F1103" s="3" t="s">
        <v>30</v>
      </c>
      <c r="G1103" s="3" t="s">
        <v>52</v>
      </c>
      <c r="H1103" s="3" t="s">
        <v>30</v>
      </c>
      <c r="I1103" s="3" t="s">
        <v>41</v>
      </c>
      <c r="J1103" s="0" t="n">
        <v>1</v>
      </c>
      <c r="K1103" s="0" t="n">
        <v>1</v>
      </c>
      <c r="L1103" s="0" t="n">
        <v>1</v>
      </c>
      <c r="M1103" s="0" t="n">
        <v>0</v>
      </c>
      <c r="N1103" s="0" t="str">
        <f aca="false">IF(OR(NOT(OR(J1103=0,J1103=1)),NOT(OR(K1103=0,K1103=1)),NOT(OR(L1103=0,L1103=1)),NOT(OR(M1103=0,M1103=1)),NOT(OR(U1103=0,U1103=1))),"Yes","No")</f>
        <v>No</v>
      </c>
      <c r="O1103" s="0" t="str">
        <f aca="false">IF(OR(AND(M1103=1,L1103=0),AND(L1103=1,K1103=0),AND(K1103=1,J1103=0)),"Yes","No")</f>
        <v>No</v>
      </c>
      <c r="P1103" s="0" t="n">
        <v>0</v>
      </c>
      <c r="Q1103" s="0" t="str">
        <f aca="false">IF(OR(AND(M1103=0,P1103&gt;0),AND(M1103=1,P1103&lt;=0)),"Yes","No")</f>
        <v>No</v>
      </c>
      <c r="R1103" s="0" t="str">
        <f aca="false">IF(AND(M1103=1,P1103&gt;calc_helpers!$B$5),"Yes","No")</f>
        <v>No</v>
      </c>
      <c r="S1103" s="0" t="n">
        <v>0</v>
      </c>
      <c r="T1103" s="0" t="str">
        <f aca="false">IF(S1103&gt;0,"Yes","No")</f>
        <v>No</v>
      </c>
      <c r="U1103" s="0" t="n">
        <v>0</v>
      </c>
      <c r="W1103" s="0" t="str">
        <f aca="false">IF(OR(AND(M1103=1,ISBLANK(V1103)),AND(M1103=0,NOT(ISBLANK(V1103)))),"Yes","No")</f>
        <v>No</v>
      </c>
      <c r="X1103" s="0" t="n">
        <v>69.4</v>
      </c>
      <c r="Y1103" s="3" t="s">
        <v>30</v>
      </c>
      <c r="Z1103" s="0" t="str">
        <f aca="false">IF(M1103=1,P1103,"")</f>
        <v/>
      </c>
    </row>
    <row r="1104" customFormat="false" ht="15" hidden="false" customHeight="false" outlineLevel="0" collapsed="false">
      <c r="A1104" s="0" t="s">
        <v>1148</v>
      </c>
      <c r="B1104" s="2" t="n">
        <v>45680</v>
      </c>
      <c r="C1104" s="3" t="s">
        <v>736</v>
      </c>
      <c r="D1104" s="3" t="s">
        <v>43</v>
      </c>
      <c r="E1104" s="3" t="s">
        <v>35</v>
      </c>
      <c r="F1104" s="3" t="s">
        <v>30</v>
      </c>
      <c r="G1104" s="3" t="s">
        <v>36</v>
      </c>
      <c r="H1104" s="3" t="s">
        <v>30</v>
      </c>
      <c r="I1104" s="3" t="s">
        <v>32</v>
      </c>
      <c r="J1104" s="0" t="n">
        <v>1</v>
      </c>
      <c r="K1104" s="0" t="n">
        <v>1</v>
      </c>
      <c r="L1104" s="0" t="n">
        <v>0</v>
      </c>
      <c r="M1104" s="0" t="n">
        <v>0</v>
      </c>
      <c r="N1104" s="0" t="str">
        <f aca="false">IF(OR(NOT(OR(J1104=0,J1104=1)),NOT(OR(K1104=0,K1104=1)),NOT(OR(L1104=0,L1104=1)),NOT(OR(M1104=0,M1104=1)),NOT(OR(U1104=0,U1104=1))),"Yes","No")</f>
        <v>No</v>
      </c>
      <c r="O1104" s="0" t="str">
        <f aca="false">IF(OR(AND(M1104=1,L1104=0),AND(L1104=1,K1104=0),AND(K1104=1,J1104=0)),"Yes","No")</f>
        <v>No</v>
      </c>
      <c r="P1104" s="0" t="n">
        <v>0</v>
      </c>
      <c r="Q1104" s="0" t="str">
        <f aca="false">IF(OR(AND(M1104=0,P1104&gt;0),AND(M1104=1,P1104&lt;=0)),"Yes","No")</f>
        <v>No</v>
      </c>
      <c r="R1104" s="0" t="str">
        <f aca="false">IF(AND(M1104=1,P1104&gt;calc_helpers!$B$5),"Yes","No")</f>
        <v>No</v>
      </c>
      <c r="S1104" s="0" t="n">
        <v>0</v>
      </c>
      <c r="T1104" s="0" t="str">
        <f aca="false">IF(S1104&gt;0,"Yes","No")</f>
        <v>No</v>
      </c>
      <c r="U1104" s="0" t="n">
        <v>0</v>
      </c>
      <c r="W1104" s="0" t="str">
        <f aca="false">IF(OR(AND(M1104=1,ISBLANK(V1104)),AND(M1104=0,NOT(ISBLANK(V1104)))),"Yes","No")</f>
        <v>No</v>
      </c>
      <c r="X1104" s="0" t="n">
        <v>58.9</v>
      </c>
      <c r="Y1104" s="3" t="s">
        <v>30</v>
      </c>
      <c r="Z1104" s="0" t="str">
        <f aca="false">IF(M1104=1,P1104,"")</f>
        <v/>
      </c>
    </row>
    <row r="1105" customFormat="false" ht="15" hidden="false" customHeight="false" outlineLevel="0" collapsed="false">
      <c r="A1105" s="0" t="s">
        <v>1149</v>
      </c>
      <c r="B1105" s="2" t="n">
        <v>45663</v>
      </c>
      <c r="C1105" s="3" t="s">
        <v>736</v>
      </c>
      <c r="D1105" s="3" t="s">
        <v>39</v>
      </c>
      <c r="E1105" s="3" t="s">
        <v>35</v>
      </c>
      <c r="F1105" s="3" t="s">
        <v>30</v>
      </c>
      <c r="G1105" s="3" t="s">
        <v>50</v>
      </c>
      <c r="H1105" s="3" t="s">
        <v>30</v>
      </c>
      <c r="I1105" s="3" t="s">
        <v>37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str">
        <f aca="false">IF(OR(NOT(OR(J1105=0,J1105=1)),NOT(OR(K1105=0,K1105=1)),NOT(OR(L1105=0,L1105=1)),NOT(OR(M1105=0,M1105=1)),NOT(OR(U1105=0,U1105=1))),"Yes","No")</f>
        <v>No</v>
      </c>
      <c r="O1105" s="0" t="str">
        <f aca="false">IF(OR(AND(M1105=1,L1105=0),AND(L1105=1,K1105=0),AND(K1105=1,J1105=0)),"Yes","No")</f>
        <v>No</v>
      </c>
      <c r="P1105" s="0" t="n">
        <v>0</v>
      </c>
      <c r="Q1105" s="0" t="str">
        <f aca="false">IF(OR(AND(M1105=0,P1105&gt;0),AND(M1105=1,P1105&lt;=0)),"Yes","No")</f>
        <v>No</v>
      </c>
      <c r="R1105" s="0" t="str">
        <f aca="false">IF(AND(M1105=1,P1105&gt;calc_helpers!$B$5),"Yes","No")</f>
        <v>No</v>
      </c>
      <c r="S1105" s="0" t="n">
        <v>0</v>
      </c>
      <c r="T1105" s="0" t="str">
        <f aca="false">IF(S1105&gt;0,"Yes","No")</f>
        <v>No</v>
      </c>
      <c r="U1105" s="0" t="n">
        <v>0</v>
      </c>
      <c r="W1105" s="0" t="str">
        <f aca="false">IF(OR(AND(M1105=1,ISBLANK(V1105)),AND(M1105=0,NOT(ISBLANK(V1105)))),"Yes","No")</f>
        <v>No</v>
      </c>
      <c r="X1105" s="0" t="n">
        <v>70.7</v>
      </c>
      <c r="Y1105" s="3" t="s">
        <v>30</v>
      </c>
      <c r="Z1105" s="0" t="str">
        <f aca="false">IF(M1105=1,P1105,"")</f>
        <v/>
      </c>
    </row>
    <row r="1106" customFormat="false" ht="15" hidden="false" customHeight="false" outlineLevel="0" collapsed="false">
      <c r="A1106" s="0" t="s">
        <v>1150</v>
      </c>
      <c r="B1106" s="2" t="n">
        <v>45808</v>
      </c>
      <c r="C1106" s="3" t="s">
        <v>736</v>
      </c>
      <c r="D1106" s="3" t="s">
        <v>34</v>
      </c>
      <c r="E1106" s="3" t="s">
        <v>35</v>
      </c>
      <c r="F1106" s="3" t="s">
        <v>30</v>
      </c>
      <c r="G1106" s="3" t="s">
        <v>31</v>
      </c>
      <c r="H1106" s="3" t="s">
        <v>30</v>
      </c>
      <c r="I1106" s="3" t="s">
        <v>32</v>
      </c>
      <c r="J1106" s="0" t="n">
        <v>1</v>
      </c>
      <c r="K1106" s="0" t="n">
        <v>0</v>
      </c>
      <c r="L1106" s="0" t="n">
        <v>0</v>
      </c>
      <c r="M1106" s="0" t="n">
        <v>0</v>
      </c>
      <c r="N1106" s="0" t="str">
        <f aca="false">IF(OR(NOT(OR(J1106=0,J1106=1)),NOT(OR(K1106=0,K1106=1)),NOT(OR(L1106=0,L1106=1)),NOT(OR(M1106=0,M1106=1)),NOT(OR(U1106=0,U1106=1))),"Yes","No")</f>
        <v>No</v>
      </c>
      <c r="O1106" s="0" t="str">
        <f aca="false">IF(OR(AND(M1106=1,L1106=0),AND(L1106=1,K1106=0),AND(K1106=1,J1106=0)),"Yes","No")</f>
        <v>No</v>
      </c>
      <c r="P1106" s="0" t="n">
        <v>0</v>
      </c>
      <c r="Q1106" s="0" t="str">
        <f aca="false">IF(OR(AND(M1106=0,P1106&gt;0),AND(M1106=1,P1106&lt;=0)),"Yes","No")</f>
        <v>No</v>
      </c>
      <c r="R1106" s="0" t="str">
        <f aca="false">IF(AND(M1106=1,P1106&gt;calc_helpers!$B$5),"Yes","No")</f>
        <v>No</v>
      </c>
      <c r="S1106" s="0" t="n">
        <v>0</v>
      </c>
      <c r="T1106" s="0" t="str">
        <f aca="false">IF(S1106&gt;0,"Yes","No")</f>
        <v>No</v>
      </c>
      <c r="U1106" s="0" t="n">
        <v>0</v>
      </c>
      <c r="W1106" s="0" t="str">
        <f aca="false">IF(OR(AND(M1106=1,ISBLANK(V1106)),AND(M1106=0,NOT(ISBLANK(V1106)))),"Yes","No")</f>
        <v>No</v>
      </c>
      <c r="X1106" s="0" t="n">
        <v>60.5</v>
      </c>
      <c r="Y1106" s="3" t="s">
        <v>30</v>
      </c>
      <c r="Z1106" s="0" t="str">
        <f aca="false">IF(M1106=1,P1106,"")</f>
        <v/>
      </c>
    </row>
    <row r="1107" customFormat="false" ht="15" hidden="false" customHeight="false" outlineLevel="0" collapsed="false">
      <c r="A1107" s="0" t="s">
        <v>1151</v>
      </c>
      <c r="B1107" s="2" t="n">
        <v>45796</v>
      </c>
      <c r="C1107" s="3" t="s">
        <v>736</v>
      </c>
      <c r="D1107" s="3" t="s">
        <v>28</v>
      </c>
      <c r="E1107" s="3" t="s">
        <v>35</v>
      </c>
      <c r="F1107" s="3" t="s">
        <v>30</v>
      </c>
      <c r="G1107" s="3" t="s">
        <v>36</v>
      </c>
      <c r="H1107" s="3" t="s">
        <v>30</v>
      </c>
      <c r="I1107" s="3" t="s">
        <v>32</v>
      </c>
      <c r="J1107" s="0" t="n">
        <v>1</v>
      </c>
      <c r="K1107" s="0" t="n">
        <v>1</v>
      </c>
      <c r="L1107" s="0" t="n">
        <v>1</v>
      </c>
      <c r="M1107" s="0" t="n">
        <v>0</v>
      </c>
      <c r="N1107" s="0" t="str">
        <f aca="false">IF(OR(NOT(OR(J1107=0,J1107=1)),NOT(OR(K1107=0,K1107=1)),NOT(OR(L1107=0,L1107=1)),NOT(OR(M1107=0,M1107=1)),NOT(OR(U1107=0,U1107=1))),"Yes","No")</f>
        <v>No</v>
      </c>
      <c r="O1107" s="0" t="str">
        <f aca="false">IF(OR(AND(M1107=1,L1107=0),AND(L1107=1,K1107=0),AND(K1107=1,J1107=0)),"Yes","No")</f>
        <v>No</v>
      </c>
      <c r="P1107" s="0" t="n">
        <v>0</v>
      </c>
      <c r="Q1107" s="0" t="str">
        <f aca="false">IF(OR(AND(M1107=0,P1107&gt;0),AND(M1107=1,P1107&lt;=0)),"Yes","No")</f>
        <v>No</v>
      </c>
      <c r="R1107" s="0" t="str">
        <f aca="false">IF(AND(M1107=1,P1107&gt;calc_helpers!$B$5),"Yes","No")</f>
        <v>No</v>
      </c>
      <c r="S1107" s="0" t="n">
        <v>0</v>
      </c>
      <c r="T1107" s="0" t="str">
        <f aca="false">IF(S1107&gt;0,"Yes","No")</f>
        <v>No</v>
      </c>
      <c r="U1107" s="0" t="n">
        <v>0</v>
      </c>
      <c r="W1107" s="0" t="str">
        <f aca="false">IF(OR(AND(M1107=1,ISBLANK(V1107)),AND(M1107=0,NOT(ISBLANK(V1107)))),"Yes","No")</f>
        <v>No</v>
      </c>
      <c r="X1107" s="0" t="n">
        <v>77.3</v>
      </c>
      <c r="Y1107" s="3" t="s">
        <v>30</v>
      </c>
      <c r="Z1107" s="0" t="str">
        <f aca="false">IF(M1107=1,P1107,"")</f>
        <v/>
      </c>
    </row>
    <row r="1108" customFormat="false" ht="15" hidden="false" customHeight="false" outlineLevel="0" collapsed="false">
      <c r="A1108" s="0" t="s">
        <v>1152</v>
      </c>
      <c r="B1108" s="2" t="n">
        <v>45713</v>
      </c>
      <c r="C1108" s="3" t="s">
        <v>736</v>
      </c>
      <c r="D1108" s="3" t="s">
        <v>28</v>
      </c>
      <c r="E1108" s="3" t="s">
        <v>35</v>
      </c>
      <c r="F1108" s="3" t="s">
        <v>30</v>
      </c>
      <c r="G1108" s="3" t="s">
        <v>36</v>
      </c>
      <c r="H1108" s="3" t="s">
        <v>30</v>
      </c>
      <c r="I1108" s="3" t="s">
        <v>37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str">
        <f aca="false">IF(OR(NOT(OR(J1108=0,J1108=1)),NOT(OR(K1108=0,K1108=1)),NOT(OR(L1108=0,L1108=1)),NOT(OR(M1108=0,M1108=1)),NOT(OR(U1108=0,U1108=1))),"Yes","No")</f>
        <v>No</v>
      </c>
      <c r="O1108" s="0" t="str">
        <f aca="false">IF(OR(AND(M1108=1,L1108=0),AND(L1108=1,K1108=0),AND(K1108=1,J1108=0)),"Yes","No")</f>
        <v>No</v>
      </c>
      <c r="P1108" s="0" t="n">
        <v>0</v>
      </c>
      <c r="Q1108" s="0" t="str">
        <f aca="false">IF(OR(AND(M1108=0,P1108&gt;0),AND(M1108=1,P1108&lt;=0)),"Yes","No")</f>
        <v>No</v>
      </c>
      <c r="R1108" s="0" t="str">
        <f aca="false">IF(AND(M1108=1,P1108&gt;calc_helpers!$B$5),"Yes","No")</f>
        <v>No</v>
      </c>
      <c r="S1108" s="0" t="n">
        <v>1</v>
      </c>
      <c r="T1108" s="0" t="str">
        <f aca="false">IF(S1108&gt;0,"Yes","No")</f>
        <v>Yes</v>
      </c>
      <c r="U1108" s="0" t="n">
        <v>0</v>
      </c>
      <c r="W1108" s="0" t="str">
        <f aca="false">IF(OR(AND(M1108=1,ISBLANK(V1108)),AND(M1108=0,NOT(ISBLANK(V1108)))),"Yes","No")</f>
        <v>No</v>
      </c>
      <c r="X1108" s="0" t="n">
        <v>39.5</v>
      </c>
      <c r="Y1108" s="3" t="s">
        <v>30</v>
      </c>
      <c r="Z1108" s="0" t="str">
        <f aca="false">IF(M1108=1,P1108,"")</f>
        <v/>
      </c>
    </row>
    <row r="1109" customFormat="false" ht="15" hidden="false" customHeight="false" outlineLevel="0" collapsed="false">
      <c r="A1109" s="0" t="s">
        <v>1153</v>
      </c>
      <c r="B1109" s="2" t="n">
        <v>45667</v>
      </c>
      <c r="C1109" s="3" t="s">
        <v>736</v>
      </c>
      <c r="D1109" s="3" t="s">
        <v>43</v>
      </c>
      <c r="E1109" s="3" t="s">
        <v>45</v>
      </c>
      <c r="F1109" s="3" t="s">
        <v>30</v>
      </c>
      <c r="G1109" s="3" t="s">
        <v>36</v>
      </c>
      <c r="H1109" s="3" t="s">
        <v>30</v>
      </c>
      <c r="I1109" s="3" t="s">
        <v>32</v>
      </c>
      <c r="J1109" s="0" t="n">
        <v>1</v>
      </c>
      <c r="K1109" s="0" t="n">
        <v>0</v>
      </c>
      <c r="L1109" s="0" t="n">
        <v>0</v>
      </c>
      <c r="M1109" s="0" t="n">
        <v>0</v>
      </c>
      <c r="N1109" s="0" t="str">
        <f aca="false">IF(OR(NOT(OR(J1109=0,J1109=1)),NOT(OR(K1109=0,K1109=1)),NOT(OR(L1109=0,L1109=1)),NOT(OR(M1109=0,M1109=1)),NOT(OR(U1109=0,U1109=1))),"Yes","No")</f>
        <v>No</v>
      </c>
      <c r="O1109" s="0" t="str">
        <f aca="false">IF(OR(AND(M1109=1,L1109=0),AND(L1109=1,K1109=0),AND(K1109=1,J1109=0)),"Yes","No")</f>
        <v>No</v>
      </c>
      <c r="P1109" s="0" t="n">
        <v>0</v>
      </c>
      <c r="Q1109" s="0" t="str">
        <f aca="false">IF(OR(AND(M1109=0,P1109&gt;0),AND(M1109=1,P1109&lt;=0)),"Yes","No")</f>
        <v>No</v>
      </c>
      <c r="R1109" s="0" t="str">
        <f aca="false">IF(AND(M1109=1,P1109&gt;calc_helpers!$B$5),"Yes","No")</f>
        <v>No</v>
      </c>
      <c r="S1109" s="0" t="n">
        <v>0</v>
      </c>
      <c r="T1109" s="0" t="str">
        <f aca="false">IF(S1109&gt;0,"Yes","No")</f>
        <v>No</v>
      </c>
      <c r="U1109" s="0" t="n">
        <v>0</v>
      </c>
      <c r="W1109" s="0" t="str">
        <f aca="false">IF(OR(AND(M1109=1,ISBLANK(V1109)),AND(M1109=0,NOT(ISBLANK(V1109)))),"Yes","No")</f>
        <v>No</v>
      </c>
      <c r="X1109" s="0" t="n">
        <v>68.1</v>
      </c>
      <c r="Y1109" s="3" t="s">
        <v>30</v>
      </c>
      <c r="Z1109" s="0" t="str">
        <f aca="false">IF(M1109=1,P1109,"")</f>
        <v/>
      </c>
    </row>
    <row r="1110" customFormat="false" ht="15" hidden="false" customHeight="false" outlineLevel="0" collapsed="false">
      <c r="A1110" s="0" t="s">
        <v>1154</v>
      </c>
      <c r="B1110" s="2" t="n">
        <v>45790</v>
      </c>
      <c r="C1110" s="3" t="s">
        <v>736</v>
      </c>
      <c r="D1110" s="3" t="s">
        <v>28</v>
      </c>
      <c r="E1110" s="3" t="s">
        <v>45</v>
      </c>
      <c r="F1110" s="3" t="s">
        <v>30</v>
      </c>
      <c r="G1110" s="3" t="s">
        <v>40</v>
      </c>
      <c r="H1110" s="3" t="s">
        <v>30</v>
      </c>
      <c r="I1110" s="3" t="s">
        <v>37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str">
        <f aca="false">IF(OR(NOT(OR(J1110=0,J1110=1)),NOT(OR(K1110=0,K1110=1)),NOT(OR(L1110=0,L1110=1)),NOT(OR(M1110=0,M1110=1)),NOT(OR(U1110=0,U1110=1))),"Yes","No")</f>
        <v>No</v>
      </c>
      <c r="O1110" s="0" t="str">
        <f aca="false">IF(OR(AND(M1110=1,L1110=0),AND(L1110=1,K1110=0),AND(K1110=1,J1110=0)),"Yes","No")</f>
        <v>No</v>
      </c>
      <c r="P1110" s="0" t="n">
        <v>0</v>
      </c>
      <c r="Q1110" s="0" t="str">
        <f aca="false">IF(OR(AND(M1110=0,P1110&gt;0),AND(M1110=1,P1110&lt;=0)),"Yes","No")</f>
        <v>No</v>
      </c>
      <c r="R1110" s="0" t="str">
        <f aca="false">IF(AND(M1110=1,P1110&gt;calc_helpers!$B$5),"Yes","No")</f>
        <v>No</v>
      </c>
      <c r="S1110" s="0" t="n">
        <v>0</v>
      </c>
      <c r="T1110" s="0" t="str">
        <f aca="false">IF(S1110&gt;0,"Yes","No")</f>
        <v>No</v>
      </c>
      <c r="U1110" s="0" t="n">
        <v>0</v>
      </c>
      <c r="W1110" s="0" t="str">
        <f aca="false">IF(OR(AND(M1110=1,ISBLANK(V1110)),AND(M1110=0,NOT(ISBLANK(V1110)))),"Yes","No")</f>
        <v>No</v>
      </c>
      <c r="X1110" s="0" t="n">
        <v>80.3</v>
      </c>
      <c r="Y1110" s="3" t="s">
        <v>30</v>
      </c>
      <c r="Z1110" s="0" t="str">
        <f aca="false">IF(M1110=1,P1110,"")</f>
        <v/>
      </c>
    </row>
    <row r="1111" customFormat="false" ht="15" hidden="false" customHeight="false" outlineLevel="0" collapsed="false">
      <c r="A1111" s="0" t="s">
        <v>1155</v>
      </c>
      <c r="B1111" s="2" t="n">
        <v>45774</v>
      </c>
      <c r="C1111" s="3" t="s">
        <v>736</v>
      </c>
      <c r="D1111" s="3" t="s">
        <v>34</v>
      </c>
      <c r="E1111" s="3" t="s">
        <v>29</v>
      </c>
      <c r="F1111" s="3" t="s">
        <v>30</v>
      </c>
      <c r="G1111" s="3" t="s">
        <v>36</v>
      </c>
      <c r="H1111" s="3" t="s">
        <v>30</v>
      </c>
      <c r="I1111" s="3" t="s">
        <v>41</v>
      </c>
      <c r="J1111" s="0" t="n">
        <v>1</v>
      </c>
      <c r="K1111" s="0" t="n">
        <v>0</v>
      </c>
      <c r="L1111" s="0" t="n">
        <v>0</v>
      </c>
      <c r="M1111" s="0" t="n">
        <v>0</v>
      </c>
      <c r="N1111" s="0" t="str">
        <f aca="false">IF(OR(NOT(OR(J1111=0,J1111=1)),NOT(OR(K1111=0,K1111=1)),NOT(OR(L1111=0,L1111=1)),NOT(OR(M1111=0,M1111=1)),NOT(OR(U1111=0,U1111=1))),"Yes","No")</f>
        <v>No</v>
      </c>
      <c r="O1111" s="0" t="str">
        <f aca="false">IF(OR(AND(M1111=1,L1111=0),AND(L1111=1,K1111=0),AND(K1111=1,J1111=0)),"Yes","No")</f>
        <v>No</v>
      </c>
      <c r="P1111" s="0" t="n">
        <v>0</v>
      </c>
      <c r="Q1111" s="0" t="str">
        <f aca="false">IF(OR(AND(M1111=0,P1111&gt;0),AND(M1111=1,P1111&lt;=0)),"Yes","No")</f>
        <v>No</v>
      </c>
      <c r="R1111" s="0" t="str">
        <f aca="false">IF(AND(M1111=1,P1111&gt;calc_helpers!$B$5),"Yes","No")</f>
        <v>No</v>
      </c>
      <c r="S1111" s="0" t="n">
        <v>0</v>
      </c>
      <c r="T1111" s="0" t="str">
        <f aca="false">IF(S1111&gt;0,"Yes","No")</f>
        <v>No</v>
      </c>
      <c r="U1111" s="0" t="n">
        <v>0</v>
      </c>
      <c r="W1111" s="0" t="str">
        <f aca="false">IF(OR(AND(M1111=1,ISBLANK(V1111)),AND(M1111=0,NOT(ISBLANK(V1111)))),"Yes","No")</f>
        <v>No</v>
      </c>
      <c r="X1111" s="0" t="n">
        <v>77.7</v>
      </c>
      <c r="Y1111" s="3" t="s">
        <v>30</v>
      </c>
      <c r="Z1111" s="0" t="str">
        <f aca="false">IF(M1111=1,P1111,"")</f>
        <v/>
      </c>
    </row>
    <row r="1112" customFormat="false" ht="15" hidden="false" customHeight="false" outlineLevel="0" collapsed="false">
      <c r="A1112" s="0" t="s">
        <v>1156</v>
      </c>
      <c r="B1112" s="2" t="n">
        <v>45750</v>
      </c>
      <c r="C1112" s="3" t="s">
        <v>736</v>
      </c>
      <c r="D1112" s="3" t="s">
        <v>43</v>
      </c>
      <c r="E1112" s="3" t="s">
        <v>35</v>
      </c>
      <c r="F1112" s="3" t="s">
        <v>30</v>
      </c>
      <c r="G1112" s="3" t="s">
        <v>36</v>
      </c>
      <c r="H1112" s="3" t="s">
        <v>30</v>
      </c>
      <c r="I1112" s="3" t="s">
        <v>37</v>
      </c>
      <c r="J1112" s="0" t="n">
        <v>1</v>
      </c>
      <c r="K1112" s="0" t="n">
        <v>0</v>
      </c>
      <c r="L1112" s="0" t="n">
        <v>0</v>
      </c>
      <c r="M1112" s="0" t="n">
        <v>0</v>
      </c>
      <c r="N1112" s="0" t="str">
        <f aca="false">IF(OR(NOT(OR(J1112=0,J1112=1)),NOT(OR(K1112=0,K1112=1)),NOT(OR(L1112=0,L1112=1)),NOT(OR(M1112=0,M1112=1)),NOT(OR(U1112=0,U1112=1))),"Yes","No")</f>
        <v>No</v>
      </c>
      <c r="O1112" s="0" t="str">
        <f aca="false">IF(OR(AND(M1112=1,L1112=0),AND(L1112=1,K1112=0),AND(K1112=1,J1112=0)),"Yes","No")</f>
        <v>No</v>
      </c>
      <c r="P1112" s="0" t="n">
        <v>0</v>
      </c>
      <c r="Q1112" s="0" t="str">
        <f aca="false">IF(OR(AND(M1112=0,P1112&gt;0),AND(M1112=1,P1112&lt;=0)),"Yes","No")</f>
        <v>No</v>
      </c>
      <c r="R1112" s="0" t="str">
        <f aca="false">IF(AND(M1112=1,P1112&gt;calc_helpers!$B$5),"Yes","No")</f>
        <v>No</v>
      </c>
      <c r="S1112" s="0" t="n">
        <v>1</v>
      </c>
      <c r="T1112" s="0" t="str">
        <f aca="false">IF(S1112&gt;0,"Yes","No")</f>
        <v>Yes</v>
      </c>
      <c r="U1112" s="0" t="n">
        <v>0</v>
      </c>
      <c r="W1112" s="0" t="str">
        <f aca="false">IF(OR(AND(M1112=1,ISBLANK(V1112)),AND(M1112=0,NOT(ISBLANK(V1112)))),"Yes","No")</f>
        <v>No</v>
      </c>
      <c r="X1112" s="0" t="n">
        <v>66.2</v>
      </c>
      <c r="Y1112" s="3" t="s">
        <v>30</v>
      </c>
      <c r="Z1112" s="0" t="str">
        <f aca="false">IF(M1112=1,P1112,"")</f>
        <v/>
      </c>
    </row>
    <row r="1113" customFormat="false" ht="15" hidden="false" customHeight="false" outlineLevel="0" collapsed="false">
      <c r="A1113" s="0" t="s">
        <v>1157</v>
      </c>
      <c r="B1113" s="2" t="n">
        <v>45742</v>
      </c>
      <c r="C1113" s="3" t="s">
        <v>736</v>
      </c>
      <c r="D1113" s="3" t="s">
        <v>43</v>
      </c>
      <c r="E1113" s="3" t="s">
        <v>35</v>
      </c>
      <c r="F1113" s="3" t="s">
        <v>30</v>
      </c>
      <c r="G1113" s="3" t="s">
        <v>36</v>
      </c>
      <c r="H1113" s="3" t="s">
        <v>30</v>
      </c>
      <c r="I1113" s="3" t="s">
        <v>37</v>
      </c>
      <c r="J1113" s="0" t="n">
        <v>1</v>
      </c>
      <c r="K1113" s="0" t="n">
        <v>1</v>
      </c>
      <c r="L1113" s="0" t="n">
        <v>1</v>
      </c>
      <c r="M1113" s="0" t="n">
        <v>0</v>
      </c>
      <c r="N1113" s="0" t="str">
        <f aca="false">IF(OR(NOT(OR(J1113=0,J1113=1)),NOT(OR(K1113=0,K1113=1)),NOT(OR(L1113=0,L1113=1)),NOT(OR(M1113=0,M1113=1)),NOT(OR(U1113=0,U1113=1))),"Yes","No")</f>
        <v>No</v>
      </c>
      <c r="O1113" s="0" t="str">
        <f aca="false">IF(OR(AND(M1113=1,L1113=0),AND(L1113=1,K1113=0),AND(K1113=1,J1113=0)),"Yes","No")</f>
        <v>No</v>
      </c>
      <c r="P1113" s="0" t="n">
        <v>0</v>
      </c>
      <c r="Q1113" s="0" t="str">
        <f aca="false">IF(OR(AND(M1113=0,P1113&gt;0),AND(M1113=1,P1113&lt;=0)),"Yes","No")</f>
        <v>No</v>
      </c>
      <c r="R1113" s="0" t="str">
        <f aca="false">IF(AND(M1113=1,P1113&gt;calc_helpers!$B$5),"Yes","No")</f>
        <v>No</v>
      </c>
      <c r="S1113" s="0" t="n">
        <v>1</v>
      </c>
      <c r="T1113" s="0" t="str">
        <f aca="false">IF(S1113&gt;0,"Yes","No")</f>
        <v>Yes</v>
      </c>
      <c r="U1113" s="0" t="n">
        <v>0</v>
      </c>
      <c r="W1113" s="0" t="str">
        <f aca="false">IF(OR(AND(M1113=1,ISBLANK(V1113)),AND(M1113=0,NOT(ISBLANK(V1113)))),"Yes","No")</f>
        <v>No</v>
      </c>
      <c r="X1113" s="0" t="n">
        <v>43.9</v>
      </c>
      <c r="Y1113" s="3" t="s">
        <v>30</v>
      </c>
      <c r="Z1113" s="0" t="str">
        <f aca="false">IF(M1113=1,P1113,"")</f>
        <v/>
      </c>
    </row>
    <row r="1114" customFormat="false" ht="15" hidden="false" customHeight="false" outlineLevel="0" collapsed="false">
      <c r="A1114" s="0" t="s">
        <v>1158</v>
      </c>
      <c r="B1114" s="2" t="n">
        <v>45688</v>
      </c>
      <c r="C1114" s="3" t="s">
        <v>736</v>
      </c>
      <c r="D1114" s="3" t="s">
        <v>43</v>
      </c>
      <c r="E1114" s="3" t="s">
        <v>35</v>
      </c>
      <c r="F1114" s="3" t="s">
        <v>30</v>
      </c>
      <c r="G1114" s="3" t="s">
        <v>36</v>
      </c>
      <c r="H1114" s="3" t="s">
        <v>30</v>
      </c>
      <c r="I1114" s="3" t="s">
        <v>32</v>
      </c>
      <c r="J1114" s="0" t="n">
        <v>1</v>
      </c>
      <c r="K1114" s="0" t="n">
        <v>1</v>
      </c>
      <c r="L1114" s="0" t="n">
        <v>1</v>
      </c>
      <c r="M1114" s="0" t="n">
        <v>0</v>
      </c>
      <c r="N1114" s="0" t="str">
        <f aca="false">IF(OR(NOT(OR(J1114=0,J1114=1)),NOT(OR(K1114=0,K1114=1)),NOT(OR(L1114=0,L1114=1)),NOT(OR(M1114=0,M1114=1)),NOT(OR(U1114=0,U1114=1))),"Yes","No")</f>
        <v>No</v>
      </c>
      <c r="O1114" s="0" t="str">
        <f aca="false">IF(OR(AND(M1114=1,L1114=0),AND(L1114=1,K1114=0),AND(K1114=1,J1114=0)),"Yes","No")</f>
        <v>No</v>
      </c>
      <c r="P1114" s="0" t="n">
        <v>0</v>
      </c>
      <c r="Q1114" s="0" t="str">
        <f aca="false">IF(OR(AND(M1114=0,P1114&gt;0),AND(M1114=1,P1114&lt;=0)),"Yes","No")</f>
        <v>No</v>
      </c>
      <c r="R1114" s="0" t="str">
        <f aca="false">IF(AND(M1114=1,P1114&gt;calc_helpers!$B$5),"Yes","No")</f>
        <v>No</v>
      </c>
      <c r="S1114" s="0" t="n">
        <v>2</v>
      </c>
      <c r="T1114" s="0" t="str">
        <f aca="false">IF(S1114&gt;0,"Yes","No")</f>
        <v>Yes</v>
      </c>
      <c r="U1114" s="0" t="n">
        <v>0</v>
      </c>
      <c r="W1114" s="0" t="str">
        <f aca="false">IF(OR(AND(M1114=1,ISBLANK(V1114)),AND(M1114=0,NOT(ISBLANK(V1114)))),"Yes","No")</f>
        <v>No</v>
      </c>
      <c r="X1114" s="0" t="n">
        <v>59.1</v>
      </c>
      <c r="Y1114" s="3" t="s">
        <v>30</v>
      </c>
      <c r="Z1114" s="0" t="str">
        <f aca="false">IF(M1114=1,P1114,"")</f>
        <v/>
      </c>
    </row>
    <row r="1115" customFormat="false" ht="15" hidden="false" customHeight="false" outlineLevel="0" collapsed="false">
      <c r="A1115" s="0" t="s">
        <v>1159</v>
      </c>
      <c r="B1115" s="2" t="n">
        <v>45682</v>
      </c>
      <c r="C1115" s="3" t="s">
        <v>736</v>
      </c>
      <c r="D1115" s="3" t="s">
        <v>43</v>
      </c>
      <c r="E1115" s="3" t="s">
        <v>35</v>
      </c>
      <c r="F1115" s="3" t="s">
        <v>30</v>
      </c>
      <c r="G1115" s="3" t="s">
        <v>52</v>
      </c>
      <c r="H1115" s="3" t="s">
        <v>30</v>
      </c>
      <c r="I1115" s="3" t="s">
        <v>37</v>
      </c>
      <c r="J1115" s="0" t="n">
        <v>1</v>
      </c>
      <c r="K1115" s="0" t="n">
        <v>1</v>
      </c>
      <c r="L1115" s="0" t="n">
        <v>1</v>
      </c>
      <c r="M1115" s="0" t="n">
        <v>1</v>
      </c>
      <c r="N1115" s="0" t="str">
        <f aca="false">IF(OR(NOT(OR(J1115=0,J1115=1)),NOT(OR(K1115=0,K1115=1)),NOT(OR(L1115=0,L1115=1)),NOT(OR(M1115=0,M1115=1)),NOT(OR(U1115=0,U1115=1))),"Yes","No")</f>
        <v>No</v>
      </c>
      <c r="O1115" s="0" t="str">
        <f aca="false">IF(OR(AND(M1115=1,L1115=0),AND(L1115=1,K1115=0),AND(K1115=1,J1115=0)),"Yes","No")</f>
        <v>No</v>
      </c>
      <c r="P1115" s="0" t="n">
        <v>416.94</v>
      </c>
      <c r="Q1115" s="0" t="str">
        <f aca="false">IF(OR(AND(M1115=0,P1115&gt;0),AND(M1115=1,P1115&lt;=0)),"Yes","No")</f>
        <v>No</v>
      </c>
      <c r="R1115" s="0" t="str">
        <f aca="false">IF(AND(M1115=1,P1115&gt;calc_helpers!$B$5),"Yes","No")</f>
        <v>No</v>
      </c>
      <c r="S1115" s="0" t="n">
        <v>1</v>
      </c>
      <c r="T1115" s="0" t="str">
        <f aca="false">IF(S1115&gt;0,"Yes","No")</f>
        <v>Yes</v>
      </c>
      <c r="U1115" s="0" t="n">
        <v>0</v>
      </c>
      <c r="V1115" s="0" t="n">
        <v>11</v>
      </c>
      <c r="W1115" s="0" t="str">
        <f aca="false">IF(OR(AND(M1115=1,ISBLANK(V1115)),AND(M1115=0,NOT(ISBLANK(V1115)))),"Yes","No")</f>
        <v>No</v>
      </c>
      <c r="X1115" s="0" t="n">
        <v>67</v>
      </c>
      <c r="Y1115" s="3" t="s">
        <v>30</v>
      </c>
      <c r="Z1115" s="3" t="n">
        <f aca="false">IF(M1115=1,P1115,"")</f>
        <v>416.94</v>
      </c>
    </row>
    <row r="1116" customFormat="false" ht="15" hidden="false" customHeight="false" outlineLevel="0" collapsed="false">
      <c r="A1116" s="0" t="s">
        <v>1160</v>
      </c>
      <c r="B1116" s="2" t="n">
        <v>45694</v>
      </c>
      <c r="C1116" s="3" t="s">
        <v>736</v>
      </c>
      <c r="D1116" s="3" t="s">
        <v>34</v>
      </c>
      <c r="E1116" s="3" t="s">
        <v>35</v>
      </c>
      <c r="F1116" s="3" t="s">
        <v>30</v>
      </c>
      <c r="G1116" s="3" t="s">
        <v>50</v>
      </c>
      <c r="H1116" s="3" t="s">
        <v>30</v>
      </c>
      <c r="I1116" s="3" t="s">
        <v>32</v>
      </c>
      <c r="J1116" s="0" t="n">
        <v>1</v>
      </c>
      <c r="K1116" s="0" t="n">
        <v>0</v>
      </c>
      <c r="L1116" s="0" t="n">
        <v>0</v>
      </c>
      <c r="M1116" s="0" t="n">
        <v>0</v>
      </c>
      <c r="N1116" s="0" t="str">
        <f aca="false">IF(OR(NOT(OR(J1116=0,J1116=1)),NOT(OR(K1116=0,K1116=1)),NOT(OR(L1116=0,L1116=1)),NOT(OR(M1116=0,M1116=1)),NOT(OR(U1116=0,U1116=1))),"Yes","No")</f>
        <v>No</v>
      </c>
      <c r="O1116" s="0" t="str">
        <f aca="false">IF(OR(AND(M1116=1,L1116=0),AND(L1116=1,K1116=0),AND(K1116=1,J1116=0)),"Yes","No")</f>
        <v>No</v>
      </c>
      <c r="P1116" s="0" t="n">
        <v>0</v>
      </c>
      <c r="Q1116" s="0" t="str">
        <f aca="false">IF(OR(AND(M1116=0,P1116&gt;0),AND(M1116=1,P1116&lt;=0)),"Yes","No")</f>
        <v>No</v>
      </c>
      <c r="R1116" s="0" t="str">
        <f aca="false">IF(AND(M1116=1,P1116&gt;calc_helpers!$B$5),"Yes","No")</f>
        <v>No</v>
      </c>
      <c r="S1116" s="0" t="n">
        <v>0</v>
      </c>
      <c r="T1116" s="0" t="str">
        <f aca="false">IF(S1116&gt;0,"Yes","No")</f>
        <v>No</v>
      </c>
      <c r="U1116" s="0" t="n">
        <v>0</v>
      </c>
      <c r="W1116" s="0" t="str">
        <f aca="false">IF(OR(AND(M1116=1,ISBLANK(V1116)),AND(M1116=0,NOT(ISBLANK(V1116)))),"Yes","No")</f>
        <v>No</v>
      </c>
      <c r="X1116" s="0" t="n">
        <v>47.9</v>
      </c>
      <c r="Y1116" s="3" t="s">
        <v>30</v>
      </c>
      <c r="Z1116" s="0" t="str">
        <f aca="false">IF(M1116=1,P1116,"")</f>
        <v/>
      </c>
    </row>
    <row r="1117" customFormat="false" ht="15" hidden="false" customHeight="false" outlineLevel="0" collapsed="false">
      <c r="A1117" s="0" t="s">
        <v>1161</v>
      </c>
      <c r="B1117" s="2" t="n">
        <v>45726</v>
      </c>
      <c r="C1117" s="3" t="s">
        <v>736</v>
      </c>
      <c r="D1117" s="3" t="s">
        <v>39</v>
      </c>
      <c r="E1117" s="3" t="s">
        <v>35</v>
      </c>
      <c r="F1117" s="3" t="s">
        <v>30</v>
      </c>
      <c r="G1117" s="3" t="s">
        <v>40</v>
      </c>
      <c r="H1117" s="3" t="s">
        <v>30</v>
      </c>
      <c r="I1117" s="3" t="s">
        <v>37</v>
      </c>
      <c r="J1117" s="0" t="n">
        <v>1</v>
      </c>
      <c r="K1117" s="0" t="n">
        <v>1</v>
      </c>
      <c r="L1117" s="0" t="n">
        <v>0</v>
      </c>
      <c r="M1117" s="0" t="n">
        <v>0</v>
      </c>
      <c r="N1117" s="0" t="str">
        <f aca="false">IF(OR(NOT(OR(J1117=0,J1117=1)),NOT(OR(K1117=0,K1117=1)),NOT(OR(L1117=0,L1117=1)),NOT(OR(M1117=0,M1117=1)),NOT(OR(U1117=0,U1117=1))),"Yes","No")</f>
        <v>No</v>
      </c>
      <c r="O1117" s="0" t="str">
        <f aca="false">IF(OR(AND(M1117=1,L1117=0),AND(L1117=1,K1117=0),AND(K1117=1,J1117=0)),"Yes","No")</f>
        <v>No</v>
      </c>
      <c r="P1117" s="0" t="n">
        <v>0</v>
      </c>
      <c r="Q1117" s="0" t="str">
        <f aca="false">IF(OR(AND(M1117=0,P1117&gt;0),AND(M1117=1,P1117&lt;=0)),"Yes","No")</f>
        <v>No</v>
      </c>
      <c r="R1117" s="0" t="str">
        <f aca="false">IF(AND(M1117=1,P1117&gt;calc_helpers!$B$5),"Yes","No")</f>
        <v>No</v>
      </c>
      <c r="S1117" s="0" t="n">
        <v>0</v>
      </c>
      <c r="T1117" s="0" t="str">
        <f aca="false">IF(S1117&gt;0,"Yes","No")</f>
        <v>No</v>
      </c>
      <c r="U1117" s="0" t="n">
        <v>0</v>
      </c>
      <c r="W1117" s="0" t="str">
        <f aca="false">IF(OR(AND(M1117=1,ISBLANK(V1117)),AND(M1117=0,NOT(ISBLANK(V1117)))),"Yes","No")</f>
        <v>No</v>
      </c>
      <c r="X1117" s="0" t="n">
        <v>41.5</v>
      </c>
      <c r="Y1117" s="3" t="s">
        <v>30</v>
      </c>
      <c r="Z1117" s="0" t="str">
        <f aca="false">IF(M1117=1,P1117,"")</f>
        <v/>
      </c>
    </row>
    <row r="1118" customFormat="false" ht="15" hidden="false" customHeight="false" outlineLevel="0" collapsed="false">
      <c r="A1118" s="0" t="s">
        <v>1162</v>
      </c>
      <c r="B1118" s="2" t="n">
        <v>45683</v>
      </c>
      <c r="C1118" s="3" t="s">
        <v>736</v>
      </c>
      <c r="D1118" s="3" t="s">
        <v>34</v>
      </c>
      <c r="E1118" s="3" t="s">
        <v>35</v>
      </c>
      <c r="F1118" s="3" t="s">
        <v>30</v>
      </c>
      <c r="G1118" s="3" t="s">
        <v>36</v>
      </c>
      <c r="H1118" s="3" t="s">
        <v>30</v>
      </c>
      <c r="I1118" s="3" t="s">
        <v>32</v>
      </c>
      <c r="J1118" s="0" t="n">
        <v>1</v>
      </c>
      <c r="K1118" s="0" t="n">
        <v>1</v>
      </c>
      <c r="L1118" s="0" t="n">
        <v>1</v>
      </c>
      <c r="M1118" s="0" t="n">
        <v>0</v>
      </c>
      <c r="N1118" s="0" t="str">
        <f aca="false">IF(OR(NOT(OR(J1118=0,J1118=1)),NOT(OR(K1118=0,K1118=1)),NOT(OR(L1118=0,L1118=1)),NOT(OR(M1118=0,M1118=1)),NOT(OR(U1118=0,U1118=1))),"Yes","No")</f>
        <v>No</v>
      </c>
      <c r="O1118" s="0" t="str">
        <f aca="false">IF(OR(AND(M1118=1,L1118=0),AND(L1118=1,K1118=0),AND(K1118=1,J1118=0)),"Yes","No")</f>
        <v>No</v>
      </c>
      <c r="P1118" s="0" t="n">
        <v>0</v>
      </c>
      <c r="Q1118" s="0" t="str">
        <f aca="false">IF(OR(AND(M1118=0,P1118&gt;0),AND(M1118=1,P1118&lt;=0)),"Yes","No")</f>
        <v>No</v>
      </c>
      <c r="R1118" s="0" t="str">
        <f aca="false">IF(AND(M1118=1,P1118&gt;calc_helpers!$B$5),"Yes","No")</f>
        <v>No</v>
      </c>
      <c r="S1118" s="0" t="n">
        <v>3</v>
      </c>
      <c r="T1118" s="0" t="str">
        <f aca="false">IF(S1118&gt;0,"Yes","No")</f>
        <v>Yes</v>
      </c>
      <c r="U1118" s="0" t="n">
        <v>0</v>
      </c>
      <c r="W1118" s="0" t="str">
        <f aca="false">IF(OR(AND(M1118=1,ISBLANK(V1118)),AND(M1118=0,NOT(ISBLANK(V1118)))),"Yes","No")</f>
        <v>No</v>
      </c>
      <c r="X1118" s="0" t="n">
        <v>30.6</v>
      </c>
      <c r="Y1118" s="3" t="s">
        <v>30</v>
      </c>
      <c r="Z1118" s="0" t="str">
        <f aca="false">IF(M1118=1,P1118,"")</f>
        <v/>
      </c>
    </row>
    <row r="1119" customFormat="false" ht="15" hidden="false" customHeight="false" outlineLevel="0" collapsed="false">
      <c r="A1119" s="0" t="s">
        <v>1163</v>
      </c>
      <c r="B1119" s="2" t="n">
        <v>45658</v>
      </c>
      <c r="C1119" s="3" t="s">
        <v>736</v>
      </c>
      <c r="D1119" s="3" t="s">
        <v>39</v>
      </c>
      <c r="E1119" s="3" t="s">
        <v>35</v>
      </c>
      <c r="F1119" s="3" t="s">
        <v>30</v>
      </c>
      <c r="G1119" s="3" t="s">
        <v>40</v>
      </c>
      <c r="H1119" s="3" t="s">
        <v>30</v>
      </c>
      <c r="I1119" s="3" t="s">
        <v>37</v>
      </c>
      <c r="J1119" s="0" t="n">
        <v>1</v>
      </c>
      <c r="K1119" s="0" t="n">
        <v>1</v>
      </c>
      <c r="L1119" s="0" t="n">
        <v>0</v>
      </c>
      <c r="M1119" s="0" t="n">
        <v>0</v>
      </c>
      <c r="N1119" s="0" t="str">
        <f aca="false">IF(OR(NOT(OR(J1119=0,J1119=1)),NOT(OR(K1119=0,K1119=1)),NOT(OR(L1119=0,L1119=1)),NOT(OR(M1119=0,M1119=1)),NOT(OR(U1119=0,U1119=1))),"Yes","No")</f>
        <v>No</v>
      </c>
      <c r="O1119" s="0" t="str">
        <f aca="false">IF(OR(AND(M1119=1,L1119=0),AND(L1119=1,K1119=0),AND(K1119=1,J1119=0)),"Yes","No")</f>
        <v>No</v>
      </c>
      <c r="P1119" s="0" t="n">
        <v>0</v>
      </c>
      <c r="Q1119" s="0" t="str">
        <f aca="false">IF(OR(AND(M1119=0,P1119&gt;0),AND(M1119=1,P1119&lt;=0)),"Yes","No")</f>
        <v>No</v>
      </c>
      <c r="R1119" s="0" t="str">
        <f aca="false">IF(AND(M1119=1,P1119&gt;calc_helpers!$B$5),"Yes","No")</f>
        <v>No</v>
      </c>
      <c r="S1119" s="0" t="n">
        <v>0</v>
      </c>
      <c r="T1119" s="0" t="str">
        <f aca="false">IF(S1119&gt;0,"Yes","No")</f>
        <v>No</v>
      </c>
      <c r="U1119" s="0" t="n">
        <v>0</v>
      </c>
      <c r="W1119" s="0" t="str">
        <f aca="false">IF(OR(AND(M1119=1,ISBLANK(V1119)),AND(M1119=0,NOT(ISBLANK(V1119)))),"Yes","No")</f>
        <v>No</v>
      </c>
      <c r="X1119" s="0" t="n">
        <v>91.5</v>
      </c>
      <c r="Y1119" s="3" t="s">
        <v>30</v>
      </c>
      <c r="Z1119" s="0" t="str">
        <f aca="false">IF(M1119=1,P1119,"")</f>
        <v/>
      </c>
    </row>
    <row r="1120" customFormat="false" ht="15" hidden="false" customHeight="false" outlineLevel="0" collapsed="false">
      <c r="A1120" s="0" t="s">
        <v>1164</v>
      </c>
      <c r="B1120" s="2" t="n">
        <v>45775</v>
      </c>
      <c r="C1120" s="3" t="s">
        <v>736</v>
      </c>
      <c r="D1120" s="3" t="s">
        <v>28</v>
      </c>
      <c r="E1120" s="3" t="s">
        <v>29</v>
      </c>
      <c r="F1120" s="3" t="s">
        <v>30</v>
      </c>
      <c r="G1120" s="3" t="s">
        <v>52</v>
      </c>
      <c r="H1120" s="3" t="s">
        <v>30</v>
      </c>
      <c r="I1120" s="3" t="s">
        <v>32</v>
      </c>
      <c r="J1120" s="0" t="n">
        <v>1</v>
      </c>
      <c r="K1120" s="0" t="n">
        <v>0</v>
      </c>
      <c r="L1120" s="0" t="n">
        <v>0</v>
      </c>
      <c r="M1120" s="0" t="n">
        <v>0</v>
      </c>
      <c r="N1120" s="0" t="str">
        <f aca="false">IF(OR(NOT(OR(J1120=0,J1120=1)),NOT(OR(K1120=0,K1120=1)),NOT(OR(L1120=0,L1120=1)),NOT(OR(M1120=0,M1120=1)),NOT(OR(U1120=0,U1120=1))),"Yes","No")</f>
        <v>No</v>
      </c>
      <c r="O1120" s="0" t="str">
        <f aca="false">IF(OR(AND(M1120=1,L1120=0),AND(L1120=1,K1120=0),AND(K1120=1,J1120=0)),"Yes","No")</f>
        <v>No</v>
      </c>
      <c r="P1120" s="0" t="n">
        <v>0</v>
      </c>
      <c r="Q1120" s="0" t="str">
        <f aca="false">IF(OR(AND(M1120=0,P1120&gt;0),AND(M1120=1,P1120&lt;=0)),"Yes","No")</f>
        <v>No</v>
      </c>
      <c r="R1120" s="0" t="str">
        <f aca="false">IF(AND(M1120=1,P1120&gt;calc_helpers!$B$5),"Yes","No")</f>
        <v>No</v>
      </c>
      <c r="S1120" s="0" t="n">
        <v>0</v>
      </c>
      <c r="T1120" s="0" t="str">
        <f aca="false">IF(S1120&gt;0,"Yes","No")</f>
        <v>No</v>
      </c>
      <c r="U1120" s="0" t="n">
        <v>0</v>
      </c>
      <c r="W1120" s="0" t="str">
        <f aca="false">IF(OR(AND(M1120=1,ISBLANK(V1120)),AND(M1120=0,NOT(ISBLANK(V1120)))),"Yes","No")</f>
        <v>No</v>
      </c>
      <c r="X1120" s="0" t="n">
        <v>80.8</v>
      </c>
      <c r="Y1120" s="3" t="s">
        <v>30</v>
      </c>
      <c r="Z1120" s="0" t="str">
        <f aca="false">IF(M1120=1,P1120,"")</f>
        <v/>
      </c>
    </row>
    <row r="1121" customFormat="false" ht="15" hidden="false" customHeight="false" outlineLevel="0" collapsed="false">
      <c r="A1121" s="0" t="s">
        <v>1165</v>
      </c>
      <c r="B1121" s="2" t="n">
        <v>45751</v>
      </c>
      <c r="C1121" s="3" t="s">
        <v>736</v>
      </c>
      <c r="D1121" s="3" t="s">
        <v>28</v>
      </c>
      <c r="E1121" s="3" t="s">
        <v>35</v>
      </c>
      <c r="F1121" s="3" t="s">
        <v>30</v>
      </c>
      <c r="G1121" s="3" t="s">
        <v>36</v>
      </c>
      <c r="H1121" s="3" t="s">
        <v>30</v>
      </c>
      <c r="I1121" s="3" t="s">
        <v>41</v>
      </c>
      <c r="J1121" s="0" t="n">
        <v>1</v>
      </c>
      <c r="K1121" s="0" t="n">
        <v>0</v>
      </c>
      <c r="L1121" s="0" t="n">
        <v>0</v>
      </c>
      <c r="M1121" s="0" t="n">
        <v>0</v>
      </c>
      <c r="N1121" s="0" t="str">
        <f aca="false">IF(OR(NOT(OR(J1121=0,J1121=1)),NOT(OR(K1121=0,K1121=1)),NOT(OR(L1121=0,L1121=1)),NOT(OR(M1121=0,M1121=1)),NOT(OR(U1121=0,U1121=1))),"Yes","No")</f>
        <v>No</v>
      </c>
      <c r="O1121" s="0" t="str">
        <f aca="false">IF(OR(AND(M1121=1,L1121=0),AND(L1121=1,K1121=0),AND(K1121=1,J1121=0)),"Yes","No")</f>
        <v>No</v>
      </c>
      <c r="P1121" s="0" t="n">
        <v>0</v>
      </c>
      <c r="Q1121" s="0" t="str">
        <f aca="false">IF(OR(AND(M1121=0,P1121&gt;0),AND(M1121=1,P1121&lt;=0)),"Yes","No")</f>
        <v>No</v>
      </c>
      <c r="R1121" s="0" t="str">
        <f aca="false">IF(AND(M1121=1,P1121&gt;calc_helpers!$B$5),"Yes","No")</f>
        <v>No</v>
      </c>
      <c r="S1121" s="0" t="n">
        <v>0</v>
      </c>
      <c r="T1121" s="0" t="str">
        <f aca="false">IF(S1121&gt;0,"Yes","No")</f>
        <v>No</v>
      </c>
      <c r="U1121" s="0" t="n">
        <v>0</v>
      </c>
      <c r="W1121" s="0" t="str">
        <f aca="false">IF(OR(AND(M1121=1,ISBLANK(V1121)),AND(M1121=0,NOT(ISBLANK(V1121)))),"Yes","No")</f>
        <v>No</v>
      </c>
      <c r="X1121" s="0" t="n">
        <v>68.1</v>
      </c>
      <c r="Y1121" s="3" t="s">
        <v>30</v>
      </c>
      <c r="Z1121" s="0" t="str">
        <f aca="false">IF(M1121=1,P1121,"")</f>
        <v/>
      </c>
    </row>
    <row r="1122" customFormat="false" ht="15" hidden="false" customHeight="false" outlineLevel="0" collapsed="false">
      <c r="A1122" s="0" t="s">
        <v>1166</v>
      </c>
      <c r="B1122" s="2" t="n">
        <v>45718</v>
      </c>
      <c r="C1122" s="3" t="s">
        <v>736</v>
      </c>
      <c r="D1122" s="3" t="s">
        <v>39</v>
      </c>
      <c r="E1122" s="3" t="s">
        <v>35</v>
      </c>
      <c r="F1122" s="3" t="s">
        <v>30</v>
      </c>
      <c r="G1122" s="3" t="s">
        <v>40</v>
      </c>
      <c r="H1122" s="3" t="s">
        <v>30</v>
      </c>
      <c r="I1122" s="3" t="s">
        <v>37</v>
      </c>
      <c r="J1122" s="0" t="n">
        <v>1</v>
      </c>
      <c r="K1122" s="0" t="n">
        <v>0</v>
      </c>
      <c r="L1122" s="0" t="n">
        <v>0</v>
      </c>
      <c r="M1122" s="0" t="n">
        <v>0</v>
      </c>
      <c r="N1122" s="0" t="str">
        <f aca="false">IF(OR(NOT(OR(J1122=0,J1122=1)),NOT(OR(K1122=0,K1122=1)),NOT(OR(L1122=0,L1122=1)),NOT(OR(M1122=0,M1122=1)),NOT(OR(U1122=0,U1122=1))),"Yes","No")</f>
        <v>No</v>
      </c>
      <c r="O1122" s="0" t="str">
        <f aca="false">IF(OR(AND(M1122=1,L1122=0),AND(L1122=1,K1122=0),AND(K1122=1,J1122=0)),"Yes","No")</f>
        <v>No</v>
      </c>
      <c r="P1122" s="0" t="n">
        <v>0</v>
      </c>
      <c r="Q1122" s="0" t="str">
        <f aca="false">IF(OR(AND(M1122=0,P1122&gt;0),AND(M1122=1,P1122&lt;=0)),"Yes","No")</f>
        <v>No</v>
      </c>
      <c r="R1122" s="0" t="str">
        <f aca="false">IF(AND(M1122=1,P1122&gt;calc_helpers!$B$5),"Yes","No")</f>
        <v>No</v>
      </c>
      <c r="S1122" s="0" t="n">
        <v>0</v>
      </c>
      <c r="T1122" s="0" t="str">
        <f aca="false">IF(S1122&gt;0,"Yes","No")</f>
        <v>No</v>
      </c>
      <c r="U1122" s="0" t="n">
        <v>0</v>
      </c>
      <c r="W1122" s="0" t="str">
        <f aca="false">IF(OR(AND(M1122=1,ISBLANK(V1122)),AND(M1122=0,NOT(ISBLANK(V1122)))),"Yes","No")</f>
        <v>No</v>
      </c>
      <c r="X1122" s="0" t="n">
        <v>80.3</v>
      </c>
      <c r="Y1122" s="3" t="s">
        <v>30</v>
      </c>
      <c r="Z1122" s="0" t="str">
        <f aca="false">IF(M1122=1,P1122,"")</f>
        <v/>
      </c>
    </row>
    <row r="1123" customFormat="false" ht="15" hidden="false" customHeight="false" outlineLevel="0" collapsed="false">
      <c r="A1123" s="0" t="s">
        <v>1167</v>
      </c>
      <c r="B1123" s="2" t="n">
        <v>45735</v>
      </c>
      <c r="C1123" s="3" t="s">
        <v>736</v>
      </c>
      <c r="D1123" s="3" t="s">
        <v>43</v>
      </c>
      <c r="E1123" s="3" t="s">
        <v>45</v>
      </c>
      <c r="F1123" s="3" t="s">
        <v>30</v>
      </c>
      <c r="G1123" s="3" t="s">
        <v>36</v>
      </c>
      <c r="H1123" s="3" t="s">
        <v>30</v>
      </c>
      <c r="I1123" s="3" t="s">
        <v>32</v>
      </c>
      <c r="J1123" s="0" t="n">
        <v>1</v>
      </c>
      <c r="K1123" s="0" t="n">
        <v>0</v>
      </c>
      <c r="L1123" s="0" t="n">
        <v>0</v>
      </c>
      <c r="M1123" s="0" t="n">
        <v>0</v>
      </c>
      <c r="N1123" s="0" t="str">
        <f aca="false">IF(OR(NOT(OR(J1123=0,J1123=1)),NOT(OR(K1123=0,K1123=1)),NOT(OR(L1123=0,L1123=1)),NOT(OR(M1123=0,M1123=1)),NOT(OR(U1123=0,U1123=1))),"Yes","No")</f>
        <v>No</v>
      </c>
      <c r="O1123" s="0" t="str">
        <f aca="false">IF(OR(AND(M1123=1,L1123=0),AND(L1123=1,K1123=0),AND(K1123=1,J1123=0)),"Yes","No")</f>
        <v>No</v>
      </c>
      <c r="P1123" s="0" t="n">
        <v>0</v>
      </c>
      <c r="Q1123" s="0" t="str">
        <f aca="false">IF(OR(AND(M1123=0,P1123&gt;0),AND(M1123=1,P1123&lt;=0)),"Yes","No")</f>
        <v>No</v>
      </c>
      <c r="R1123" s="0" t="str">
        <f aca="false">IF(AND(M1123=1,P1123&gt;calc_helpers!$B$5),"Yes","No")</f>
        <v>No</v>
      </c>
      <c r="S1123" s="0" t="n">
        <v>0</v>
      </c>
      <c r="T1123" s="0" t="str">
        <f aca="false">IF(S1123&gt;0,"Yes","No")</f>
        <v>No</v>
      </c>
      <c r="U1123" s="0" t="n">
        <v>0</v>
      </c>
      <c r="W1123" s="0" t="str">
        <f aca="false">IF(OR(AND(M1123=1,ISBLANK(V1123)),AND(M1123=0,NOT(ISBLANK(V1123)))),"Yes","No")</f>
        <v>No</v>
      </c>
      <c r="X1123" s="0" t="n">
        <v>44.4</v>
      </c>
      <c r="Y1123" s="3" t="s">
        <v>30</v>
      </c>
      <c r="Z1123" s="0" t="str">
        <f aca="false">IF(M1123=1,P1123,"")</f>
        <v/>
      </c>
    </row>
    <row r="1124" customFormat="false" ht="15" hidden="false" customHeight="false" outlineLevel="0" collapsed="false">
      <c r="A1124" s="0" t="s">
        <v>1168</v>
      </c>
      <c r="B1124" s="2" t="n">
        <v>45677</v>
      </c>
      <c r="C1124" s="3" t="s">
        <v>736</v>
      </c>
      <c r="D1124" s="3" t="s">
        <v>43</v>
      </c>
      <c r="E1124" s="3" t="s">
        <v>29</v>
      </c>
      <c r="F1124" s="3" t="s">
        <v>30</v>
      </c>
      <c r="G1124" s="3" t="s">
        <v>36</v>
      </c>
      <c r="H1124" s="3" t="s">
        <v>30</v>
      </c>
      <c r="I1124" s="3" t="s">
        <v>32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str">
        <f aca="false">IF(OR(NOT(OR(J1124=0,J1124=1)),NOT(OR(K1124=0,K1124=1)),NOT(OR(L1124=0,L1124=1)),NOT(OR(M1124=0,M1124=1)),NOT(OR(U1124=0,U1124=1))),"Yes","No")</f>
        <v>No</v>
      </c>
      <c r="O1124" s="0" t="str">
        <f aca="false">IF(OR(AND(M1124=1,L1124=0),AND(L1124=1,K1124=0),AND(K1124=1,J1124=0)),"Yes","No")</f>
        <v>No</v>
      </c>
      <c r="P1124" s="0" t="n">
        <v>0</v>
      </c>
      <c r="Q1124" s="0" t="str">
        <f aca="false">IF(OR(AND(M1124=0,P1124&gt;0),AND(M1124=1,P1124&lt;=0)),"Yes","No")</f>
        <v>No</v>
      </c>
      <c r="R1124" s="0" t="str">
        <f aca="false">IF(AND(M1124=1,P1124&gt;calc_helpers!$B$5),"Yes","No")</f>
        <v>No</v>
      </c>
      <c r="S1124" s="0" t="n">
        <v>0</v>
      </c>
      <c r="T1124" s="0" t="str">
        <f aca="false">IF(S1124&gt;0,"Yes","No")</f>
        <v>No</v>
      </c>
      <c r="U1124" s="0" t="n">
        <v>0</v>
      </c>
      <c r="W1124" s="0" t="str">
        <f aca="false">IF(OR(AND(M1124=1,ISBLANK(V1124)),AND(M1124=0,NOT(ISBLANK(V1124)))),"Yes","No")</f>
        <v>No</v>
      </c>
      <c r="X1124" s="0" t="n">
        <v>51.9</v>
      </c>
      <c r="Y1124" s="3" t="s">
        <v>30</v>
      </c>
      <c r="Z1124" s="0" t="str">
        <f aca="false">IF(M1124=1,P1124,"")</f>
        <v/>
      </c>
    </row>
    <row r="1125" customFormat="false" ht="15" hidden="false" customHeight="false" outlineLevel="0" collapsed="false">
      <c r="A1125" s="0" t="s">
        <v>1169</v>
      </c>
      <c r="B1125" s="2" t="n">
        <v>45750</v>
      </c>
      <c r="C1125" s="3" t="s">
        <v>736</v>
      </c>
      <c r="D1125" s="3" t="s">
        <v>39</v>
      </c>
      <c r="E1125" s="3" t="s">
        <v>35</v>
      </c>
      <c r="F1125" s="3" t="s">
        <v>30</v>
      </c>
      <c r="G1125" s="3" t="s">
        <v>40</v>
      </c>
      <c r="H1125" s="3" t="s">
        <v>30</v>
      </c>
      <c r="I1125" s="3" t="s">
        <v>37</v>
      </c>
      <c r="J1125" s="0" t="n">
        <v>1</v>
      </c>
      <c r="K1125" s="0" t="n">
        <v>1</v>
      </c>
      <c r="L1125" s="0" t="n">
        <v>0</v>
      </c>
      <c r="M1125" s="0" t="n">
        <v>0</v>
      </c>
      <c r="N1125" s="0" t="str">
        <f aca="false">IF(OR(NOT(OR(J1125=0,J1125=1)),NOT(OR(K1125=0,K1125=1)),NOT(OR(L1125=0,L1125=1)),NOT(OR(M1125=0,M1125=1)),NOT(OR(U1125=0,U1125=1))),"Yes","No")</f>
        <v>No</v>
      </c>
      <c r="O1125" s="0" t="str">
        <f aca="false">IF(OR(AND(M1125=1,L1125=0),AND(L1125=1,K1125=0),AND(K1125=1,J1125=0)),"Yes","No")</f>
        <v>No</v>
      </c>
      <c r="P1125" s="0" t="n">
        <v>0</v>
      </c>
      <c r="Q1125" s="0" t="str">
        <f aca="false">IF(OR(AND(M1125=0,P1125&gt;0),AND(M1125=1,P1125&lt;=0)),"Yes","No")</f>
        <v>No</v>
      </c>
      <c r="R1125" s="0" t="str">
        <f aca="false">IF(AND(M1125=1,P1125&gt;calc_helpers!$B$5),"Yes","No")</f>
        <v>No</v>
      </c>
      <c r="S1125" s="0" t="n">
        <v>0</v>
      </c>
      <c r="T1125" s="0" t="str">
        <f aca="false">IF(S1125&gt;0,"Yes","No")</f>
        <v>No</v>
      </c>
      <c r="U1125" s="0" t="n">
        <v>0</v>
      </c>
      <c r="W1125" s="0" t="str">
        <f aca="false">IF(OR(AND(M1125=1,ISBLANK(V1125)),AND(M1125=0,NOT(ISBLANK(V1125)))),"Yes","No")</f>
        <v>No</v>
      </c>
      <c r="X1125" s="0" t="n">
        <v>49.8</v>
      </c>
      <c r="Y1125" s="3" t="s">
        <v>30</v>
      </c>
      <c r="Z1125" s="0" t="str">
        <f aca="false">IF(M1125=1,P1125,"")</f>
        <v/>
      </c>
    </row>
    <row r="1126" customFormat="false" ht="15" hidden="false" customHeight="false" outlineLevel="0" collapsed="false">
      <c r="A1126" s="0" t="s">
        <v>1170</v>
      </c>
      <c r="B1126" s="2" t="n">
        <v>45668</v>
      </c>
      <c r="C1126" s="3" t="s">
        <v>736</v>
      </c>
      <c r="D1126" s="3" t="s">
        <v>39</v>
      </c>
      <c r="E1126" s="3" t="s">
        <v>29</v>
      </c>
      <c r="F1126" s="3" t="s">
        <v>30</v>
      </c>
      <c r="G1126" s="3" t="s">
        <v>52</v>
      </c>
      <c r="H1126" s="3" t="s">
        <v>30</v>
      </c>
      <c r="I1126" s="3" t="s">
        <v>37</v>
      </c>
      <c r="J1126" s="0" t="n">
        <v>1</v>
      </c>
      <c r="K1126" s="0" t="n">
        <v>1</v>
      </c>
      <c r="L1126" s="0" t="n">
        <v>1</v>
      </c>
      <c r="M1126" s="0" t="n">
        <v>0</v>
      </c>
      <c r="N1126" s="0" t="str">
        <f aca="false">IF(OR(NOT(OR(J1126=0,J1126=1)),NOT(OR(K1126=0,K1126=1)),NOT(OR(L1126=0,L1126=1)),NOT(OR(M1126=0,M1126=1)),NOT(OR(U1126=0,U1126=1))),"Yes","No")</f>
        <v>No</v>
      </c>
      <c r="O1126" s="0" t="str">
        <f aca="false">IF(OR(AND(M1126=1,L1126=0),AND(L1126=1,K1126=0),AND(K1126=1,J1126=0)),"Yes","No")</f>
        <v>No</v>
      </c>
      <c r="P1126" s="0" t="n">
        <v>0</v>
      </c>
      <c r="Q1126" s="0" t="str">
        <f aca="false">IF(OR(AND(M1126=0,P1126&gt;0),AND(M1126=1,P1126&lt;=0)),"Yes","No")</f>
        <v>No</v>
      </c>
      <c r="R1126" s="0" t="str">
        <f aca="false">IF(AND(M1126=1,P1126&gt;calc_helpers!$B$5),"Yes","No")</f>
        <v>No</v>
      </c>
      <c r="S1126" s="0" t="n">
        <v>3</v>
      </c>
      <c r="T1126" s="0" t="str">
        <f aca="false">IF(S1126&gt;0,"Yes","No")</f>
        <v>Yes</v>
      </c>
      <c r="U1126" s="0" t="n">
        <v>0</v>
      </c>
      <c r="W1126" s="0" t="str">
        <f aca="false">IF(OR(AND(M1126=1,ISBLANK(V1126)),AND(M1126=0,NOT(ISBLANK(V1126)))),"Yes","No")</f>
        <v>No</v>
      </c>
      <c r="X1126" s="0" t="n">
        <v>62.1</v>
      </c>
      <c r="Y1126" s="3" t="s">
        <v>30</v>
      </c>
      <c r="Z1126" s="0" t="str">
        <f aca="false">IF(M1126=1,P1126,"")</f>
        <v/>
      </c>
    </row>
    <row r="1127" customFormat="false" ht="15" hidden="false" customHeight="false" outlineLevel="0" collapsed="false">
      <c r="A1127" s="0" t="s">
        <v>1171</v>
      </c>
      <c r="B1127" s="2" t="n">
        <v>45690</v>
      </c>
      <c r="C1127" s="3" t="s">
        <v>736</v>
      </c>
      <c r="D1127" s="3" t="s">
        <v>34</v>
      </c>
      <c r="E1127" s="3" t="s">
        <v>29</v>
      </c>
      <c r="F1127" s="3" t="s">
        <v>30</v>
      </c>
      <c r="G1127" s="3" t="s">
        <v>52</v>
      </c>
      <c r="H1127" s="3" t="s">
        <v>30</v>
      </c>
      <c r="I1127" s="3" t="s">
        <v>32</v>
      </c>
      <c r="J1127" s="0" t="n">
        <v>1</v>
      </c>
      <c r="K1127" s="0" t="n">
        <v>0</v>
      </c>
      <c r="L1127" s="0" t="n">
        <v>0</v>
      </c>
      <c r="M1127" s="0" t="n">
        <v>0</v>
      </c>
      <c r="N1127" s="0" t="str">
        <f aca="false">IF(OR(NOT(OR(J1127=0,J1127=1)),NOT(OR(K1127=0,K1127=1)),NOT(OR(L1127=0,L1127=1)),NOT(OR(M1127=0,M1127=1)),NOT(OR(U1127=0,U1127=1))),"Yes","No")</f>
        <v>No</v>
      </c>
      <c r="O1127" s="0" t="str">
        <f aca="false">IF(OR(AND(M1127=1,L1127=0),AND(L1127=1,K1127=0),AND(K1127=1,J1127=0)),"Yes","No")</f>
        <v>No</v>
      </c>
      <c r="P1127" s="0" t="n">
        <v>0</v>
      </c>
      <c r="Q1127" s="0" t="str">
        <f aca="false">IF(OR(AND(M1127=0,P1127&gt;0),AND(M1127=1,P1127&lt;=0)),"Yes","No")</f>
        <v>No</v>
      </c>
      <c r="R1127" s="0" t="str">
        <f aca="false">IF(AND(M1127=1,P1127&gt;calc_helpers!$B$5),"Yes","No")</f>
        <v>No</v>
      </c>
      <c r="S1127" s="0" t="n">
        <v>0</v>
      </c>
      <c r="T1127" s="0" t="str">
        <f aca="false">IF(S1127&gt;0,"Yes","No")</f>
        <v>No</v>
      </c>
      <c r="U1127" s="0" t="n">
        <v>0</v>
      </c>
      <c r="W1127" s="0" t="str">
        <f aca="false">IF(OR(AND(M1127=1,ISBLANK(V1127)),AND(M1127=0,NOT(ISBLANK(V1127)))),"Yes","No")</f>
        <v>No</v>
      </c>
      <c r="X1127" s="0" t="n">
        <v>91.3</v>
      </c>
      <c r="Y1127" s="3" t="s">
        <v>30</v>
      </c>
      <c r="Z1127" s="0" t="str">
        <f aca="false">IF(M1127=1,P1127,"")</f>
        <v/>
      </c>
    </row>
    <row r="1128" customFormat="false" ht="15" hidden="false" customHeight="false" outlineLevel="0" collapsed="false">
      <c r="A1128" s="0" t="s">
        <v>1172</v>
      </c>
      <c r="B1128" s="2" t="n">
        <v>45748</v>
      </c>
      <c r="C1128" s="3" t="s">
        <v>736</v>
      </c>
      <c r="D1128" s="3" t="s">
        <v>43</v>
      </c>
      <c r="E1128" s="3" t="s">
        <v>35</v>
      </c>
      <c r="F1128" s="3" t="s">
        <v>30</v>
      </c>
      <c r="G1128" s="3" t="s">
        <v>36</v>
      </c>
      <c r="H1128" s="3" t="s">
        <v>30</v>
      </c>
      <c r="I1128" s="3" t="s">
        <v>32</v>
      </c>
      <c r="J1128" s="0" t="n">
        <v>1</v>
      </c>
      <c r="K1128" s="0" t="n">
        <v>0</v>
      </c>
      <c r="L1128" s="0" t="n">
        <v>0</v>
      </c>
      <c r="M1128" s="0" t="n">
        <v>0</v>
      </c>
      <c r="N1128" s="0" t="str">
        <f aca="false">IF(OR(NOT(OR(J1128=0,J1128=1)),NOT(OR(K1128=0,K1128=1)),NOT(OR(L1128=0,L1128=1)),NOT(OR(M1128=0,M1128=1)),NOT(OR(U1128=0,U1128=1))),"Yes","No")</f>
        <v>No</v>
      </c>
      <c r="O1128" s="0" t="str">
        <f aca="false">IF(OR(AND(M1128=1,L1128=0),AND(L1128=1,K1128=0),AND(K1128=1,J1128=0)),"Yes","No")</f>
        <v>No</v>
      </c>
      <c r="P1128" s="0" t="n">
        <v>0</v>
      </c>
      <c r="Q1128" s="0" t="str">
        <f aca="false">IF(OR(AND(M1128=0,P1128&gt;0),AND(M1128=1,P1128&lt;=0)),"Yes","No")</f>
        <v>No</v>
      </c>
      <c r="R1128" s="0" t="str">
        <f aca="false">IF(AND(M1128=1,P1128&gt;calc_helpers!$B$5),"Yes","No")</f>
        <v>No</v>
      </c>
      <c r="S1128" s="0" t="n">
        <v>0</v>
      </c>
      <c r="T1128" s="0" t="str">
        <f aca="false">IF(S1128&gt;0,"Yes","No")</f>
        <v>No</v>
      </c>
      <c r="U1128" s="0" t="n">
        <v>0</v>
      </c>
      <c r="W1128" s="0" t="str">
        <f aca="false">IF(OR(AND(M1128=1,ISBLANK(V1128)),AND(M1128=0,NOT(ISBLANK(V1128)))),"Yes","No")</f>
        <v>No</v>
      </c>
      <c r="X1128" s="0" t="n">
        <v>66.4</v>
      </c>
      <c r="Y1128" s="3" t="s">
        <v>30</v>
      </c>
      <c r="Z1128" s="0" t="str">
        <f aca="false">IF(M1128=1,P1128,"")</f>
        <v/>
      </c>
    </row>
    <row r="1129" customFormat="false" ht="15" hidden="false" customHeight="false" outlineLevel="0" collapsed="false">
      <c r="A1129" s="0" t="s">
        <v>1173</v>
      </c>
      <c r="B1129" s="2" t="n">
        <v>45799</v>
      </c>
      <c r="C1129" s="3" t="s">
        <v>736</v>
      </c>
      <c r="D1129" s="3" t="s">
        <v>39</v>
      </c>
      <c r="E1129" s="3" t="s">
        <v>35</v>
      </c>
      <c r="F1129" s="3" t="s">
        <v>30</v>
      </c>
      <c r="G1129" s="3" t="s">
        <v>36</v>
      </c>
      <c r="H1129" s="3" t="s">
        <v>30</v>
      </c>
      <c r="I1129" s="3" t="s">
        <v>32</v>
      </c>
      <c r="J1129" s="0" t="n">
        <v>1</v>
      </c>
      <c r="K1129" s="0" t="n">
        <v>0</v>
      </c>
      <c r="L1129" s="0" t="n">
        <v>0</v>
      </c>
      <c r="M1129" s="0" t="n">
        <v>0</v>
      </c>
      <c r="N1129" s="0" t="str">
        <f aca="false">IF(OR(NOT(OR(J1129=0,J1129=1)),NOT(OR(K1129=0,K1129=1)),NOT(OR(L1129=0,L1129=1)),NOT(OR(M1129=0,M1129=1)),NOT(OR(U1129=0,U1129=1))),"Yes","No")</f>
        <v>No</v>
      </c>
      <c r="O1129" s="0" t="str">
        <f aca="false">IF(OR(AND(M1129=1,L1129=0),AND(L1129=1,K1129=0),AND(K1129=1,J1129=0)),"Yes","No")</f>
        <v>No</v>
      </c>
      <c r="P1129" s="0" t="n">
        <v>0</v>
      </c>
      <c r="Q1129" s="0" t="str">
        <f aca="false">IF(OR(AND(M1129=0,P1129&gt;0),AND(M1129=1,P1129&lt;=0)),"Yes","No")</f>
        <v>No</v>
      </c>
      <c r="R1129" s="0" t="str">
        <f aca="false">IF(AND(M1129=1,P1129&gt;calc_helpers!$B$5),"Yes","No")</f>
        <v>No</v>
      </c>
      <c r="S1129" s="0" t="n">
        <v>0</v>
      </c>
      <c r="T1129" s="0" t="str">
        <f aca="false">IF(S1129&gt;0,"Yes","No")</f>
        <v>No</v>
      </c>
      <c r="U1129" s="0" t="n">
        <v>0</v>
      </c>
      <c r="W1129" s="0" t="str">
        <f aca="false">IF(OR(AND(M1129=1,ISBLANK(V1129)),AND(M1129=0,NOT(ISBLANK(V1129)))),"Yes","No")</f>
        <v>No</v>
      </c>
      <c r="X1129" s="0" t="n">
        <v>41.5</v>
      </c>
      <c r="Y1129" s="3" t="s">
        <v>30</v>
      </c>
      <c r="Z1129" s="0" t="str">
        <f aca="false">IF(M1129=1,P1129,"")</f>
        <v/>
      </c>
    </row>
    <row r="1130" customFormat="false" ht="15" hidden="false" customHeight="false" outlineLevel="0" collapsed="false">
      <c r="A1130" s="0" t="s">
        <v>1174</v>
      </c>
      <c r="B1130" s="2" t="n">
        <v>45708</v>
      </c>
      <c r="C1130" s="3" t="s">
        <v>736</v>
      </c>
      <c r="D1130" s="3" t="s">
        <v>34</v>
      </c>
      <c r="E1130" s="3" t="s">
        <v>35</v>
      </c>
      <c r="F1130" s="3" t="s">
        <v>30</v>
      </c>
      <c r="G1130" s="3" t="s">
        <v>36</v>
      </c>
      <c r="H1130" s="3" t="s">
        <v>30</v>
      </c>
      <c r="I1130" s="3" t="s">
        <v>32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str">
        <f aca="false">IF(OR(NOT(OR(J1130=0,J1130=1)),NOT(OR(K1130=0,K1130=1)),NOT(OR(L1130=0,L1130=1)),NOT(OR(M1130=0,M1130=1)),NOT(OR(U1130=0,U1130=1))),"Yes","No")</f>
        <v>No</v>
      </c>
      <c r="O1130" s="0" t="str">
        <f aca="false">IF(OR(AND(M1130=1,L1130=0),AND(L1130=1,K1130=0),AND(K1130=1,J1130=0)),"Yes","No")</f>
        <v>No</v>
      </c>
      <c r="P1130" s="0" t="n">
        <v>0</v>
      </c>
      <c r="Q1130" s="0" t="str">
        <f aca="false">IF(OR(AND(M1130=0,P1130&gt;0),AND(M1130=1,P1130&lt;=0)),"Yes","No")</f>
        <v>No</v>
      </c>
      <c r="R1130" s="0" t="str">
        <f aca="false">IF(AND(M1130=1,P1130&gt;calc_helpers!$B$5),"Yes","No")</f>
        <v>No</v>
      </c>
      <c r="S1130" s="0" t="n">
        <v>0</v>
      </c>
      <c r="T1130" s="0" t="str">
        <f aca="false">IF(S1130&gt;0,"Yes","No")</f>
        <v>No</v>
      </c>
      <c r="U1130" s="0" t="n">
        <v>0</v>
      </c>
      <c r="W1130" s="0" t="str">
        <f aca="false">IF(OR(AND(M1130=1,ISBLANK(V1130)),AND(M1130=0,NOT(ISBLANK(V1130)))),"Yes","No")</f>
        <v>No</v>
      </c>
      <c r="X1130" s="0" t="n">
        <v>77.1</v>
      </c>
      <c r="Y1130" s="3" t="s">
        <v>30</v>
      </c>
      <c r="Z1130" s="0" t="str">
        <f aca="false">IF(M1130=1,P1130,"")</f>
        <v/>
      </c>
    </row>
    <row r="1131" customFormat="false" ht="15" hidden="false" customHeight="false" outlineLevel="0" collapsed="false">
      <c r="A1131" s="0" t="s">
        <v>1175</v>
      </c>
      <c r="B1131" s="2" t="n">
        <v>45737</v>
      </c>
      <c r="C1131" s="3" t="s">
        <v>736</v>
      </c>
      <c r="D1131" s="3" t="s">
        <v>34</v>
      </c>
      <c r="E1131" s="3" t="s">
        <v>35</v>
      </c>
      <c r="F1131" s="3" t="s">
        <v>30</v>
      </c>
      <c r="G1131" s="3" t="s">
        <v>36</v>
      </c>
      <c r="H1131" s="3" t="s">
        <v>30</v>
      </c>
      <c r="I1131" s="3" t="s">
        <v>37</v>
      </c>
      <c r="J1131" s="0" t="n">
        <v>1</v>
      </c>
      <c r="K1131" s="0" t="n">
        <v>0</v>
      </c>
      <c r="L1131" s="0" t="n">
        <v>0</v>
      </c>
      <c r="M1131" s="0" t="n">
        <v>0</v>
      </c>
      <c r="N1131" s="0" t="str">
        <f aca="false">IF(OR(NOT(OR(J1131=0,J1131=1)),NOT(OR(K1131=0,K1131=1)),NOT(OR(L1131=0,L1131=1)),NOT(OR(M1131=0,M1131=1)),NOT(OR(U1131=0,U1131=1))),"Yes","No")</f>
        <v>No</v>
      </c>
      <c r="O1131" s="0" t="str">
        <f aca="false">IF(OR(AND(M1131=1,L1131=0),AND(L1131=1,K1131=0),AND(K1131=1,J1131=0)),"Yes","No")</f>
        <v>No</v>
      </c>
      <c r="P1131" s="0" t="n">
        <v>0</v>
      </c>
      <c r="Q1131" s="0" t="str">
        <f aca="false">IF(OR(AND(M1131=0,P1131&gt;0),AND(M1131=1,P1131&lt;=0)),"Yes","No")</f>
        <v>No</v>
      </c>
      <c r="R1131" s="0" t="str">
        <f aca="false">IF(AND(M1131=1,P1131&gt;calc_helpers!$B$5),"Yes","No")</f>
        <v>No</v>
      </c>
      <c r="S1131" s="0" t="n">
        <v>0</v>
      </c>
      <c r="T1131" s="0" t="str">
        <f aca="false">IF(S1131&gt;0,"Yes","No")</f>
        <v>No</v>
      </c>
      <c r="U1131" s="0" t="n">
        <v>0</v>
      </c>
      <c r="W1131" s="0" t="str">
        <f aca="false">IF(OR(AND(M1131=1,ISBLANK(V1131)),AND(M1131=0,NOT(ISBLANK(V1131)))),"Yes","No")</f>
        <v>No</v>
      </c>
      <c r="X1131" s="0" t="n">
        <v>63.2</v>
      </c>
      <c r="Y1131" s="3" t="s">
        <v>30</v>
      </c>
      <c r="Z1131" s="0" t="str">
        <f aca="false">IF(M1131=1,P1131,"")</f>
        <v/>
      </c>
    </row>
    <row r="1132" customFormat="false" ht="15" hidden="false" customHeight="false" outlineLevel="0" collapsed="false">
      <c r="A1132" s="0" t="s">
        <v>1176</v>
      </c>
      <c r="B1132" s="2" t="n">
        <v>45778</v>
      </c>
      <c r="C1132" s="3" t="s">
        <v>736</v>
      </c>
      <c r="D1132" s="3" t="s">
        <v>34</v>
      </c>
      <c r="E1132" s="3" t="s">
        <v>29</v>
      </c>
      <c r="F1132" s="3" t="s">
        <v>30</v>
      </c>
      <c r="G1132" s="3" t="s">
        <v>50</v>
      </c>
      <c r="H1132" s="3" t="s">
        <v>30</v>
      </c>
      <c r="I1132" s="3" t="s">
        <v>37</v>
      </c>
      <c r="J1132" s="0" t="n">
        <v>1</v>
      </c>
      <c r="K1132" s="0" t="n">
        <v>1</v>
      </c>
      <c r="L1132" s="0" t="n">
        <v>1</v>
      </c>
      <c r="M1132" s="0" t="n">
        <v>0</v>
      </c>
      <c r="N1132" s="0" t="str">
        <f aca="false">IF(OR(NOT(OR(J1132=0,J1132=1)),NOT(OR(K1132=0,K1132=1)),NOT(OR(L1132=0,L1132=1)),NOT(OR(M1132=0,M1132=1)),NOT(OR(U1132=0,U1132=1))),"Yes","No")</f>
        <v>No</v>
      </c>
      <c r="O1132" s="0" t="str">
        <f aca="false">IF(OR(AND(M1132=1,L1132=0),AND(L1132=1,K1132=0),AND(K1132=1,J1132=0)),"Yes","No")</f>
        <v>No</v>
      </c>
      <c r="P1132" s="0" t="n">
        <v>0</v>
      </c>
      <c r="Q1132" s="0" t="str">
        <f aca="false">IF(OR(AND(M1132=0,P1132&gt;0),AND(M1132=1,P1132&lt;=0)),"Yes","No")</f>
        <v>No</v>
      </c>
      <c r="R1132" s="0" t="str">
        <f aca="false">IF(AND(M1132=1,P1132&gt;calc_helpers!$B$5),"Yes","No")</f>
        <v>No</v>
      </c>
      <c r="S1132" s="0" t="n">
        <v>3</v>
      </c>
      <c r="T1132" s="0" t="str">
        <f aca="false">IF(S1132&gt;0,"Yes","No")</f>
        <v>Yes</v>
      </c>
      <c r="U1132" s="0" t="n">
        <v>0</v>
      </c>
      <c r="W1132" s="0" t="str">
        <f aca="false">IF(OR(AND(M1132=1,ISBLANK(V1132)),AND(M1132=0,NOT(ISBLANK(V1132)))),"Yes","No")</f>
        <v>No</v>
      </c>
      <c r="X1132" s="0" t="n">
        <v>75.7</v>
      </c>
      <c r="Y1132" s="3" t="s">
        <v>30</v>
      </c>
      <c r="Z1132" s="0" t="str">
        <f aca="false">IF(M1132=1,P1132,"")</f>
        <v/>
      </c>
    </row>
    <row r="1133" customFormat="false" ht="15" hidden="false" customHeight="false" outlineLevel="0" collapsed="false">
      <c r="A1133" s="0" t="s">
        <v>1177</v>
      </c>
      <c r="B1133" s="2" t="n">
        <v>45663</v>
      </c>
      <c r="C1133" s="3" t="s">
        <v>736</v>
      </c>
      <c r="D1133" s="3" t="s">
        <v>34</v>
      </c>
      <c r="E1133" s="3" t="s">
        <v>35</v>
      </c>
      <c r="F1133" s="3" t="s">
        <v>30</v>
      </c>
      <c r="G1133" s="3" t="s">
        <v>40</v>
      </c>
      <c r="H1133" s="3" t="s">
        <v>30</v>
      </c>
      <c r="I1133" s="3" t="s">
        <v>32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str">
        <f aca="false">IF(OR(NOT(OR(J1133=0,J1133=1)),NOT(OR(K1133=0,K1133=1)),NOT(OR(L1133=0,L1133=1)),NOT(OR(M1133=0,M1133=1)),NOT(OR(U1133=0,U1133=1))),"Yes","No")</f>
        <v>No</v>
      </c>
      <c r="O1133" s="0" t="str">
        <f aca="false">IF(OR(AND(M1133=1,L1133=0),AND(L1133=1,K1133=0),AND(K1133=1,J1133=0)),"Yes","No")</f>
        <v>No</v>
      </c>
      <c r="P1133" s="0" t="n">
        <v>0</v>
      </c>
      <c r="Q1133" s="0" t="str">
        <f aca="false">IF(OR(AND(M1133=0,P1133&gt;0),AND(M1133=1,P1133&lt;=0)),"Yes","No")</f>
        <v>No</v>
      </c>
      <c r="R1133" s="0" t="str">
        <f aca="false">IF(AND(M1133=1,P1133&gt;calc_helpers!$B$5),"Yes","No")</f>
        <v>No</v>
      </c>
      <c r="S1133" s="0" t="n">
        <v>0</v>
      </c>
      <c r="T1133" s="0" t="str">
        <f aca="false">IF(S1133&gt;0,"Yes","No")</f>
        <v>No</v>
      </c>
      <c r="U1133" s="0" t="n">
        <v>0</v>
      </c>
      <c r="W1133" s="0" t="str">
        <f aca="false">IF(OR(AND(M1133=1,ISBLANK(V1133)),AND(M1133=0,NOT(ISBLANK(V1133)))),"Yes","No")</f>
        <v>No</v>
      </c>
      <c r="X1133" s="0" t="n">
        <v>62.9</v>
      </c>
      <c r="Y1133" s="3" t="s">
        <v>30</v>
      </c>
      <c r="Z1133" s="0" t="str">
        <f aca="false">IF(M1133=1,P1133,"")</f>
        <v/>
      </c>
    </row>
    <row r="1134" customFormat="false" ht="15" hidden="false" customHeight="false" outlineLevel="0" collapsed="false">
      <c r="A1134" s="0" t="s">
        <v>1178</v>
      </c>
      <c r="B1134" s="2" t="n">
        <v>45759</v>
      </c>
      <c r="C1134" s="3" t="s">
        <v>736</v>
      </c>
      <c r="D1134" s="3" t="s">
        <v>28</v>
      </c>
      <c r="E1134" s="3" t="s">
        <v>29</v>
      </c>
      <c r="F1134" s="3" t="s">
        <v>30</v>
      </c>
      <c r="G1134" s="3" t="s">
        <v>40</v>
      </c>
      <c r="H1134" s="3" t="s">
        <v>30</v>
      </c>
      <c r="I1134" s="3" t="s">
        <v>41</v>
      </c>
      <c r="J1134" s="0" t="n">
        <v>1</v>
      </c>
      <c r="K1134" s="0" t="n">
        <v>0</v>
      </c>
      <c r="L1134" s="0" t="n">
        <v>0</v>
      </c>
      <c r="M1134" s="0" t="n">
        <v>0</v>
      </c>
      <c r="N1134" s="0" t="str">
        <f aca="false">IF(OR(NOT(OR(J1134=0,J1134=1)),NOT(OR(K1134=0,K1134=1)),NOT(OR(L1134=0,L1134=1)),NOT(OR(M1134=0,M1134=1)),NOT(OR(U1134=0,U1134=1))),"Yes","No")</f>
        <v>No</v>
      </c>
      <c r="O1134" s="0" t="str">
        <f aca="false">IF(OR(AND(M1134=1,L1134=0),AND(L1134=1,K1134=0),AND(K1134=1,J1134=0)),"Yes","No")</f>
        <v>No</v>
      </c>
      <c r="P1134" s="0" t="n">
        <v>0</v>
      </c>
      <c r="Q1134" s="0" t="str">
        <f aca="false">IF(OR(AND(M1134=0,P1134&gt;0),AND(M1134=1,P1134&lt;=0)),"Yes","No")</f>
        <v>No</v>
      </c>
      <c r="R1134" s="0" t="str">
        <f aca="false">IF(AND(M1134=1,P1134&gt;calc_helpers!$B$5),"Yes","No")</f>
        <v>No</v>
      </c>
      <c r="S1134" s="0" t="n">
        <v>3</v>
      </c>
      <c r="T1134" s="0" t="str">
        <f aca="false">IF(S1134&gt;0,"Yes","No")</f>
        <v>Yes</v>
      </c>
      <c r="U1134" s="0" t="n">
        <v>0</v>
      </c>
      <c r="W1134" s="0" t="str">
        <f aca="false">IF(OR(AND(M1134=1,ISBLANK(V1134)),AND(M1134=0,NOT(ISBLANK(V1134)))),"Yes","No")</f>
        <v>No</v>
      </c>
      <c r="X1134" s="0" t="n">
        <v>64.6</v>
      </c>
      <c r="Y1134" s="3" t="s">
        <v>30</v>
      </c>
      <c r="Z1134" s="0" t="str">
        <f aca="false">IF(M1134=1,P1134,"")</f>
        <v/>
      </c>
    </row>
    <row r="1135" customFormat="false" ht="15" hidden="false" customHeight="false" outlineLevel="0" collapsed="false">
      <c r="A1135" s="0" t="s">
        <v>1179</v>
      </c>
      <c r="B1135" s="2" t="n">
        <v>45765</v>
      </c>
      <c r="C1135" s="3" t="s">
        <v>736</v>
      </c>
      <c r="D1135" s="3" t="s">
        <v>28</v>
      </c>
      <c r="E1135" s="3" t="s">
        <v>35</v>
      </c>
      <c r="F1135" s="3" t="s">
        <v>30</v>
      </c>
      <c r="G1135" s="3" t="s">
        <v>167</v>
      </c>
      <c r="H1135" s="3" t="s">
        <v>168</v>
      </c>
      <c r="I1135" s="3" t="s">
        <v>32</v>
      </c>
      <c r="J1135" s="0" t="n">
        <v>1</v>
      </c>
      <c r="K1135" s="0" t="n">
        <v>0</v>
      </c>
      <c r="L1135" s="0" t="n">
        <v>0</v>
      </c>
      <c r="M1135" s="0" t="n">
        <v>0</v>
      </c>
      <c r="N1135" s="0" t="str">
        <f aca="false">IF(OR(NOT(OR(J1135=0,J1135=1)),NOT(OR(K1135=0,K1135=1)),NOT(OR(L1135=0,L1135=1)),NOT(OR(M1135=0,M1135=1)),NOT(OR(U1135=0,U1135=1))),"Yes","No")</f>
        <v>No</v>
      </c>
      <c r="O1135" s="0" t="str">
        <f aca="false">IF(OR(AND(M1135=1,L1135=0),AND(L1135=1,K1135=0),AND(K1135=1,J1135=0)),"Yes","No")</f>
        <v>No</v>
      </c>
      <c r="P1135" s="0" t="n">
        <v>0</v>
      </c>
      <c r="Q1135" s="0" t="str">
        <f aca="false">IF(OR(AND(M1135=0,P1135&gt;0),AND(M1135=1,P1135&lt;=0)),"Yes","No")</f>
        <v>No</v>
      </c>
      <c r="R1135" s="0" t="str">
        <f aca="false">IF(AND(M1135=1,P1135&gt;calc_helpers!$B$5),"Yes","No")</f>
        <v>No</v>
      </c>
      <c r="S1135" s="0" t="n">
        <v>0</v>
      </c>
      <c r="T1135" s="0" t="str">
        <f aca="false">IF(S1135&gt;0,"Yes","No")</f>
        <v>No</v>
      </c>
      <c r="U1135" s="0" t="n">
        <v>0</v>
      </c>
      <c r="W1135" s="0" t="str">
        <f aca="false">IF(OR(AND(M1135=1,ISBLANK(V1135)),AND(M1135=0,NOT(ISBLANK(V1135)))),"Yes","No")</f>
        <v>No</v>
      </c>
      <c r="X1135" s="0" t="n">
        <v>76.6</v>
      </c>
      <c r="Y1135" s="3" t="s">
        <v>30</v>
      </c>
      <c r="Z1135" s="0" t="str">
        <f aca="false">IF(M1135=1,P1135,"")</f>
        <v/>
      </c>
    </row>
    <row r="1136" customFormat="false" ht="15" hidden="false" customHeight="false" outlineLevel="0" collapsed="false">
      <c r="A1136" s="0" t="s">
        <v>1180</v>
      </c>
      <c r="B1136" s="2" t="n">
        <v>45740</v>
      </c>
      <c r="C1136" s="3" t="s">
        <v>736</v>
      </c>
      <c r="D1136" s="3" t="s">
        <v>39</v>
      </c>
      <c r="E1136" s="3" t="s">
        <v>35</v>
      </c>
      <c r="F1136" s="3" t="s">
        <v>30</v>
      </c>
      <c r="G1136" s="3" t="s">
        <v>52</v>
      </c>
      <c r="H1136" s="3" t="s">
        <v>30</v>
      </c>
      <c r="I1136" s="3" t="s">
        <v>32</v>
      </c>
      <c r="J1136" s="0" t="n">
        <v>1</v>
      </c>
      <c r="K1136" s="0" t="n">
        <v>0</v>
      </c>
      <c r="L1136" s="0" t="n">
        <v>0</v>
      </c>
      <c r="M1136" s="0" t="n">
        <v>0</v>
      </c>
      <c r="N1136" s="0" t="str">
        <f aca="false">IF(OR(NOT(OR(J1136=0,J1136=1)),NOT(OR(K1136=0,K1136=1)),NOT(OR(L1136=0,L1136=1)),NOT(OR(M1136=0,M1136=1)),NOT(OR(U1136=0,U1136=1))),"Yes","No")</f>
        <v>No</v>
      </c>
      <c r="O1136" s="0" t="str">
        <f aca="false">IF(OR(AND(M1136=1,L1136=0),AND(L1136=1,K1136=0),AND(K1136=1,J1136=0)),"Yes","No")</f>
        <v>No</v>
      </c>
      <c r="P1136" s="0" t="n">
        <v>0</v>
      </c>
      <c r="Q1136" s="0" t="str">
        <f aca="false">IF(OR(AND(M1136=0,P1136&gt;0),AND(M1136=1,P1136&lt;=0)),"Yes","No")</f>
        <v>No</v>
      </c>
      <c r="R1136" s="0" t="str">
        <f aca="false">IF(AND(M1136=1,P1136&gt;calc_helpers!$B$5),"Yes","No")</f>
        <v>No</v>
      </c>
      <c r="S1136" s="0" t="n">
        <v>0</v>
      </c>
      <c r="T1136" s="0" t="str">
        <f aca="false">IF(S1136&gt;0,"Yes","No")</f>
        <v>No</v>
      </c>
      <c r="U1136" s="0" t="n">
        <v>0</v>
      </c>
      <c r="W1136" s="0" t="str">
        <f aca="false">IF(OR(AND(M1136=1,ISBLANK(V1136)),AND(M1136=0,NOT(ISBLANK(V1136)))),"Yes","No")</f>
        <v>No</v>
      </c>
      <c r="X1136" s="0" t="n">
        <v>74.8</v>
      </c>
      <c r="Y1136" s="3" t="s">
        <v>30</v>
      </c>
      <c r="Z1136" s="0" t="str">
        <f aca="false">IF(M1136=1,P1136,"")</f>
        <v/>
      </c>
    </row>
    <row r="1137" customFormat="false" ht="15" hidden="false" customHeight="false" outlineLevel="0" collapsed="false">
      <c r="A1137" s="0" t="s">
        <v>1181</v>
      </c>
      <c r="B1137" s="2" t="n">
        <v>45734</v>
      </c>
      <c r="C1137" s="3" t="s">
        <v>736</v>
      </c>
      <c r="D1137" s="3" t="s">
        <v>39</v>
      </c>
      <c r="E1137" s="3" t="s">
        <v>29</v>
      </c>
      <c r="F1137" s="3" t="s">
        <v>30</v>
      </c>
      <c r="G1137" s="3" t="s">
        <v>31</v>
      </c>
      <c r="H1137" s="3" t="s">
        <v>30</v>
      </c>
      <c r="I1137" s="3" t="s">
        <v>41</v>
      </c>
      <c r="J1137" s="0" t="n">
        <v>1</v>
      </c>
      <c r="K1137" s="0" t="n">
        <v>0</v>
      </c>
      <c r="L1137" s="0" t="n">
        <v>0</v>
      </c>
      <c r="M1137" s="0" t="n">
        <v>0</v>
      </c>
      <c r="N1137" s="0" t="str">
        <f aca="false">IF(OR(NOT(OR(J1137=0,J1137=1)),NOT(OR(K1137=0,K1137=1)),NOT(OR(L1137=0,L1137=1)),NOT(OR(M1137=0,M1137=1)),NOT(OR(U1137=0,U1137=1))),"Yes","No")</f>
        <v>No</v>
      </c>
      <c r="O1137" s="0" t="str">
        <f aca="false">IF(OR(AND(M1137=1,L1137=0),AND(L1137=1,K1137=0),AND(K1137=1,J1137=0)),"Yes","No")</f>
        <v>No</v>
      </c>
      <c r="P1137" s="0" t="n">
        <v>0</v>
      </c>
      <c r="Q1137" s="0" t="str">
        <f aca="false">IF(OR(AND(M1137=0,P1137&gt;0),AND(M1137=1,P1137&lt;=0)),"Yes","No")</f>
        <v>No</v>
      </c>
      <c r="R1137" s="0" t="str">
        <f aca="false">IF(AND(M1137=1,P1137&gt;calc_helpers!$B$5),"Yes","No")</f>
        <v>No</v>
      </c>
      <c r="S1137" s="0" t="n">
        <v>2</v>
      </c>
      <c r="T1137" s="0" t="str">
        <f aca="false">IF(S1137&gt;0,"Yes","No")</f>
        <v>Yes</v>
      </c>
      <c r="U1137" s="0" t="n">
        <v>0</v>
      </c>
      <c r="W1137" s="0" t="str">
        <f aca="false">IF(OR(AND(M1137=1,ISBLANK(V1137)),AND(M1137=0,NOT(ISBLANK(V1137)))),"Yes","No")</f>
        <v>No</v>
      </c>
      <c r="X1137" s="0" t="n">
        <v>38.1</v>
      </c>
      <c r="Y1137" s="3" t="s">
        <v>30</v>
      </c>
      <c r="Z1137" s="0" t="str">
        <f aca="false">IF(M1137=1,P1137,"")</f>
        <v/>
      </c>
    </row>
    <row r="1138" customFormat="false" ht="15" hidden="false" customHeight="false" outlineLevel="0" collapsed="false">
      <c r="A1138" s="0" t="s">
        <v>1182</v>
      </c>
      <c r="B1138" s="2" t="n">
        <v>45777</v>
      </c>
      <c r="C1138" s="3" t="s">
        <v>736</v>
      </c>
      <c r="D1138" s="3" t="s">
        <v>43</v>
      </c>
      <c r="E1138" s="3" t="s">
        <v>45</v>
      </c>
      <c r="F1138" s="3" t="s">
        <v>30</v>
      </c>
      <c r="G1138" s="3" t="s">
        <v>40</v>
      </c>
      <c r="H1138" s="3" t="s">
        <v>30</v>
      </c>
      <c r="I1138" s="3" t="s">
        <v>32</v>
      </c>
      <c r="J1138" s="0" t="n">
        <v>1</v>
      </c>
      <c r="K1138" s="0" t="n">
        <v>1</v>
      </c>
      <c r="L1138" s="0" t="n">
        <v>0</v>
      </c>
      <c r="M1138" s="0" t="n">
        <v>0</v>
      </c>
      <c r="N1138" s="0" t="str">
        <f aca="false">IF(OR(NOT(OR(J1138=0,J1138=1)),NOT(OR(K1138=0,K1138=1)),NOT(OR(L1138=0,L1138=1)),NOT(OR(M1138=0,M1138=1)),NOT(OR(U1138=0,U1138=1))),"Yes","No")</f>
        <v>No</v>
      </c>
      <c r="O1138" s="0" t="str">
        <f aca="false">IF(OR(AND(M1138=1,L1138=0),AND(L1138=1,K1138=0),AND(K1138=1,J1138=0)),"Yes","No")</f>
        <v>No</v>
      </c>
      <c r="P1138" s="0" t="n">
        <v>0</v>
      </c>
      <c r="Q1138" s="0" t="str">
        <f aca="false">IF(OR(AND(M1138=0,P1138&gt;0),AND(M1138=1,P1138&lt;=0)),"Yes","No")</f>
        <v>No</v>
      </c>
      <c r="R1138" s="0" t="str">
        <f aca="false">IF(AND(M1138=1,P1138&gt;calc_helpers!$B$5),"Yes","No")</f>
        <v>No</v>
      </c>
      <c r="S1138" s="0" t="n">
        <v>0</v>
      </c>
      <c r="T1138" s="0" t="str">
        <f aca="false">IF(S1138&gt;0,"Yes","No")</f>
        <v>No</v>
      </c>
      <c r="U1138" s="0" t="n">
        <v>0</v>
      </c>
      <c r="W1138" s="0" t="str">
        <f aca="false">IF(OR(AND(M1138=1,ISBLANK(V1138)),AND(M1138=0,NOT(ISBLANK(V1138)))),"Yes","No")</f>
        <v>No</v>
      </c>
      <c r="X1138" s="0" t="n">
        <v>60.2</v>
      </c>
      <c r="Y1138" s="3" t="s">
        <v>30</v>
      </c>
      <c r="Z1138" s="0" t="str">
        <f aca="false">IF(M1138=1,P1138,"")</f>
        <v/>
      </c>
    </row>
    <row r="1139" customFormat="false" ht="15" hidden="false" customHeight="false" outlineLevel="0" collapsed="false">
      <c r="A1139" s="0" t="s">
        <v>1183</v>
      </c>
      <c r="B1139" s="2" t="n">
        <v>45682</v>
      </c>
      <c r="C1139" s="3" t="s">
        <v>736</v>
      </c>
      <c r="D1139" s="3" t="s">
        <v>34</v>
      </c>
      <c r="E1139" s="3" t="s">
        <v>35</v>
      </c>
      <c r="F1139" s="3" t="s">
        <v>30</v>
      </c>
      <c r="G1139" s="3" t="s">
        <v>31</v>
      </c>
      <c r="H1139" s="3" t="s">
        <v>30</v>
      </c>
      <c r="I1139" s="3" t="s">
        <v>37</v>
      </c>
      <c r="J1139" s="0" t="n">
        <v>1</v>
      </c>
      <c r="K1139" s="0" t="n">
        <v>1</v>
      </c>
      <c r="L1139" s="0" t="n">
        <v>0</v>
      </c>
      <c r="M1139" s="0" t="n">
        <v>0</v>
      </c>
      <c r="N1139" s="0" t="str">
        <f aca="false">IF(OR(NOT(OR(J1139=0,J1139=1)),NOT(OR(K1139=0,K1139=1)),NOT(OR(L1139=0,L1139=1)),NOT(OR(M1139=0,M1139=1)),NOT(OR(U1139=0,U1139=1))),"Yes","No")</f>
        <v>No</v>
      </c>
      <c r="O1139" s="0" t="str">
        <f aca="false">IF(OR(AND(M1139=1,L1139=0),AND(L1139=1,K1139=0),AND(K1139=1,J1139=0)),"Yes","No")</f>
        <v>No</v>
      </c>
      <c r="P1139" s="0" t="n">
        <v>0</v>
      </c>
      <c r="Q1139" s="0" t="str">
        <f aca="false">IF(OR(AND(M1139=0,P1139&gt;0),AND(M1139=1,P1139&lt;=0)),"Yes","No")</f>
        <v>No</v>
      </c>
      <c r="R1139" s="0" t="str">
        <f aca="false">IF(AND(M1139=1,P1139&gt;calc_helpers!$B$5),"Yes","No")</f>
        <v>No</v>
      </c>
      <c r="S1139" s="0" t="n">
        <v>0</v>
      </c>
      <c r="T1139" s="0" t="str">
        <f aca="false">IF(S1139&gt;0,"Yes","No")</f>
        <v>No</v>
      </c>
      <c r="U1139" s="0" t="n">
        <v>0</v>
      </c>
      <c r="W1139" s="0" t="str">
        <f aca="false">IF(OR(AND(M1139=1,ISBLANK(V1139)),AND(M1139=0,NOT(ISBLANK(V1139)))),"Yes","No")</f>
        <v>No</v>
      </c>
      <c r="X1139" s="0" t="n">
        <v>73.5</v>
      </c>
      <c r="Y1139" s="3" t="s">
        <v>30</v>
      </c>
      <c r="Z1139" s="0" t="str">
        <f aca="false">IF(M1139=1,P1139,"")</f>
        <v/>
      </c>
    </row>
    <row r="1140" customFormat="false" ht="15" hidden="false" customHeight="false" outlineLevel="0" collapsed="false">
      <c r="A1140" s="0" t="s">
        <v>1184</v>
      </c>
      <c r="B1140" s="2" t="n">
        <v>45757</v>
      </c>
      <c r="C1140" s="3" t="s">
        <v>736</v>
      </c>
      <c r="D1140" s="3" t="s">
        <v>43</v>
      </c>
      <c r="E1140" s="3" t="s">
        <v>35</v>
      </c>
      <c r="F1140" s="3" t="s">
        <v>30</v>
      </c>
      <c r="G1140" s="3" t="s">
        <v>36</v>
      </c>
      <c r="H1140" s="3" t="s">
        <v>30</v>
      </c>
      <c r="I1140" s="3" t="s">
        <v>37</v>
      </c>
      <c r="J1140" s="0" t="n">
        <v>1</v>
      </c>
      <c r="K1140" s="0" t="n">
        <v>0</v>
      </c>
      <c r="L1140" s="0" t="n">
        <v>0</v>
      </c>
      <c r="M1140" s="0" t="n">
        <v>0</v>
      </c>
      <c r="N1140" s="0" t="str">
        <f aca="false">IF(OR(NOT(OR(J1140=0,J1140=1)),NOT(OR(K1140=0,K1140=1)),NOT(OR(L1140=0,L1140=1)),NOT(OR(M1140=0,M1140=1)),NOT(OR(U1140=0,U1140=1))),"Yes","No")</f>
        <v>No</v>
      </c>
      <c r="O1140" s="0" t="str">
        <f aca="false">IF(OR(AND(M1140=1,L1140=0),AND(L1140=1,K1140=0),AND(K1140=1,J1140=0)),"Yes","No")</f>
        <v>No</v>
      </c>
      <c r="P1140" s="0" t="n">
        <v>0</v>
      </c>
      <c r="Q1140" s="0" t="str">
        <f aca="false">IF(OR(AND(M1140=0,P1140&gt;0),AND(M1140=1,P1140&lt;=0)),"Yes","No")</f>
        <v>No</v>
      </c>
      <c r="R1140" s="0" t="str">
        <f aca="false">IF(AND(M1140=1,P1140&gt;calc_helpers!$B$5),"Yes","No")</f>
        <v>No</v>
      </c>
      <c r="S1140" s="0" t="n">
        <v>0</v>
      </c>
      <c r="T1140" s="0" t="str">
        <f aca="false">IF(S1140&gt;0,"Yes","No")</f>
        <v>No</v>
      </c>
      <c r="U1140" s="0" t="n">
        <v>0</v>
      </c>
      <c r="W1140" s="0" t="str">
        <f aca="false">IF(OR(AND(M1140=1,ISBLANK(V1140)),AND(M1140=0,NOT(ISBLANK(V1140)))),"Yes","No")</f>
        <v>No</v>
      </c>
      <c r="X1140" s="0" t="n">
        <v>70.9</v>
      </c>
      <c r="Y1140" s="3" t="s">
        <v>30</v>
      </c>
      <c r="Z1140" s="0" t="str">
        <f aca="false">IF(M1140=1,P1140,"")</f>
        <v/>
      </c>
    </row>
    <row r="1141" customFormat="false" ht="15" hidden="false" customHeight="false" outlineLevel="0" collapsed="false">
      <c r="A1141" s="0" t="s">
        <v>1185</v>
      </c>
      <c r="B1141" s="2" t="n">
        <v>45667</v>
      </c>
      <c r="C1141" s="3" t="s">
        <v>736</v>
      </c>
      <c r="D1141" s="3" t="s">
        <v>34</v>
      </c>
      <c r="E1141" s="3" t="s">
        <v>35</v>
      </c>
      <c r="F1141" s="3" t="s">
        <v>30</v>
      </c>
      <c r="G1141" s="3" t="s">
        <v>52</v>
      </c>
      <c r="H1141" s="3" t="s">
        <v>30</v>
      </c>
      <c r="I1141" s="3" t="s">
        <v>37</v>
      </c>
      <c r="J1141" s="0" t="n">
        <v>1</v>
      </c>
      <c r="K1141" s="0" t="n">
        <v>0</v>
      </c>
      <c r="L1141" s="0" t="n">
        <v>0</v>
      </c>
      <c r="M1141" s="0" t="n">
        <v>0</v>
      </c>
      <c r="N1141" s="0" t="str">
        <f aca="false">IF(OR(NOT(OR(J1141=0,J1141=1)),NOT(OR(K1141=0,K1141=1)),NOT(OR(L1141=0,L1141=1)),NOT(OR(M1141=0,M1141=1)),NOT(OR(U1141=0,U1141=1))),"Yes","No")</f>
        <v>No</v>
      </c>
      <c r="O1141" s="0" t="str">
        <f aca="false">IF(OR(AND(M1141=1,L1141=0),AND(L1141=1,K1141=0),AND(K1141=1,J1141=0)),"Yes","No")</f>
        <v>No</v>
      </c>
      <c r="P1141" s="0" t="n">
        <v>0</v>
      </c>
      <c r="Q1141" s="0" t="str">
        <f aca="false">IF(OR(AND(M1141=0,P1141&gt;0),AND(M1141=1,P1141&lt;=0)),"Yes","No")</f>
        <v>No</v>
      </c>
      <c r="R1141" s="0" t="str">
        <f aca="false">IF(AND(M1141=1,P1141&gt;calc_helpers!$B$5),"Yes","No")</f>
        <v>No</v>
      </c>
      <c r="S1141" s="0" t="n">
        <v>0</v>
      </c>
      <c r="T1141" s="0" t="str">
        <f aca="false">IF(S1141&gt;0,"Yes","No")</f>
        <v>No</v>
      </c>
      <c r="U1141" s="0" t="n">
        <v>0</v>
      </c>
      <c r="W1141" s="0" t="str">
        <f aca="false">IF(OR(AND(M1141=1,ISBLANK(V1141)),AND(M1141=0,NOT(ISBLANK(V1141)))),"Yes","No")</f>
        <v>No</v>
      </c>
      <c r="X1141" s="0" t="n">
        <v>63.7</v>
      </c>
      <c r="Y1141" s="3" t="s">
        <v>30</v>
      </c>
      <c r="Z1141" s="0" t="str">
        <f aca="false">IF(M1141=1,P1141,"")</f>
        <v/>
      </c>
    </row>
    <row r="1142" customFormat="false" ht="15" hidden="false" customHeight="false" outlineLevel="0" collapsed="false">
      <c r="A1142" s="0" t="s">
        <v>1186</v>
      </c>
      <c r="B1142" s="2" t="n">
        <v>45699</v>
      </c>
      <c r="C1142" s="3" t="s">
        <v>736</v>
      </c>
      <c r="D1142" s="3" t="s">
        <v>43</v>
      </c>
      <c r="E1142" s="3" t="s">
        <v>35</v>
      </c>
      <c r="F1142" s="3" t="s">
        <v>30</v>
      </c>
      <c r="G1142" s="3" t="s">
        <v>40</v>
      </c>
      <c r="H1142" s="3" t="s">
        <v>30</v>
      </c>
      <c r="I1142" s="3" t="s">
        <v>37</v>
      </c>
      <c r="J1142" s="0" t="n">
        <v>1</v>
      </c>
      <c r="K1142" s="0" t="n">
        <v>0</v>
      </c>
      <c r="L1142" s="0" t="n">
        <v>0</v>
      </c>
      <c r="M1142" s="0" t="n">
        <v>0</v>
      </c>
      <c r="N1142" s="0" t="str">
        <f aca="false">IF(OR(NOT(OR(J1142=0,J1142=1)),NOT(OR(K1142=0,K1142=1)),NOT(OR(L1142=0,L1142=1)),NOT(OR(M1142=0,M1142=1)),NOT(OR(U1142=0,U1142=1))),"Yes","No")</f>
        <v>No</v>
      </c>
      <c r="O1142" s="0" t="str">
        <f aca="false">IF(OR(AND(M1142=1,L1142=0),AND(L1142=1,K1142=0),AND(K1142=1,J1142=0)),"Yes","No")</f>
        <v>No</v>
      </c>
      <c r="P1142" s="0" t="n">
        <v>0</v>
      </c>
      <c r="Q1142" s="0" t="str">
        <f aca="false">IF(OR(AND(M1142=0,P1142&gt;0),AND(M1142=1,P1142&lt;=0)),"Yes","No")</f>
        <v>No</v>
      </c>
      <c r="R1142" s="0" t="str">
        <f aca="false">IF(AND(M1142=1,P1142&gt;calc_helpers!$B$5),"Yes","No")</f>
        <v>No</v>
      </c>
      <c r="S1142" s="0" t="n">
        <v>0</v>
      </c>
      <c r="T1142" s="0" t="str">
        <f aca="false">IF(S1142&gt;0,"Yes","No")</f>
        <v>No</v>
      </c>
      <c r="U1142" s="0" t="n">
        <v>0</v>
      </c>
      <c r="W1142" s="0" t="str">
        <f aca="false">IF(OR(AND(M1142=1,ISBLANK(V1142)),AND(M1142=0,NOT(ISBLANK(V1142)))),"Yes","No")</f>
        <v>No</v>
      </c>
      <c r="X1142" s="0" t="n">
        <v>86.5</v>
      </c>
      <c r="Y1142" s="3" t="s">
        <v>30</v>
      </c>
      <c r="Z1142" s="0" t="str">
        <f aca="false">IF(M1142=1,P1142,"")</f>
        <v/>
      </c>
    </row>
    <row r="1143" customFormat="false" ht="15" hidden="false" customHeight="false" outlineLevel="0" collapsed="false">
      <c r="A1143" s="0" t="s">
        <v>1187</v>
      </c>
      <c r="B1143" s="2" t="n">
        <v>45778</v>
      </c>
      <c r="C1143" s="3" t="s">
        <v>736</v>
      </c>
      <c r="D1143" s="3" t="s">
        <v>39</v>
      </c>
      <c r="E1143" s="3" t="s">
        <v>35</v>
      </c>
      <c r="F1143" s="3" t="s">
        <v>30</v>
      </c>
      <c r="G1143" s="3" t="s">
        <v>52</v>
      </c>
      <c r="H1143" s="3" t="s">
        <v>30</v>
      </c>
      <c r="I1143" s="3" t="s">
        <v>32</v>
      </c>
      <c r="J1143" s="0" t="n">
        <v>1</v>
      </c>
      <c r="K1143" s="0" t="n">
        <v>1</v>
      </c>
      <c r="L1143" s="0" t="n">
        <v>1</v>
      </c>
      <c r="M1143" s="0" t="n">
        <v>1</v>
      </c>
      <c r="N1143" s="0" t="str">
        <f aca="false">IF(OR(NOT(OR(J1143=0,J1143=1)),NOT(OR(K1143=0,K1143=1)),NOT(OR(L1143=0,L1143=1)),NOT(OR(M1143=0,M1143=1)),NOT(OR(U1143=0,U1143=1))),"Yes","No")</f>
        <v>No</v>
      </c>
      <c r="O1143" s="0" t="str">
        <f aca="false">IF(OR(AND(M1143=1,L1143=0),AND(L1143=1,K1143=0),AND(K1143=1,J1143=0)),"Yes","No")</f>
        <v>No</v>
      </c>
      <c r="P1143" s="0" t="n">
        <v>921.72</v>
      </c>
      <c r="Q1143" s="0" t="str">
        <f aca="false">IF(OR(AND(M1143=0,P1143&gt;0),AND(M1143=1,P1143&lt;=0)),"Yes","No")</f>
        <v>No</v>
      </c>
      <c r="R1143" s="0" t="str">
        <f aca="false">IF(AND(M1143=1,P1143&gt;calc_helpers!$B$5),"Yes","No")</f>
        <v>No</v>
      </c>
      <c r="S1143" s="0" t="n">
        <v>3</v>
      </c>
      <c r="T1143" s="0" t="str">
        <f aca="false">IF(S1143&gt;0,"Yes","No")</f>
        <v>Yes</v>
      </c>
      <c r="U1143" s="0" t="n">
        <v>0</v>
      </c>
      <c r="V1143" s="0" t="n">
        <v>7</v>
      </c>
      <c r="W1143" s="0" t="str">
        <f aca="false">IF(OR(AND(M1143=1,ISBLANK(V1143)),AND(M1143=0,NOT(ISBLANK(V1143)))),"Yes","No")</f>
        <v>No</v>
      </c>
      <c r="X1143" s="0" t="n">
        <v>74.6</v>
      </c>
      <c r="Y1143" s="3" t="s">
        <v>30</v>
      </c>
      <c r="Z1143" s="3" t="n">
        <f aca="false">IF(M1143=1,P1143,"")</f>
        <v>921.72</v>
      </c>
    </row>
    <row r="1144" customFormat="false" ht="15" hidden="false" customHeight="false" outlineLevel="0" collapsed="false">
      <c r="A1144" s="0" t="s">
        <v>1188</v>
      </c>
      <c r="B1144" s="2" t="n">
        <v>45675</v>
      </c>
      <c r="C1144" s="3" t="s">
        <v>736</v>
      </c>
      <c r="D1144" s="3" t="s">
        <v>39</v>
      </c>
      <c r="E1144" s="3" t="s">
        <v>35</v>
      </c>
      <c r="F1144" s="3" t="s">
        <v>30</v>
      </c>
      <c r="G1144" s="3" t="s">
        <v>36</v>
      </c>
      <c r="H1144" s="3" t="s">
        <v>30</v>
      </c>
      <c r="I1144" s="3" t="s">
        <v>37</v>
      </c>
      <c r="J1144" s="0" t="n">
        <v>1</v>
      </c>
      <c r="K1144" s="0" t="n">
        <v>0</v>
      </c>
      <c r="L1144" s="0" t="n">
        <v>0</v>
      </c>
      <c r="M1144" s="0" t="n">
        <v>0</v>
      </c>
      <c r="N1144" s="0" t="str">
        <f aca="false">IF(OR(NOT(OR(J1144=0,J1144=1)),NOT(OR(K1144=0,K1144=1)),NOT(OR(L1144=0,L1144=1)),NOT(OR(M1144=0,M1144=1)),NOT(OR(U1144=0,U1144=1))),"Yes","No")</f>
        <v>No</v>
      </c>
      <c r="O1144" s="0" t="str">
        <f aca="false">IF(OR(AND(M1144=1,L1144=0),AND(L1144=1,K1144=0),AND(K1144=1,J1144=0)),"Yes","No")</f>
        <v>No</v>
      </c>
      <c r="P1144" s="0" t="n">
        <v>0</v>
      </c>
      <c r="Q1144" s="0" t="str">
        <f aca="false">IF(OR(AND(M1144=0,P1144&gt;0),AND(M1144=1,P1144&lt;=0)),"Yes","No")</f>
        <v>No</v>
      </c>
      <c r="R1144" s="0" t="str">
        <f aca="false">IF(AND(M1144=1,P1144&gt;calc_helpers!$B$5),"Yes","No")</f>
        <v>No</v>
      </c>
      <c r="S1144" s="0" t="n">
        <v>0</v>
      </c>
      <c r="T1144" s="0" t="str">
        <f aca="false">IF(S1144&gt;0,"Yes","No")</f>
        <v>No</v>
      </c>
      <c r="U1144" s="0" t="n">
        <v>0</v>
      </c>
      <c r="W1144" s="0" t="str">
        <f aca="false">IF(OR(AND(M1144=1,ISBLANK(V1144)),AND(M1144=0,NOT(ISBLANK(V1144)))),"Yes","No")</f>
        <v>No</v>
      </c>
      <c r="X1144" s="0" t="n">
        <v>46.6</v>
      </c>
      <c r="Y1144" s="3" t="s">
        <v>30</v>
      </c>
      <c r="Z1144" s="0" t="str">
        <f aca="false">IF(M1144=1,P1144,"")</f>
        <v/>
      </c>
    </row>
    <row r="1145" customFormat="false" ht="15" hidden="false" customHeight="false" outlineLevel="0" collapsed="false">
      <c r="A1145" s="0" t="s">
        <v>1189</v>
      </c>
      <c r="B1145" s="2" t="n">
        <v>45659</v>
      </c>
      <c r="C1145" s="3" t="s">
        <v>736</v>
      </c>
      <c r="D1145" s="3" t="s">
        <v>28</v>
      </c>
      <c r="E1145" s="3" t="s">
        <v>35</v>
      </c>
      <c r="F1145" s="3" t="s">
        <v>30</v>
      </c>
      <c r="G1145" s="3" t="s">
        <v>40</v>
      </c>
      <c r="H1145" s="3" t="s">
        <v>30</v>
      </c>
      <c r="I1145" s="3" t="s">
        <v>37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str">
        <f aca="false">IF(OR(NOT(OR(J1145=0,J1145=1)),NOT(OR(K1145=0,K1145=1)),NOT(OR(L1145=0,L1145=1)),NOT(OR(M1145=0,M1145=1)),NOT(OR(U1145=0,U1145=1))),"Yes","No")</f>
        <v>No</v>
      </c>
      <c r="O1145" s="0" t="str">
        <f aca="false">IF(OR(AND(M1145=1,L1145=0),AND(L1145=1,K1145=0),AND(K1145=1,J1145=0)),"Yes","No")</f>
        <v>No</v>
      </c>
      <c r="P1145" s="0" t="n">
        <v>0</v>
      </c>
      <c r="Q1145" s="0" t="str">
        <f aca="false">IF(OR(AND(M1145=0,P1145&gt;0),AND(M1145=1,P1145&lt;=0)),"Yes","No")</f>
        <v>No</v>
      </c>
      <c r="R1145" s="0" t="str">
        <f aca="false">IF(AND(M1145=1,P1145&gt;calc_helpers!$B$5),"Yes","No")</f>
        <v>No</v>
      </c>
      <c r="S1145" s="0" t="n">
        <v>0</v>
      </c>
      <c r="T1145" s="0" t="str">
        <f aca="false">IF(S1145&gt;0,"Yes","No")</f>
        <v>No</v>
      </c>
      <c r="U1145" s="0" t="n">
        <v>0</v>
      </c>
      <c r="W1145" s="0" t="str">
        <f aca="false">IF(OR(AND(M1145=1,ISBLANK(V1145)),AND(M1145=0,NOT(ISBLANK(V1145)))),"Yes","No")</f>
        <v>No</v>
      </c>
      <c r="X1145" s="0" t="n">
        <v>61.2</v>
      </c>
      <c r="Y1145" s="3" t="s">
        <v>30</v>
      </c>
      <c r="Z1145" s="0" t="str">
        <f aca="false">IF(M1145=1,P1145,"")</f>
        <v/>
      </c>
    </row>
    <row r="1146" customFormat="false" ht="15" hidden="false" customHeight="false" outlineLevel="0" collapsed="false">
      <c r="A1146" s="0" t="s">
        <v>1190</v>
      </c>
      <c r="B1146" s="2" t="n">
        <v>45788</v>
      </c>
      <c r="C1146" s="3" t="s">
        <v>736</v>
      </c>
      <c r="D1146" s="3" t="s">
        <v>34</v>
      </c>
      <c r="E1146" s="3" t="s">
        <v>35</v>
      </c>
      <c r="F1146" s="3" t="s">
        <v>30</v>
      </c>
      <c r="G1146" s="3" t="s">
        <v>36</v>
      </c>
      <c r="H1146" s="3" t="s">
        <v>30</v>
      </c>
      <c r="I1146" s="3" t="s">
        <v>37</v>
      </c>
      <c r="J1146" s="0" t="n">
        <v>1</v>
      </c>
      <c r="K1146" s="0" t="n">
        <v>1</v>
      </c>
      <c r="L1146" s="0" t="n">
        <v>1</v>
      </c>
      <c r="M1146" s="0" t="n">
        <v>1</v>
      </c>
      <c r="N1146" s="0" t="str">
        <f aca="false">IF(OR(NOT(OR(J1146=0,J1146=1)),NOT(OR(K1146=0,K1146=1)),NOT(OR(L1146=0,L1146=1)),NOT(OR(M1146=0,M1146=1)),NOT(OR(U1146=0,U1146=1))),"Yes","No")</f>
        <v>No</v>
      </c>
      <c r="O1146" s="0" t="str">
        <f aca="false">IF(OR(AND(M1146=1,L1146=0),AND(L1146=1,K1146=0),AND(K1146=1,J1146=0)),"Yes","No")</f>
        <v>No</v>
      </c>
      <c r="P1146" s="0" t="n">
        <v>290.39</v>
      </c>
      <c r="Q1146" s="0" t="str">
        <f aca="false">IF(OR(AND(M1146=0,P1146&gt;0),AND(M1146=1,P1146&lt;=0)),"Yes","No")</f>
        <v>No</v>
      </c>
      <c r="R1146" s="0" t="str">
        <f aca="false">IF(AND(M1146=1,P1146&gt;calc_helpers!$B$5),"Yes","No")</f>
        <v>No</v>
      </c>
      <c r="S1146" s="0" t="n">
        <v>0</v>
      </c>
      <c r="T1146" s="0" t="str">
        <f aca="false">IF(S1146&gt;0,"Yes","No")</f>
        <v>No</v>
      </c>
      <c r="U1146" s="0" t="n">
        <v>0</v>
      </c>
      <c r="V1146" s="0" t="n">
        <v>4</v>
      </c>
      <c r="W1146" s="0" t="str">
        <f aca="false">IF(OR(AND(M1146=1,ISBLANK(V1146)),AND(M1146=0,NOT(ISBLANK(V1146)))),"Yes","No")</f>
        <v>No</v>
      </c>
      <c r="X1146" s="0" t="n">
        <v>54.4</v>
      </c>
      <c r="Y1146" s="3" t="s">
        <v>30</v>
      </c>
      <c r="Z1146" s="3" t="n">
        <f aca="false">IF(M1146=1,P1146,"")</f>
        <v>290.39</v>
      </c>
    </row>
    <row r="1147" customFormat="false" ht="15" hidden="false" customHeight="false" outlineLevel="0" collapsed="false">
      <c r="A1147" s="0" t="s">
        <v>1191</v>
      </c>
      <c r="B1147" s="2" t="n">
        <v>45738</v>
      </c>
      <c r="C1147" s="3" t="s">
        <v>736</v>
      </c>
      <c r="D1147" s="3" t="s">
        <v>28</v>
      </c>
      <c r="E1147" s="3" t="s">
        <v>35</v>
      </c>
      <c r="F1147" s="3" t="s">
        <v>30</v>
      </c>
      <c r="G1147" s="3" t="s">
        <v>50</v>
      </c>
      <c r="H1147" s="3" t="s">
        <v>30</v>
      </c>
      <c r="I1147" s="3" t="s">
        <v>37</v>
      </c>
      <c r="J1147" s="0" t="n">
        <v>1</v>
      </c>
      <c r="K1147" s="0" t="n">
        <v>1</v>
      </c>
      <c r="L1147" s="0" t="n">
        <v>1</v>
      </c>
      <c r="M1147" s="0" t="n">
        <v>0</v>
      </c>
      <c r="N1147" s="0" t="str">
        <f aca="false">IF(OR(NOT(OR(J1147=0,J1147=1)),NOT(OR(K1147=0,K1147=1)),NOT(OR(L1147=0,L1147=1)),NOT(OR(M1147=0,M1147=1)),NOT(OR(U1147=0,U1147=1))),"Yes","No")</f>
        <v>No</v>
      </c>
      <c r="O1147" s="0" t="str">
        <f aca="false">IF(OR(AND(M1147=1,L1147=0),AND(L1147=1,K1147=0),AND(K1147=1,J1147=0)),"Yes","No")</f>
        <v>No</v>
      </c>
      <c r="P1147" s="0" t="n">
        <v>0</v>
      </c>
      <c r="Q1147" s="0" t="str">
        <f aca="false">IF(OR(AND(M1147=0,P1147&gt;0),AND(M1147=1,P1147&lt;=0)),"Yes","No")</f>
        <v>No</v>
      </c>
      <c r="R1147" s="0" t="str">
        <f aca="false">IF(AND(M1147=1,P1147&gt;calc_helpers!$B$5),"Yes","No")</f>
        <v>No</v>
      </c>
      <c r="S1147" s="0" t="n">
        <v>0</v>
      </c>
      <c r="T1147" s="0" t="str">
        <f aca="false">IF(S1147&gt;0,"Yes","No")</f>
        <v>No</v>
      </c>
      <c r="U1147" s="0" t="n">
        <v>0</v>
      </c>
      <c r="W1147" s="0" t="str">
        <f aca="false">IF(OR(AND(M1147=1,ISBLANK(V1147)),AND(M1147=0,NOT(ISBLANK(V1147)))),"Yes","No")</f>
        <v>No</v>
      </c>
      <c r="X1147" s="0" t="n">
        <v>72</v>
      </c>
      <c r="Y1147" s="3" t="s">
        <v>30</v>
      </c>
      <c r="Z1147" s="0" t="str">
        <f aca="false">IF(M1147=1,P1147,"")</f>
        <v/>
      </c>
    </row>
    <row r="1148" customFormat="false" ht="15" hidden="false" customHeight="false" outlineLevel="0" collapsed="false">
      <c r="A1148" s="0" t="s">
        <v>1192</v>
      </c>
      <c r="B1148" s="2" t="n">
        <v>45779</v>
      </c>
      <c r="C1148" s="3" t="s">
        <v>736</v>
      </c>
      <c r="D1148" s="3" t="s">
        <v>43</v>
      </c>
      <c r="E1148" s="3" t="s">
        <v>35</v>
      </c>
      <c r="F1148" s="3" t="s">
        <v>30</v>
      </c>
      <c r="G1148" s="3" t="s">
        <v>52</v>
      </c>
      <c r="H1148" s="3" t="s">
        <v>30</v>
      </c>
      <c r="I1148" s="3" t="s">
        <v>41</v>
      </c>
      <c r="J1148" s="0" t="n">
        <v>1</v>
      </c>
      <c r="K1148" s="0" t="n">
        <v>1</v>
      </c>
      <c r="L1148" s="0" t="n">
        <v>1</v>
      </c>
      <c r="M1148" s="0" t="n">
        <v>1</v>
      </c>
      <c r="N1148" s="0" t="str">
        <f aca="false">IF(OR(NOT(OR(J1148=0,J1148=1)),NOT(OR(K1148=0,K1148=1)),NOT(OR(L1148=0,L1148=1)),NOT(OR(M1148=0,M1148=1)),NOT(OR(U1148=0,U1148=1))),"Yes","No")</f>
        <v>No</v>
      </c>
      <c r="O1148" s="0" t="str">
        <f aca="false">IF(OR(AND(M1148=1,L1148=0),AND(L1148=1,K1148=0),AND(K1148=1,J1148=0)),"Yes","No")</f>
        <v>No</v>
      </c>
      <c r="P1148" s="0" t="n">
        <v>1858.85</v>
      </c>
      <c r="Q1148" s="0" t="str">
        <f aca="false">IF(OR(AND(M1148=0,P1148&gt;0),AND(M1148=1,P1148&lt;=0)),"Yes","No")</f>
        <v>No</v>
      </c>
      <c r="R1148" s="0" t="str">
        <f aca="false">IF(AND(M1148=1,P1148&gt;calc_helpers!$B$5),"Yes","No")</f>
        <v>No</v>
      </c>
      <c r="S1148" s="0" t="n">
        <v>0</v>
      </c>
      <c r="T1148" s="0" t="str">
        <f aca="false">IF(S1148&gt;0,"Yes","No")</f>
        <v>No</v>
      </c>
      <c r="U1148" s="0" t="n">
        <v>0</v>
      </c>
      <c r="V1148" s="0" t="n">
        <v>8</v>
      </c>
      <c r="W1148" s="0" t="str">
        <f aca="false">IF(OR(AND(M1148=1,ISBLANK(V1148)),AND(M1148=0,NOT(ISBLANK(V1148)))),"Yes","No")</f>
        <v>No</v>
      </c>
      <c r="X1148" s="0" t="n">
        <v>88.6</v>
      </c>
      <c r="Y1148" s="3" t="s">
        <v>30</v>
      </c>
      <c r="Z1148" s="3" t="n">
        <f aca="false">IF(M1148=1,P1148,"")</f>
        <v>1858.85</v>
      </c>
    </row>
    <row r="1149" customFormat="false" ht="15" hidden="false" customHeight="false" outlineLevel="0" collapsed="false">
      <c r="A1149" s="0" t="s">
        <v>1193</v>
      </c>
      <c r="B1149" s="2" t="n">
        <v>45803</v>
      </c>
      <c r="C1149" s="3" t="s">
        <v>736</v>
      </c>
      <c r="D1149" s="3" t="s">
        <v>39</v>
      </c>
      <c r="E1149" s="3" t="s">
        <v>29</v>
      </c>
      <c r="F1149" s="3" t="s">
        <v>30</v>
      </c>
      <c r="G1149" s="3" t="s">
        <v>167</v>
      </c>
      <c r="H1149" s="3" t="s">
        <v>168</v>
      </c>
      <c r="I1149" s="3" t="s">
        <v>32</v>
      </c>
      <c r="J1149" s="0" t="n">
        <v>1</v>
      </c>
      <c r="K1149" s="0" t="n">
        <v>0</v>
      </c>
      <c r="L1149" s="0" t="n">
        <v>0</v>
      </c>
      <c r="M1149" s="0" t="n">
        <v>0</v>
      </c>
      <c r="N1149" s="0" t="str">
        <f aca="false">IF(OR(NOT(OR(J1149=0,J1149=1)),NOT(OR(K1149=0,K1149=1)),NOT(OR(L1149=0,L1149=1)),NOT(OR(M1149=0,M1149=1)),NOT(OR(U1149=0,U1149=1))),"Yes","No")</f>
        <v>No</v>
      </c>
      <c r="O1149" s="0" t="str">
        <f aca="false">IF(OR(AND(M1149=1,L1149=0),AND(L1149=1,K1149=0),AND(K1149=1,J1149=0)),"Yes","No")</f>
        <v>No</v>
      </c>
      <c r="P1149" s="0" t="n">
        <v>0</v>
      </c>
      <c r="Q1149" s="0" t="str">
        <f aca="false">IF(OR(AND(M1149=0,P1149&gt;0),AND(M1149=1,P1149&lt;=0)),"Yes","No")</f>
        <v>No</v>
      </c>
      <c r="R1149" s="0" t="str">
        <f aca="false">IF(AND(M1149=1,P1149&gt;calc_helpers!$B$5),"Yes","No")</f>
        <v>No</v>
      </c>
      <c r="S1149" s="0" t="n">
        <v>0</v>
      </c>
      <c r="T1149" s="0" t="str">
        <f aca="false">IF(S1149&gt;0,"Yes","No")</f>
        <v>No</v>
      </c>
      <c r="U1149" s="0" t="n">
        <v>0</v>
      </c>
      <c r="W1149" s="0" t="str">
        <f aca="false">IF(OR(AND(M1149=1,ISBLANK(V1149)),AND(M1149=0,NOT(ISBLANK(V1149)))),"Yes","No")</f>
        <v>No</v>
      </c>
      <c r="X1149" s="0" t="n">
        <v>77.6</v>
      </c>
      <c r="Y1149" s="3" t="s">
        <v>30</v>
      </c>
      <c r="Z1149" s="0" t="str">
        <f aca="false">IF(M1149=1,P1149,"")</f>
        <v/>
      </c>
    </row>
    <row r="1150" customFormat="false" ht="15" hidden="false" customHeight="false" outlineLevel="0" collapsed="false">
      <c r="A1150" s="0" t="s">
        <v>1194</v>
      </c>
      <c r="B1150" s="2" t="n">
        <v>45729</v>
      </c>
      <c r="C1150" s="3" t="s">
        <v>736</v>
      </c>
      <c r="D1150" s="3" t="s">
        <v>43</v>
      </c>
      <c r="E1150" s="3" t="s">
        <v>35</v>
      </c>
      <c r="F1150" s="3" t="s">
        <v>30</v>
      </c>
      <c r="G1150" s="3" t="s">
        <v>36</v>
      </c>
      <c r="H1150" s="3" t="s">
        <v>30</v>
      </c>
      <c r="I1150" s="3" t="s">
        <v>32</v>
      </c>
      <c r="J1150" s="0" t="n">
        <v>1</v>
      </c>
      <c r="K1150" s="0" t="n">
        <v>0</v>
      </c>
      <c r="L1150" s="0" t="n">
        <v>0</v>
      </c>
      <c r="M1150" s="0" t="n">
        <v>0</v>
      </c>
      <c r="N1150" s="0" t="str">
        <f aca="false">IF(OR(NOT(OR(J1150=0,J1150=1)),NOT(OR(K1150=0,K1150=1)),NOT(OR(L1150=0,L1150=1)),NOT(OR(M1150=0,M1150=1)),NOT(OR(U1150=0,U1150=1))),"Yes","No")</f>
        <v>No</v>
      </c>
      <c r="O1150" s="0" t="str">
        <f aca="false">IF(OR(AND(M1150=1,L1150=0),AND(L1150=1,K1150=0),AND(K1150=1,J1150=0)),"Yes","No")</f>
        <v>No</v>
      </c>
      <c r="P1150" s="0" t="n">
        <v>0</v>
      </c>
      <c r="Q1150" s="0" t="str">
        <f aca="false">IF(OR(AND(M1150=0,P1150&gt;0),AND(M1150=1,P1150&lt;=0)),"Yes","No")</f>
        <v>No</v>
      </c>
      <c r="R1150" s="0" t="str">
        <f aca="false">IF(AND(M1150=1,P1150&gt;calc_helpers!$B$5),"Yes","No")</f>
        <v>No</v>
      </c>
      <c r="S1150" s="0" t="n">
        <v>1</v>
      </c>
      <c r="T1150" s="0" t="str">
        <f aca="false">IF(S1150&gt;0,"Yes","No")</f>
        <v>Yes</v>
      </c>
      <c r="U1150" s="0" t="n">
        <v>0</v>
      </c>
      <c r="W1150" s="0" t="str">
        <f aca="false">IF(OR(AND(M1150=1,ISBLANK(V1150)),AND(M1150=0,NOT(ISBLANK(V1150)))),"Yes","No")</f>
        <v>No</v>
      </c>
      <c r="X1150" s="0" t="n">
        <v>44.3</v>
      </c>
      <c r="Y1150" s="3" t="s">
        <v>30</v>
      </c>
      <c r="Z1150" s="0" t="str">
        <f aca="false">IF(M1150=1,P1150,"")</f>
        <v/>
      </c>
    </row>
    <row r="1151" customFormat="false" ht="15" hidden="false" customHeight="false" outlineLevel="0" collapsed="false">
      <c r="A1151" s="0" t="s">
        <v>1195</v>
      </c>
      <c r="B1151" s="2" t="n">
        <v>45794</v>
      </c>
      <c r="C1151" s="3" t="s">
        <v>736</v>
      </c>
      <c r="D1151" s="3" t="s">
        <v>43</v>
      </c>
      <c r="E1151" s="3" t="s">
        <v>29</v>
      </c>
      <c r="F1151" s="3" t="s">
        <v>30</v>
      </c>
      <c r="G1151" s="3" t="s">
        <v>40</v>
      </c>
      <c r="H1151" s="3" t="s">
        <v>30</v>
      </c>
      <c r="I1151" s="3" t="s">
        <v>37</v>
      </c>
      <c r="J1151" s="0" t="n">
        <v>1</v>
      </c>
      <c r="K1151" s="0" t="n">
        <v>1</v>
      </c>
      <c r="L1151" s="0" t="n">
        <v>0</v>
      </c>
      <c r="M1151" s="0" t="n">
        <v>0</v>
      </c>
      <c r="N1151" s="0" t="str">
        <f aca="false">IF(OR(NOT(OR(J1151=0,J1151=1)),NOT(OR(K1151=0,K1151=1)),NOT(OR(L1151=0,L1151=1)),NOT(OR(M1151=0,M1151=1)),NOT(OR(U1151=0,U1151=1))),"Yes","No")</f>
        <v>No</v>
      </c>
      <c r="O1151" s="0" t="str">
        <f aca="false">IF(OR(AND(M1151=1,L1151=0),AND(L1151=1,K1151=0),AND(K1151=1,J1151=0)),"Yes","No")</f>
        <v>No</v>
      </c>
      <c r="P1151" s="0" t="n">
        <v>0</v>
      </c>
      <c r="Q1151" s="0" t="str">
        <f aca="false">IF(OR(AND(M1151=0,P1151&gt;0),AND(M1151=1,P1151&lt;=0)),"Yes","No")</f>
        <v>No</v>
      </c>
      <c r="R1151" s="0" t="str">
        <f aca="false">IF(AND(M1151=1,P1151&gt;calc_helpers!$B$5),"Yes","No")</f>
        <v>No</v>
      </c>
      <c r="S1151" s="0" t="n">
        <v>0</v>
      </c>
      <c r="T1151" s="0" t="str">
        <f aca="false">IF(S1151&gt;0,"Yes","No")</f>
        <v>No</v>
      </c>
      <c r="U1151" s="0" t="n">
        <v>0</v>
      </c>
      <c r="W1151" s="0" t="str">
        <f aca="false">IF(OR(AND(M1151=1,ISBLANK(V1151)),AND(M1151=0,NOT(ISBLANK(V1151)))),"Yes","No")</f>
        <v>No</v>
      </c>
      <c r="X1151" s="0" t="n">
        <v>49</v>
      </c>
      <c r="Y1151" s="3" t="s">
        <v>30</v>
      </c>
      <c r="Z1151" s="0" t="str">
        <f aca="false">IF(M1151=1,P1151,"")</f>
        <v/>
      </c>
    </row>
    <row r="1152" customFormat="false" ht="15" hidden="false" customHeight="false" outlineLevel="0" collapsed="false">
      <c r="A1152" s="0" t="s">
        <v>1196</v>
      </c>
      <c r="B1152" s="2" t="n">
        <v>45729</v>
      </c>
      <c r="C1152" s="3" t="s">
        <v>736</v>
      </c>
      <c r="D1152" s="3" t="s">
        <v>28</v>
      </c>
      <c r="E1152" s="3" t="s">
        <v>29</v>
      </c>
      <c r="F1152" s="3" t="s">
        <v>30</v>
      </c>
      <c r="G1152" s="3" t="s">
        <v>50</v>
      </c>
      <c r="H1152" s="3" t="s">
        <v>30</v>
      </c>
      <c r="I1152" s="3" t="s">
        <v>41</v>
      </c>
      <c r="J1152" s="0" t="n">
        <v>1</v>
      </c>
      <c r="K1152" s="0" t="n">
        <v>0</v>
      </c>
      <c r="L1152" s="0" t="n">
        <v>0</v>
      </c>
      <c r="M1152" s="0" t="n">
        <v>0</v>
      </c>
      <c r="N1152" s="0" t="str">
        <f aca="false">IF(OR(NOT(OR(J1152=0,J1152=1)),NOT(OR(K1152=0,K1152=1)),NOT(OR(L1152=0,L1152=1)),NOT(OR(M1152=0,M1152=1)),NOT(OR(U1152=0,U1152=1))),"Yes","No")</f>
        <v>No</v>
      </c>
      <c r="O1152" s="0" t="str">
        <f aca="false">IF(OR(AND(M1152=1,L1152=0),AND(L1152=1,K1152=0),AND(K1152=1,J1152=0)),"Yes","No")</f>
        <v>No</v>
      </c>
      <c r="P1152" s="0" t="n">
        <v>0</v>
      </c>
      <c r="Q1152" s="0" t="str">
        <f aca="false">IF(OR(AND(M1152=0,P1152&gt;0),AND(M1152=1,P1152&lt;=0)),"Yes","No")</f>
        <v>No</v>
      </c>
      <c r="R1152" s="0" t="str">
        <f aca="false">IF(AND(M1152=1,P1152&gt;calc_helpers!$B$5),"Yes","No")</f>
        <v>No</v>
      </c>
      <c r="S1152" s="0" t="n">
        <v>0</v>
      </c>
      <c r="T1152" s="0" t="str">
        <f aca="false">IF(S1152&gt;0,"Yes","No")</f>
        <v>No</v>
      </c>
      <c r="U1152" s="0" t="n">
        <v>0</v>
      </c>
      <c r="W1152" s="0" t="str">
        <f aca="false">IF(OR(AND(M1152=1,ISBLANK(V1152)),AND(M1152=0,NOT(ISBLANK(V1152)))),"Yes","No")</f>
        <v>No</v>
      </c>
      <c r="X1152" s="0" t="n">
        <v>53.9</v>
      </c>
      <c r="Y1152" s="3" t="s">
        <v>30</v>
      </c>
      <c r="Z1152" s="0" t="str">
        <f aca="false">IF(M1152=1,P1152,"")</f>
        <v/>
      </c>
    </row>
    <row r="1153" customFormat="false" ht="15" hidden="false" customHeight="false" outlineLevel="0" collapsed="false">
      <c r="A1153" s="0" t="s">
        <v>1197</v>
      </c>
      <c r="B1153" s="2" t="n">
        <v>45699</v>
      </c>
      <c r="C1153" s="3" t="s">
        <v>736</v>
      </c>
      <c r="D1153" s="3" t="s">
        <v>39</v>
      </c>
      <c r="E1153" s="3" t="s">
        <v>29</v>
      </c>
      <c r="F1153" s="3" t="s">
        <v>30</v>
      </c>
      <c r="G1153" s="3" t="s">
        <v>36</v>
      </c>
      <c r="H1153" s="3" t="s">
        <v>30</v>
      </c>
      <c r="I1153" s="3" t="s">
        <v>32</v>
      </c>
      <c r="J1153" s="0" t="n">
        <v>1</v>
      </c>
      <c r="K1153" s="0" t="n">
        <v>0</v>
      </c>
      <c r="L1153" s="0" t="n">
        <v>0</v>
      </c>
      <c r="M1153" s="0" t="n">
        <v>0</v>
      </c>
      <c r="N1153" s="0" t="str">
        <f aca="false">IF(OR(NOT(OR(J1153=0,J1153=1)),NOT(OR(K1153=0,K1153=1)),NOT(OR(L1153=0,L1153=1)),NOT(OR(M1153=0,M1153=1)),NOT(OR(U1153=0,U1153=1))),"Yes","No")</f>
        <v>No</v>
      </c>
      <c r="O1153" s="0" t="str">
        <f aca="false">IF(OR(AND(M1153=1,L1153=0),AND(L1153=1,K1153=0),AND(K1153=1,J1153=0)),"Yes","No")</f>
        <v>No</v>
      </c>
      <c r="P1153" s="0" t="n">
        <v>0</v>
      </c>
      <c r="Q1153" s="0" t="str">
        <f aca="false">IF(OR(AND(M1153=0,P1153&gt;0),AND(M1153=1,P1153&lt;=0)),"Yes","No")</f>
        <v>No</v>
      </c>
      <c r="R1153" s="0" t="str">
        <f aca="false">IF(AND(M1153=1,P1153&gt;calc_helpers!$B$5),"Yes","No")</f>
        <v>No</v>
      </c>
      <c r="S1153" s="0" t="n">
        <v>1</v>
      </c>
      <c r="T1153" s="0" t="str">
        <f aca="false">IF(S1153&gt;0,"Yes","No")</f>
        <v>Yes</v>
      </c>
      <c r="U1153" s="0" t="n">
        <v>0</v>
      </c>
      <c r="W1153" s="0" t="str">
        <f aca="false">IF(OR(AND(M1153=1,ISBLANK(V1153)),AND(M1153=0,NOT(ISBLANK(V1153)))),"Yes","No")</f>
        <v>No</v>
      </c>
      <c r="X1153" s="0" t="n">
        <v>69</v>
      </c>
      <c r="Y1153" s="3" t="s">
        <v>30</v>
      </c>
      <c r="Z1153" s="0" t="str">
        <f aca="false">IF(M1153=1,P1153,"")</f>
        <v/>
      </c>
    </row>
    <row r="1154" customFormat="false" ht="15" hidden="false" customHeight="false" outlineLevel="0" collapsed="false">
      <c r="A1154" s="0" t="s">
        <v>1198</v>
      </c>
      <c r="B1154" s="2" t="n">
        <v>45717</v>
      </c>
      <c r="C1154" s="3" t="s">
        <v>736</v>
      </c>
      <c r="D1154" s="3" t="s">
        <v>34</v>
      </c>
      <c r="E1154" s="3" t="s">
        <v>35</v>
      </c>
      <c r="F1154" s="3" t="s">
        <v>30</v>
      </c>
      <c r="G1154" s="3" t="s">
        <v>52</v>
      </c>
      <c r="H1154" s="3" t="s">
        <v>30</v>
      </c>
      <c r="I1154" s="3" t="s">
        <v>37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str">
        <f aca="false">IF(OR(NOT(OR(J1154=0,J1154=1)),NOT(OR(K1154=0,K1154=1)),NOT(OR(L1154=0,L1154=1)),NOT(OR(M1154=0,M1154=1)),NOT(OR(U1154=0,U1154=1))),"Yes","No")</f>
        <v>No</v>
      </c>
      <c r="O1154" s="0" t="str">
        <f aca="false">IF(OR(AND(M1154=1,L1154=0),AND(L1154=1,K1154=0),AND(K1154=1,J1154=0)),"Yes","No")</f>
        <v>No</v>
      </c>
      <c r="P1154" s="0" t="n">
        <v>0</v>
      </c>
      <c r="Q1154" s="0" t="str">
        <f aca="false">IF(OR(AND(M1154=0,P1154&gt;0),AND(M1154=1,P1154&lt;=0)),"Yes","No")</f>
        <v>No</v>
      </c>
      <c r="R1154" s="0" t="str">
        <f aca="false">IF(AND(M1154=1,P1154&gt;calc_helpers!$B$5),"Yes","No")</f>
        <v>No</v>
      </c>
      <c r="S1154" s="0" t="n">
        <v>0</v>
      </c>
      <c r="T1154" s="0" t="str">
        <f aca="false">IF(S1154&gt;0,"Yes","No")</f>
        <v>No</v>
      </c>
      <c r="U1154" s="0" t="n">
        <v>0</v>
      </c>
      <c r="W1154" s="0" t="str">
        <f aca="false">IF(OR(AND(M1154=1,ISBLANK(V1154)),AND(M1154=0,NOT(ISBLANK(V1154)))),"Yes","No")</f>
        <v>No</v>
      </c>
      <c r="X1154" s="0" t="n">
        <v>37.4</v>
      </c>
      <c r="Y1154" s="3" t="s">
        <v>30</v>
      </c>
      <c r="Z1154" s="0" t="str">
        <f aca="false">IF(M1154=1,P1154,"")</f>
        <v/>
      </c>
    </row>
    <row r="1155" customFormat="false" ht="15" hidden="false" customHeight="false" outlineLevel="0" collapsed="false">
      <c r="A1155" s="0" t="s">
        <v>1199</v>
      </c>
      <c r="B1155" s="2" t="n">
        <v>45762</v>
      </c>
      <c r="C1155" s="3" t="s">
        <v>736</v>
      </c>
      <c r="D1155" s="3" t="s">
        <v>34</v>
      </c>
      <c r="E1155" s="3" t="s">
        <v>35</v>
      </c>
      <c r="F1155" s="3" t="s">
        <v>30</v>
      </c>
      <c r="G1155" s="3" t="s">
        <v>36</v>
      </c>
      <c r="H1155" s="3" t="s">
        <v>30</v>
      </c>
      <c r="I1155" s="3" t="s">
        <v>32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str">
        <f aca="false">IF(OR(NOT(OR(J1155=0,J1155=1)),NOT(OR(K1155=0,K1155=1)),NOT(OR(L1155=0,L1155=1)),NOT(OR(M1155=0,M1155=1)),NOT(OR(U1155=0,U1155=1))),"Yes","No")</f>
        <v>No</v>
      </c>
      <c r="O1155" s="0" t="str">
        <f aca="false">IF(OR(AND(M1155=1,L1155=0),AND(L1155=1,K1155=0),AND(K1155=1,J1155=0)),"Yes","No")</f>
        <v>No</v>
      </c>
      <c r="P1155" s="0" t="n">
        <v>0</v>
      </c>
      <c r="Q1155" s="0" t="str">
        <f aca="false">IF(OR(AND(M1155=0,P1155&gt;0),AND(M1155=1,P1155&lt;=0)),"Yes","No")</f>
        <v>No</v>
      </c>
      <c r="R1155" s="0" t="str">
        <f aca="false">IF(AND(M1155=1,P1155&gt;calc_helpers!$B$5),"Yes","No")</f>
        <v>No</v>
      </c>
      <c r="S1155" s="0" t="n">
        <v>0</v>
      </c>
      <c r="T1155" s="0" t="str">
        <f aca="false">IF(S1155&gt;0,"Yes","No")</f>
        <v>No</v>
      </c>
      <c r="U1155" s="0" t="n">
        <v>0</v>
      </c>
      <c r="W1155" s="0" t="str">
        <f aca="false">IF(OR(AND(M1155=1,ISBLANK(V1155)),AND(M1155=0,NOT(ISBLANK(V1155)))),"Yes","No")</f>
        <v>No</v>
      </c>
      <c r="X1155" s="0" t="n">
        <v>59</v>
      </c>
      <c r="Y1155" s="3" t="s">
        <v>30</v>
      </c>
      <c r="Z1155" s="0" t="str">
        <f aca="false">IF(M1155=1,P1155,"")</f>
        <v/>
      </c>
    </row>
    <row r="1156" customFormat="false" ht="15" hidden="false" customHeight="false" outlineLevel="0" collapsed="false">
      <c r="A1156" s="0" t="s">
        <v>1200</v>
      </c>
      <c r="B1156" s="2" t="n">
        <v>45690</v>
      </c>
      <c r="C1156" s="3" t="s">
        <v>736</v>
      </c>
      <c r="D1156" s="3" t="s">
        <v>39</v>
      </c>
      <c r="E1156" s="3" t="s">
        <v>35</v>
      </c>
      <c r="F1156" s="3" t="s">
        <v>30</v>
      </c>
      <c r="G1156" s="3" t="s">
        <v>36</v>
      </c>
      <c r="H1156" s="3" t="s">
        <v>30</v>
      </c>
      <c r="I1156" s="3" t="s">
        <v>41</v>
      </c>
      <c r="J1156" s="0" t="n">
        <v>1</v>
      </c>
      <c r="K1156" s="0" t="n">
        <v>0</v>
      </c>
      <c r="L1156" s="0" t="n">
        <v>0</v>
      </c>
      <c r="M1156" s="0" t="n">
        <v>0</v>
      </c>
      <c r="N1156" s="0" t="str">
        <f aca="false">IF(OR(NOT(OR(J1156=0,J1156=1)),NOT(OR(K1156=0,K1156=1)),NOT(OR(L1156=0,L1156=1)),NOT(OR(M1156=0,M1156=1)),NOT(OR(U1156=0,U1156=1))),"Yes","No")</f>
        <v>No</v>
      </c>
      <c r="O1156" s="0" t="str">
        <f aca="false">IF(OR(AND(M1156=1,L1156=0),AND(L1156=1,K1156=0),AND(K1156=1,J1156=0)),"Yes","No")</f>
        <v>No</v>
      </c>
      <c r="P1156" s="0" t="n">
        <v>0</v>
      </c>
      <c r="Q1156" s="0" t="str">
        <f aca="false">IF(OR(AND(M1156=0,P1156&gt;0),AND(M1156=1,P1156&lt;=0)),"Yes","No")</f>
        <v>No</v>
      </c>
      <c r="R1156" s="0" t="str">
        <f aca="false">IF(AND(M1156=1,P1156&gt;calc_helpers!$B$5),"Yes","No")</f>
        <v>No</v>
      </c>
      <c r="S1156" s="0" t="n">
        <v>0</v>
      </c>
      <c r="T1156" s="0" t="str">
        <f aca="false">IF(S1156&gt;0,"Yes","No")</f>
        <v>No</v>
      </c>
      <c r="U1156" s="0" t="n">
        <v>0</v>
      </c>
      <c r="W1156" s="0" t="str">
        <f aca="false">IF(OR(AND(M1156=1,ISBLANK(V1156)),AND(M1156=0,NOT(ISBLANK(V1156)))),"Yes","No")</f>
        <v>No</v>
      </c>
      <c r="X1156" s="0" t="n">
        <v>60.8</v>
      </c>
      <c r="Y1156" s="3" t="s">
        <v>30</v>
      </c>
      <c r="Z1156" s="0" t="str">
        <f aca="false">IF(M1156=1,P1156,"")</f>
        <v/>
      </c>
    </row>
    <row r="1157" customFormat="false" ht="15" hidden="false" customHeight="false" outlineLevel="0" collapsed="false">
      <c r="A1157" s="0" t="s">
        <v>1201</v>
      </c>
      <c r="B1157" s="2" t="n">
        <v>45796</v>
      </c>
      <c r="C1157" s="3" t="s">
        <v>736</v>
      </c>
      <c r="D1157" s="3" t="s">
        <v>43</v>
      </c>
      <c r="E1157" s="3" t="s">
        <v>35</v>
      </c>
      <c r="F1157" s="3" t="s">
        <v>30</v>
      </c>
      <c r="G1157" s="3" t="s">
        <v>31</v>
      </c>
      <c r="H1157" s="3" t="s">
        <v>30</v>
      </c>
      <c r="I1157" s="3" t="s">
        <v>37</v>
      </c>
      <c r="J1157" s="0" t="n">
        <v>1</v>
      </c>
      <c r="K1157" s="0" t="n">
        <v>0</v>
      </c>
      <c r="L1157" s="0" t="n">
        <v>0</v>
      </c>
      <c r="M1157" s="0" t="n">
        <v>0</v>
      </c>
      <c r="N1157" s="0" t="str">
        <f aca="false">IF(OR(NOT(OR(J1157=0,J1157=1)),NOT(OR(K1157=0,K1157=1)),NOT(OR(L1157=0,L1157=1)),NOT(OR(M1157=0,M1157=1)),NOT(OR(U1157=0,U1157=1))),"Yes","No")</f>
        <v>No</v>
      </c>
      <c r="O1157" s="0" t="str">
        <f aca="false">IF(OR(AND(M1157=1,L1157=0),AND(L1157=1,K1157=0),AND(K1157=1,J1157=0)),"Yes","No")</f>
        <v>No</v>
      </c>
      <c r="P1157" s="0" t="n">
        <v>0</v>
      </c>
      <c r="Q1157" s="0" t="str">
        <f aca="false">IF(OR(AND(M1157=0,P1157&gt;0),AND(M1157=1,P1157&lt;=0)),"Yes","No")</f>
        <v>No</v>
      </c>
      <c r="R1157" s="0" t="str">
        <f aca="false">IF(AND(M1157=1,P1157&gt;calc_helpers!$B$5),"Yes","No")</f>
        <v>No</v>
      </c>
      <c r="S1157" s="0" t="n">
        <v>0</v>
      </c>
      <c r="T1157" s="0" t="str">
        <f aca="false">IF(S1157&gt;0,"Yes","No")</f>
        <v>No</v>
      </c>
      <c r="U1157" s="0" t="n">
        <v>0</v>
      </c>
      <c r="W1157" s="0" t="str">
        <f aca="false">IF(OR(AND(M1157=1,ISBLANK(V1157)),AND(M1157=0,NOT(ISBLANK(V1157)))),"Yes","No")</f>
        <v>No</v>
      </c>
      <c r="X1157" s="0" t="n">
        <v>57.5</v>
      </c>
      <c r="Y1157" s="3" t="s">
        <v>30</v>
      </c>
      <c r="Z1157" s="0" t="str">
        <f aca="false">IF(M1157=1,P1157,"")</f>
        <v/>
      </c>
    </row>
    <row r="1158" customFormat="false" ht="15" hidden="false" customHeight="false" outlineLevel="0" collapsed="false">
      <c r="A1158" s="0" t="s">
        <v>1202</v>
      </c>
      <c r="B1158" s="2" t="n">
        <v>45662</v>
      </c>
      <c r="C1158" s="3" t="s">
        <v>736</v>
      </c>
      <c r="D1158" s="3" t="s">
        <v>34</v>
      </c>
      <c r="E1158" s="3" t="s">
        <v>35</v>
      </c>
      <c r="F1158" s="3" t="s">
        <v>30</v>
      </c>
      <c r="G1158" s="3" t="s">
        <v>50</v>
      </c>
      <c r="H1158" s="3" t="s">
        <v>30</v>
      </c>
      <c r="I1158" s="3" t="s">
        <v>37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str">
        <f aca="false">IF(OR(NOT(OR(J1158=0,J1158=1)),NOT(OR(K1158=0,K1158=1)),NOT(OR(L1158=0,L1158=1)),NOT(OR(M1158=0,M1158=1)),NOT(OR(U1158=0,U1158=1))),"Yes","No")</f>
        <v>No</v>
      </c>
      <c r="O1158" s="0" t="str">
        <f aca="false">IF(OR(AND(M1158=1,L1158=0),AND(L1158=1,K1158=0),AND(K1158=1,J1158=0)),"Yes","No")</f>
        <v>No</v>
      </c>
      <c r="P1158" s="0" t="n">
        <v>0</v>
      </c>
      <c r="Q1158" s="0" t="str">
        <f aca="false">IF(OR(AND(M1158=0,P1158&gt;0),AND(M1158=1,P1158&lt;=0)),"Yes","No")</f>
        <v>No</v>
      </c>
      <c r="R1158" s="0" t="str">
        <f aca="false">IF(AND(M1158=1,P1158&gt;calc_helpers!$B$5),"Yes","No")</f>
        <v>No</v>
      </c>
      <c r="S1158" s="0" t="n">
        <v>0</v>
      </c>
      <c r="T1158" s="0" t="str">
        <f aca="false">IF(S1158&gt;0,"Yes","No")</f>
        <v>No</v>
      </c>
      <c r="U1158" s="0" t="n">
        <v>0</v>
      </c>
      <c r="W1158" s="0" t="str">
        <f aca="false">IF(OR(AND(M1158=1,ISBLANK(V1158)),AND(M1158=0,NOT(ISBLANK(V1158)))),"Yes","No")</f>
        <v>No</v>
      </c>
      <c r="X1158" s="0" t="n">
        <v>84.2</v>
      </c>
      <c r="Y1158" s="3" t="s">
        <v>30</v>
      </c>
      <c r="Z1158" s="0" t="str">
        <f aca="false">IF(M1158=1,P1158,"")</f>
        <v/>
      </c>
    </row>
    <row r="1159" customFormat="false" ht="15" hidden="false" customHeight="false" outlineLevel="0" collapsed="false">
      <c r="A1159" s="0" t="s">
        <v>1203</v>
      </c>
      <c r="B1159" s="2" t="n">
        <v>45724</v>
      </c>
      <c r="C1159" s="3" t="s">
        <v>736</v>
      </c>
      <c r="D1159" s="3" t="s">
        <v>43</v>
      </c>
      <c r="E1159" s="3" t="s">
        <v>35</v>
      </c>
      <c r="F1159" s="3" t="s">
        <v>30</v>
      </c>
      <c r="G1159" s="3" t="s">
        <v>40</v>
      </c>
      <c r="H1159" s="3" t="s">
        <v>30</v>
      </c>
      <c r="I1159" s="3" t="s">
        <v>37</v>
      </c>
      <c r="J1159" s="0" t="n">
        <v>1</v>
      </c>
      <c r="K1159" s="0" t="n">
        <v>1</v>
      </c>
      <c r="L1159" s="0" t="n">
        <v>0</v>
      </c>
      <c r="M1159" s="0" t="n">
        <v>0</v>
      </c>
      <c r="N1159" s="0" t="str">
        <f aca="false">IF(OR(NOT(OR(J1159=0,J1159=1)),NOT(OR(K1159=0,K1159=1)),NOT(OR(L1159=0,L1159=1)),NOT(OR(M1159=0,M1159=1)),NOT(OR(U1159=0,U1159=1))),"Yes","No")</f>
        <v>No</v>
      </c>
      <c r="O1159" s="0" t="str">
        <f aca="false">IF(OR(AND(M1159=1,L1159=0),AND(L1159=1,K1159=0),AND(K1159=1,J1159=0)),"Yes","No")</f>
        <v>No</v>
      </c>
      <c r="P1159" s="0" t="n">
        <v>0</v>
      </c>
      <c r="Q1159" s="0" t="str">
        <f aca="false">IF(OR(AND(M1159=0,P1159&gt;0),AND(M1159=1,P1159&lt;=0)),"Yes","No")</f>
        <v>No</v>
      </c>
      <c r="R1159" s="0" t="str">
        <f aca="false">IF(AND(M1159=1,P1159&gt;calc_helpers!$B$5),"Yes","No")</f>
        <v>No</v>
      </c>
      <c r="S1159" s="0" t="n">
        <v>0</v>
      </c>
      <c r="T1159" s="0" t="str">
        <f aca="false">IF(S1159&gt;0,"Yes","No")</f>
        <v>No</v>
      </c>
      <c r="U1159" s="0" t="n">
        <v>0</v>
      </c>
      <c r="W1159" s="0" t="str">
        <f aca="false">IF(OR(AND(M1159=1,ISBLANK(V1159)),AND(M1159=0,NOT(ISBLANK(V1159)))),"Yes","No")</f>
        <v>No</v>
      </c>
      <c r="X1159" s="0" t="n">
        <v>27.4</v>
      </c>
      <c r="Y1159" s="3" t="s">
        <v>30</v>
      </c>
      <c r="Z1159" s="0" t="str">
        <f aca="false">IF(M1159=1,P1159,"")</f>
        <v/>
      </c>
    </row>
    <row r="1160" customFormat="false" ht="15" hidden="false" customHeight="false" outlineLevel="0" collapsed="false">
      <c r="A1160" s="0" t="s">
        <v>1204</v>
      </c>
      <c r="B1160" s="2" t="n">
        <v>45728</v>
      </c>
      <c r="C1160" s="3" t="s">
        <v>736</v>
      </c>
      <c r="D1160" s="3" t="s">
        <v>34</v>
      </c>
      <c r="E1160" s="3" t="s">
        <v>35</v>
      </c>
      <c r="F1160" s="3" t="s">
        <v>30</v>
      </c>
      <c r="G1160" s="3" t="s">
        <v>31</v>
      </c>
      <c r="H1160" s="3" t="s">
        <v>30</v>
      </c>
      <c r="I1160" s="3" t="s">
        <v>32</v>
      </c>
      <c r="J1160" s="0" t="n">
        <v>1</v>
      </c>
      <c r="K1160" s="0" t="n">
        <v>0</v>
      </c>
      <c r="L1160" s="0" t="n">
        <v>0</v>
      </c>
      <c r="M1160" s="0" t="n">
        <v>0</v>
      </c>
      <c r="N1160" s="0" t="str">
        <f aca="false">IF(OR(NOT(OR(J1160=0,J1160=1)),NOT(OR(K1160=0,K1160=1)),NOT(OR(L1160=0,L1160=1)),NOT(OR(M1160=0,M1160=1)),NOT(OR(U1160=0,U1160=1))),"Yes","No")</f>
        <v>No</v>
      </c>
      <c r="O1160" s="0" t="str">
        <f aca="false">IF(OR(AND(M1160=1,L1160=0),AND(L1160=1,K1160=0),AND(K1160=1,J1160=0)),"Yes","No")</f>
        <v>No</v>
      </c>
      <c r="P1160" s="0" t="n">
        <v>0</v>
      </c>
      <c r="Q1160" s="0" t="str">
        <f aca="false">IF(OR(AND(M1160=0,P1160&gt;0),AND(M1160=1,P1160&lt;=0)),"Yes","No")</f>
        <v>No</v>
      </c>
      <c r="R1160" s="0" t="str">
        <f aca="false">IF(AND(M1160=1,P1160&gt;calc_helpers!$B$5),"Yes","No")</f>
        <v>No</v>
      </c>
      <c r="S1160" s="0" t="n">
        <v>1</v>
      </c>
      <c r="T1160" s="0" t="str">
        <f aca="false">IF(S1160&gt;0,"Yes","No")</f>
        <v>Yes</v>
      </c>
      <c r="U1160" s="0" t="n">
        <v>0</v>
      </c>
      <c r="W1160" s="0" t="str">
        <f aca="false">IF(OR(AND(M1160=1,ISBLANK(V1160)),AND(M1160=0,NOT(ISBLANK(V1160)))),"Yes","No")</f>
        <v>No</v>
      </c>
      <c r="X1160" s="0" t="n">
        <v>67.6</v>
      </c>
      <c r="Y1160" s="3" t="s">
        <v>30</v>
      </c>
      <c r="Z1160" s="0" t="str">
        <f aca="false">IF(M1160=1,P1160,"")</f>
        <v/>
      </c>
    </row>
    <row r="1161" customFormat="false" ht="15" hidden="false" customHeight="false" outlineLevel="0" collapsed="false">
      <c r="A1161" s="0" t="s">
        <v>1205</v>
      </c>
      <c r="B1161" s="2" t="n">
        <v>45681</v>
      </c>
      <c r="C1161" s="3" t="s">
        <v>736</v>
      </c>
      <c r="D1161" s="3" t="s">
        <v>34</v>
      </c>
      <c r="E1161" s="3" t="s">
        <v>35</v>
      </c>
      <c r="F1161" s="3" t="s">
        <v>30</v>
      </c>
      <c r="G1161" s="3" t="s">
        <v>36</v>
      </c>
      <c r="H1161" s="3" t="s">
        <v>30</v>
      </c>
      <c r="I1161" s="3" t="s">
        <v>37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str">
        <f aca="false">IF(OR(NOT(OR(J1161=0,J1161=1)),NOT(OR(K1161=0,K1161=1)),NOT(OR(L1161=0,L1161=1)),NOT(OR(M1161=0,M1161=1)),NOT(OR(U1161=0,U1161=1))),"Yes","No")</f>
        <v>No</v>
      </c>
      <c r="O1161" s="0" t="str">
        <f aca="false">IF(OR(AND(M1161=1,L1161=0),AND(L1161=1,K1161=0),AND(K1161=1,J1161=0)),"Yes","No")</f>
        <v>No</v>
      </c>
      <c r="P1161" s="0" t="n">
        <v>0</v>
      </c>
      <c r="Q1161" s="0" t="str">
        <f aca="false">IF(OR(AND(M1161=0,P1161&gt;0),AND(M1161=1,P1161&lt;=0)),"Yes","No")</f>
        <v>No</v>
      </c>
      <c r="R1161" s="0" t="str">
        <f aca="false">IF(AND(M1161=1,P1161&gt;calc_helpers!$B$5),"Yes","No")</f>
        <v>No</v>
      </c>
      <c r="S1161" s="0" t="n">
        <v>0</v>
      </c>
      <c r="T1161" s="0" t="str">
        <f aca="false">IF(S1161&gt;0,"Yes","No")</f>
        <v>No</v>
      </c>
      <c r="U1161" s="0" t="n">
        <v>0</v>
      </c>
      <c r="W1161" s="0" t="str">
        <f aca="false">IF(OR(AND(M1161=1,ISBLANK(V1161)),AND(M1161=0,NOT(ISBLANK(V1161)))),"Yes","No")</f>
        <v>No</v>
      </c>
      <c r="X1161" s="0" t="n">
        <v>68.4</v>
      </c>
      <c r="Y1161" s="3" t="s">
        <v>30</v>
      </c>
      <c r="Z1161" s="0" t="str">
        <f aca="false">IF(M1161=1,P1161,"")</f>
        <v/>
      </c>
    </row>
    <row r="1162" customFormat="false" ht="15" hidden="false" customHeight="false" outlineLevel="0" collapsed="false">
      <c r="A1162" s="0" t="s">
        <v>1206</v>
      </c>
      <c r="B1162" s="2" t="n">
        <v>45799</v>
      </c>
      <c r="C1162" s="3" t="s">
        <v>736</v>
      </c>
      <c r="D1162" s="3" t="s">
        <v>43</v>
      </c>
      <c r="E1162" s="3" t="s">
        <v>35</v>
      </c>
      <c r="F1162" s="3" t="s">
        <v>30</v>
      </c>
      <c r="G1162" s="3" t="s">
        <v>40</v>
      </c>
      <c r="H1162" s="3" t="s">
        <v>30</v>
      </c>
      <c r="I1162" s="3" t="s">
        <v>32</v>
      </c>
      <c r="J1162" s="0" t="n">
        <v>1</v>
      </c>
      <c r="K1162" s="0" t="n">
        <v>1</v>
      </c>
      <c r="L1162" s="0" t="n">
        <v>1</v>
      </c>
      <c r="M1162" s="0" t="n">
        <v>0</v>
      </c>
      <c r="N1162" s="0" t="str">
        <f aca="false">IF(OR(NOT(OR(J1162=0,J1162=1)),NOT(OR(K1162=0,K1162=1)),NOT(OR(L1162=0,L1162=1)),NOT(OR(M1162=0,M1162=1)),NOT(OR(U1162=0,U1162=1))),"Yes","No")</f>
        <v>No</v>
      </c>
      <c r="O1162" s="0" t="str">
        <f aca="false">IF(OR(AND(M1162=1,L1162=0),AND(L1162=1,K1162=0),AND(K1162=1,J1162=0)),"Yes","No")</f>
        <v>No</v>
      </c>
      <c r="P1162" s="0" t="n">
        <v>0</v>
      </c>
      <c r="Q1162" s="0" t="str">
        <f aca="false">IF(OR(AND(M1162=0,P1162&gt;0),AND(M1162=1,P1162&lt;=0)),"Yes","No")</f>
        <v>No</v>
      </c>
      <c r="R1162" s="0" t="str">
        <f aca="false">IF(AND(M1162=1,P1162&gt;calc_helpers!$B$5),"Yes","No")</f>
        <v>No</v>
      </c>
      <c r="S1162" s="0" t="n">
        <v>0</v>
      </c>
      <c r="T1162" s="0" t="str">
        <f aca="false">IF(S1162&gt;0,"Yes","No")</f>
        <v>No</v>
      </c>
      <c r="U1162" s="0" t="n">
        <v>0</v>
      </c>
      <c r="W1162" s="0" t="str">
        <f aca="false">IF(OR(AND(M1162=1,ISBLANK(V1162)),AND(M1162=0,NOT(ISBLANK(V1162)))),"Yes","No")</f>
        <v>No</v>
      </c>
      <c r="X1162" s="0" t="n">
        <v>66.5</v>
      </c>
      <c r="Y1162" s="3" t="s">
        <v>30</v>
      </c>
      <c r="Z1162" s="0" t="str">
        <f aca="false">IF(M1162=1,P1162,"")</f>
        <v/>
      </c>
    </row>
    <row r="1163" customFormat="false" ht="15" hidden="false" customHeight="false" outlineLevel="0" collapsed="false">
      <c r="A1163" s="0" t="s">
        <v>1207</v>
      </c>
      <c r="B1163" s="2" t="n">
        <v>45743</v>
      </c>
      <c r="C1163" s="3" t="s">
        <v>736</v>
      </c>
      <c r="D1163" s="3" t="s">
        <v>43</v>
      </c>
      <c r="E1163" s="3" t="s">
        <v>35</v>
      </c>
      <c r="F1163" s="3" t="s">
        <v>30</v>
      </c>
      <c r="G1163" s="3" t="s">
        <v>40</v>
      </c>
      <c r="H1163" s="3" t="s">
        <v>30</v>
      </c>
      <c r="I1163" s="3" t="s">
        <v>37</v>
      </c>
      <c r="J1163" s="0" t="n">
        <v>1</v>
      </c>
      <c r="K1163" s="0" t="n">
        <v>0</v>
      </c>
      <c r="L1163" s="0" t="n">
        <v>0</v>
      </c>
      <c r="M1163" s="0" t="n">
        <v>0</v>
      </c>
      <c r="N1163" s="0" t="str">
        <f aca="false">IF(OR(NOT(OR(J1163=0,J1163=1)),NOT(OR(K1163=0,K1163=1)),NOT(OR(L1163=0,L1163=1)),NOT(OR(M1163=0,M1163=1)),NOT(OR(U1163=0,U1163=1))),"Yes","No")</f>
        <v>No</v>
      </c>
      <c r="O1163" s="0" t="str">
        <f aca="false">IF(OR(AND(M1163=1,L1163=0),AND(L1163=1,K1163=0),AND(K1163=1,J1163=0)),"Yes","No")</f>
        <v>No</v>
      </c>
      <c r="P1163" s="0" t="n">
        <v>0</v>
      </c>
      <c r="Q1163" s="0" t="str">
        <f aca="false">IF(OR(AND(M1163=0,P1163&gt;0),AND(M1163=1,P1163&lt;=0)),"Yes","No")</f>
        <v>No</v>
      </c>
      <c r="R1163" s="0" t="str">
        <f aca="false">IF(AND(M1163=1,P1163&gt;calc_helpers!$B$5),"Yes","No")</f>
        <v>No</v>
      </c>
      <c r="S1163" s="0" t="n">
        <v>0</v>
      </c>
      <c r="T1163" s="0" t="str">
        <f aca="false">IF(S1163&gt;0,"Yes","No")</f>
        <v>No</v>
      </c>
      <c r="U1163" s="0" t="n">
        <v>0</v>
      </c>
      <c r="W1163" s="0" t="str">
        <f aca="false">IF(OR(AND(M1163=1,ISBLANK(V1163)),AND(M1163=0,NOT(ISBLANK(V1163)))),"Yes","No")</f>
        <v>No</v>
      </c>
      <c r="X1163" s="0" t="n">
        <v>38.2</v>
      </c>
      <c r="Y1163" s="3" t="s">
        <v>30</v>
      </c>
      <c r="Z1163" s="0" t="str">
        <f aca="false">IF(M1163=1,P1163,"")</f>
        <v/>
      </c>
    </row>
    <row r="1164" customFormat="false" ht="15" hidden="false" customHeight="false" outlineLevel="0" collapsed="false">
      <c r="A1164" s="0" t="s">
        <v>1208</v>
      </c>
      <c r="B1164" s="2" t="n">
        <v>45659</v>
      </c>
      <c r="C1164" s="3" t="s">
        <v>736</v>
      </c>
      <c r="D1164" s="3" t="s">
        <v>34</v>
      </c>
      <c r="E1164" s="3" t="s">
        <v>35</v>
      </c>
      <c r="F1164" s="3" t="s">
        <v>30</v>
      </c>
      <c r="G1164" s="3" t="s">
        <v>52</v>
      </c>
      <c r="H1164" s="3" t="s">
        <v>30</v>
      </c>
      <c r="I1164" s="3" t="s">
        <v>37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str">
        <f aca="false">IF(OR(NOT(OR(J1164=0,J1164=1)),NOT(OR(K1164=0,K1164=1)),NOT(OR(L1164=0,L1164=1)),NOT(OR(M1164=0,M1164=1)),NOT(OR(U1164=0,U1164=1))),"Yes","No")</f>
        <v>No</v>
      </c>
      <c r="O1164" s="0" t="str">
        <f aca="false">IF(OR(AND(M1164=1,L1164=0),AND(L1164=1,K1164=0),AND(K1164=1,J1164=0)),"Yes","No")</f>
        <v>No</v>
      </c>
      <c r="P1164" s="0" t="n">
        <v>0</v>
      </c>
      <c r="Q1164" s="0" t="str">
        <f aca="false">IF(OR(AND(M1164=0,P1164&gt;0),AND(M1164=1,P1164&lt;=0)),"Yes","No")</f>
        <v>No</v>
      </c>
      <c r="R1164" s="0" t="str">
        <f aca="false">IF(AND(M1164=1,P1164&gt;calc_helpers!$B$5),"Yes","No")</f>
        <v>No</v>
      </c>
      <c r="S1164" s="0" t="n">
        <v>1</v>
      </c>
      <c r="T1164" s="0" t="str">
        <f aca="false">IF(S1164&gt;0,"Yes","No")</f>
        <v>Yes</v>
      </c>
      <c r="U1164" s="0" t="n">
        <v>0</v>
      </c>
      <c r="W1164" s="0" t="str">
        <f aca="false">IF(OR(AND(M1164=1,ISBLANK(V1164)),AND(M1164=0,NOT(ISBLANK(V1164)))),"Yes","No")</f>
        <v>No</v>
      </c>
      <c r="X1164" s="0" t="n">
        <v>66.7</v>
      </c>
      <c r="Y1164" s="3" t="s">
        <v>30</v>
      </c>
      <c r="Z1164" s="0" t="str">
        <f aca="false">IF(M1164=1,P1164,"")</f>
        <v/>
      </c>
    </row>
    <row r="1165" customFormat="false" ht="15" hidden="false" customHeight="false" outlineLevel="0" collapsed="false">
      <c r="A1165" s="0" t="s">
        <v>1209</v>
      </c>
      <c r="B1165" s="2" t="n">
        <v>45712</v>
      </c>
      <c r="C1165" s="3" t="s">
        <v>736</v>
      </c>
      <c r="D1165" s="3" t="s">
        <v>28</v>
      </c>
      <c r="E1165" s="3" t="s">
        <v>35</v>
      </c>
      <c r="F1165" s="3" t="s">
        <v>30</v>
      </c>
      <c r="G1165" s="3" t="s">
        <v>40</v>
      </c>
      <c r="H1165" s="3" t="s">
        <v>30</v>
      </c>
      <c r="I1165" s="3" t="s">
        <v>37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str">
        <f aca="false">IF(OR(NOT(OR(J1165=0,J1165=1)),NOT(OR(K1165=0,K1165=1)),NOT(OR(L1165=0,L1165=1)),NOT(OR(M1165=0,M1165=1)),NOT(OR(U1165=0,U1165=1))),"Yes","No")</f>
        <v>No</v>
      </c>
      <c r="O1165" s="0" t="str">
        <f aca="false">IF(OR(AND(M1165=1,L1165=0),AND(L1165=1,K1165=0),AND(K1165=1,J1165=0)),"Yes","No")</f>
        <v>No</v>
      </c>
      <c r="P1165" s="0" t="n">
        <v>0</v>
      </c>
      <c r="Q1165" s="0" t="str">
        <f aca="false">IF(OR(AND(M1165=0,P1165&gt;0),AND(M1165=1,P1165&lt;=0)),"Yes","No")</f>
        <v>No</v>
      </c>
      <c r="R1165" s="0" t="str">
        <f aca="false">IF(AND(M1165=1,P1165&gt;calc_helpers!$B$5),"Yes","No")</f>
        <v>No</v>
      </c>
      <c r="S1165" s="0" t="n">
        <v>1</v>
      </c>
      <c r="T1165" s="0" t="str">
        <f aca="false">IF(S1165&gt;0,"Yes","No")</f>
        <v>Yes</v>
      </c>
      <c r="U1165" s="0" t="n">
        <v>0</v>
      </c>
      <c r="W1165" s="0" t="str">
        <f aca="false">IF(OR(AND(M1165=1,ISBLANK(V1165)),AND(M1165=0,NOT(ISBLANK(V1165)))),"Yes","No")</f>
        <v>No</v>
      </c>
      <c r="X1165" s="0" t="n">
        <v>73.7</v>
      </c>
      <c r="Y1165" s="3" t="s">
        <v>30</v>
      </c>
      <c r="Z1165" s="0" t="str">
        <f aca="false">IF(M1165=1,P1165,"")</f>
        <v/>
      </c>
    </row>
    <row r="1166" customFormat="false" ht="15" hidden="false" customHeight="false" outlineLevel="0" collapsed="false">
      <c r="A1166" s="0" t="s">
        <v>1210</v>
      </c>
      <c r="B1166" s="2" t="n">
        <v>45717</v>
      </c>
      <c r="C1166" s="3" t="s">
        <v>736</v>
      </c>
      <c r="D1166" s="3" t="s">
        <v>34</v>
      </c>
      <c r="E1166" s="3" t="s">
        <v>29</v>
      </c>
      <c r="F1166" s="3" t="s">
        <v>30</v>
      </c>
      <c r="G1166" s="3" t="s">
        <v>36</v>
      </c>
      <c r="H1166" s="3" t="s">
        <v>30</v>
      </c>
      <c r="I1166" s="3" t="s">
        <v>32</v>
      </c>
      <c r="J1166" s="0" t="n">
        <v>1</v>
      </c>
      <c r="K1166" s="0" t="n">
        <v>1</v>
      </c>
      <c r="L1166" s="0" t="n">
        <v>1</v>
      </c>
      <c r="M1166" s="0" t="n">
        <v>0</v>
      </c>
      <c r="N1166" s="0" t="str">
        <f aca="false">IF(OR(NOT(OR(J1166=0,J1166=1)),NOT(OR(K1166=0,K1166=1)),NOT(OR(L1166=0,L1166=1)),NOT(OR(M1166=0,M1166=1)),NOT(OR(U1166=0,U1166=1))),"Yes","No")</f>
        <v>No</v>
      </c>
      <c r="O1166" s="0" t="str">
        <f aca="false">IF(OR(AND(M1166=1,L1166=0),AND(L1166=1,K1166=0),AND(K1166=1,J1166=0)),"Yes","No")</f>
        <v>No</v>
      </c>
      <c r="P1166" s="0" t="n">
        <v>0</v>
      </c>
      <c r="Q1166" s="0" t="str">
        <f aca="false">IF(OR(AND(M1166=0,P1166&gt;0),AND(M1166=1,P1166&lt;=0)),"Yes","No")</f>
        <v>No</v>
      </c>
      <c r="R1166" s="0" t="str">
        <f aca="false">IF(AND(M1166=1,P1166&gt;calc_helpers!$B$5),"Yes","No")</f>
        <v>No</v>
      </c>
      <c r="S1166" s="0" t="n">
        <v>0</v>
      </c>
      <c r="T1166" s="0" t="str">
        <f aca="false">IF(S1166&gt;0,"Yes","No")</f>
        <v>No</v>
      </c>
      <c r="U1166" s="0" t="n">
        <v>0</v>
      </c>
      <c r="W1166" s="0" t="str">
        <f aca="false">IF(OR(AND(M1166=1,ISBLANK(V1166)),AND(M1166=0,NOT(ISBLANK(V1166)))),"Yes","No")</f>
        <v>No</v>
      </c>
      <c r="X1166" s="0" t="n">
        <v>63.9</v>
      </c>
      <c r="Y1166" s="3" t="s">
        <v>30</v>
      </c>
      <c r="Z1166" s="0" t="str">
        <f aca="false">IF(M1166=1,P1166,"")</f>
        <v/>
      </c>
    </row>
    <row r="1167" customFormat="false" ht="15" hidden="false" customHeight="false" outlineLevel="0" collapsed="false">
      <c r="A1167" s="0" t="s">
        <v>1211</v>
      </c>
      <c r="B1167" s="2" t="n">
        <v>45742</v>
      </c>
      <c r="C1167" s="3" t="s">
        <v>736</v>
      </c>
      <c r="D1167" s="3" t="s">
        <v>43</v>
      </c>
      <c r="E1167" s="3" t="s">
        <v>45</v>
      </c>
      <c r="F1167" s="3" t="s">
        <v>30</v>
      </c>
      <c r="G1167" s="3" t="s">
        <v>36</v>
      </c>
      <c r="H1167" s="3" t="s">
        <v>30</v>
      </c>
      <c r="I1167" s="3" t="s">
        <v>32</v>
      </c>
      <c r="J1167" s="0" t="n">
        <v>1</v>
      </c>
      <c r="K1167" s="0" t="n">
        <v>0</v>
      </c>
      <c r="L1167" s="0" t="n">
        <v>0</v>
      </c>
      <c r="M1167" s="0" t="n">
        <v>0</v>
      </c>
      <c r="N1167" s="0" t="str">
        <f aca="false">IF(OR(NOT(OR(J1167=0,J1167=1)),NOT(OR(K1167=0,K1167=1)),NOT(OR(L1167=0,L1167=1)),NOT(OR(M1167=0,M1167=1)),NOT(OR(U1167=0,U1167=1))),"Yes","No")</f>
        <v>No</v>
      </c>
      <c r="O1167" s="0" t="str">
        <f aca="false">IF(OR(AND(M1167=1,L1167=0),AND(L1167=1,K1167=0),AND(K1167=1,J1167=0)),"Yes","No")</f>
        <v>No</v>
      </c>
      <c r="P1167" s="0" t="n">
        <v>0</v>
      </c>
      <c r="Q1167" s="0" t="str">
        <f aca="false">IF(OR(AND(M1167=0,P1167&gt;0),AND(M1167=1,P1167&lt;=0)),"Yes","No")</f>
        <v>No</v>
      </c>
      <c r="R1167" s="0" t="str">
        <f aca="false">IF(AND(M1167=1,P1167&gt;calc_helpers!$B$5),"Yes","No")</f>
        <v>No</v>
      </c>
      <c r="S1167" s="0" t="n">
        <v>1</v>
      </c>
      <c r="T1167" s="0" t="str">
        <f aca="false">IF(S1167&gt;0,"Yes","No")</f>
        <v>Yes</v>
      </c>
      <c r="U1167" s="0" t="n">
        <v>0</v>
      </c>
      <c r="W1167" s="0" t="str">
        <f aca="false">IF(OR(AND(M1167=1,ISBLANK(V1167)),AND(M1167=0,NOT(ISBLANK(V1167)))),"Yes","No")</f>
        <v>No</v>
      </c>
      <c r="X1167" s="0" t="n">
        <v>82.6</v>
      </c>
      <c r="Y1167" s="3" t="s">
        <v>30</v>
      </c>
      <c r="Z1167" s="0" t="str">
        <f aca="false">IF(M1167=1,P1167,"")</f>
        <v/>
      </c>
    </row>
    <row r="1168" customFormat="false" ht="15" hidden="false" customHeight="false" outlineLevel="0" collapsed="false">
      <c r="A1168" s="0" t="s">
        <v>1212</v>
      </c>
      <c r="B1168" s="2" t="n">
        <v>45802</v>
      </c>
      <c r="C1168" s="3" t="s">
        <v>736</v>
      </c>
      <c r="D1168" s="3" t="s">
        <v>39</v>
      </c>
      <c r="E1168" s="3" t="s">
        <v>35</v>
      </c>
      <c r="F1168" s="3" t="s">
        <v>30</v>
      </c>
      <c r="G1168" s="3" t="s">
        <v>40</v>
      </c>
      <c r="H1168" s="3" t="s">
        <v>30</v>
      </c>
      <c r="I1168" s="3" t="s">
        <v>37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str">
        <f aca="false">IF(OR(NOT(OR(J1168=0,J1168=1)),NOT(OR(K1168=0,K1168=1)),NOT(OR(L1168=0,L1168=1)),NOT(OR(M1168=0,M1168=1)),NOT(OR(U1168=0,U1168=1))),"Yes","No")</f>
        <v>No</v>
      </c>
      <c r="O1168" s="0" t="str">
        <f aca="false">IF(OR(AND(M1168=1,L1168=0),AND(L1168=1,K1168=0),AND(K1168=1,J1168=0)),"Yes","No")</f>
        <v>No</v>
      </c>
      <c r="P1168" s="0" t="n">
        <v>0</v>
      </c>
      <c r="Q1168" s="0" t="str">
        <f aca="false">IF(OR(AND(M1168=0,P1168&gt;0),AND(M1168=1,P1168&lt;=0)),"Yes","No")</f>
        <v>No</v>
      </c>
      <c r="R1168" s="0" t="str">
        <f aca="false">IF(AND(M1168=1,P1168&gt;calc_helpers!$B$5),"Yes","No")</f>
        <v>No</v>
      </c>
      <c r="S1168" s="0" t="n">
        <v>1</v>
      </c>
      <c r="T1168" s="0" t="str">
        <f aca="false">IF(S1168&gt;0,"Yes","No")</f>
        <v>Yes</v>
      </c>
      <c r="U1168" s="0" t="n">
        <v>0</v>
      </c>
      <c r="W1168" s="0" t="str">
        <f aca="false">IF(OR(AND(M1168=1,ISBLANK(V1168)),AND(M1168=0,NOT(ISBLANK(V1168)))),"Yes","No")</f>
        <v>No</v>
      </c>
      <c r="X1168" s="0" t="n">
        <v>58.3</v>
      </c>
      <c r="Y1168" s="3" t="s">
        <v>30</v>
      </c>
      <c r="Z1168" s="0" t="str">
        <f aca="false">IF(M1168=1,P1168,"")</f>
        <v/>
      </c>
    </row>
    <row r="1169" customFormat="false" ht="15" hidden="false" customHeight="false" outlineLevel="0" collapsed="false">
      <c r="A1169" s="0" t="s">
        <v>1213</v>
      </c>
      <c r="B1169" s="2" t="n">
        <v>45713</v>
      </c>
      <c r="C1169" s="3" t="s">
        <v>736</v>
      </c>
      <c r="D1169" s="3" t="s">
        <v>34</v>
      </c>
      <c r="E1169" s="3" t="s">
        <v>35</v>
      </c>
      <c r="F1169" s="3" t="s">
        <v>30</v>
      </c>
      <c r="G1169" s="3" t="s">
        <v>50</v>
      </c>
      <c r="H1169" s="3" t="s">
        <v>30</v>
      </c>
      <c r="I1169" s="3" t="s">
        <v>41</v>
      </c>
      <c r="J1169" s="0" t="n">
        <v>1</v>
      </c>
      <c r="K1169" s="0" t="n">
        <v>1</v>
      </c>
      <c r="L1169" s="0" t="n">
        <v>1</v>
      </c>
      <c r="M1169" s="0" t="n">
        <v>1</v>
      </c>
      <c r="N1169" s="0" t="str">
        <f aca="false">IF(OR(NOT(OR(J1169=0,J1169=1)),NOT(OR(K1169=0,K1169=1)),NOT(OR(L1169=0,L1169=1)),NOT(OR(M1169=0,M1169=1)),NOT(OR(U1169=0,U1169=1))),"Yes","No")</f>
        <v>No</v>
      </c>
      <c r="O1169" s="0" t="str">
        <f aca="false">IF(OR(AND(M1169=1,L1169=0),AND(L1169=1,K1169=0),AND(K1169=1,J1169=0)),"Yes","No")</f>
        <v>No</v>
      </c>
      <c r="P1169" s="0" t="n">
        <v>1547.06</v>
      </c>
      <c r="Q1169" s="0" t="str">
        <f aca="false">IF(OR(AND(M1169=0,P1169&gt;0),AND(M1169=1,P1169&lt;=0)),"Yes","No")</f>
        <v>No</v>
      </c>
      <c r="R1169" s="0" t="str">
        <f aca="false">IF(AND(M1169=1,P1169&gt;calc_helpers!$B$5),"Yes","No")</f>
        <v>No</v>
      </c>
      <c r="S1169" s="0" t="n">
        <v>0</v>
      </c>
      <c r="T1169" s="0" t="str">
        <f aca="false">IF(S1169&gt;0,"Yes","No")</f>
        <v>No</v>
      </c>
      <c r="U1169" s="0" t="n">
        <v>1</v>
      </c>
      <c r="V1169" s="0" t="n">
        <v>2</v>
      </c>
      <c r="W1169" s="0" t="str">
        <f aca="false">IF(OR(AND(M1169=1,ISBLANK(V1169)),AND(M1169=0,NOT(ISBLANK(V1169)))),"Yes","No")</f>
        <v>No</v>
      </c>
      <c r="X1169" s="0" t="n">
        <v>72.9</v>
      </c>
      <c r="Y1169" s="3" t="s">
        <v>30</v>
      </c>
      <c r="Z1169" s="3" t="n">
        <f aca="false">IF(M1169=1,P1169,"")</f>
        <v>1547.06</v>
      </c>
    </row>
    <row r="1170" customFormat="false" ht="15" hidden="false" customHeight="false" outlineLevel="0" collapsed="false">
      <c r="A1170" s="0" t="s">
        <v>1214</v>
      </c>
      <c r="B1170" s="2" t="n">
        <v>45739</v>
      </c>
      <c r="C1170" s="3" t="s">
        <v>736</v>
      </c>
      <c r="D1170" s="3" t="s">
        <v>43</v>
      </c>
      <c r="E1170" s="3" t="s">
        <v>35</v>
      </c>
      <c r="F1170" s="3" t="s">
        <v>30</v>
      </c>
      <c r="G1170" s="3" t="s">
        <v>52</v>
      </c>
      <c r="H1170" s="3" t="s">
        <v>30</v>
      </c>
      <c r="I1170" s="3" t="s">
        <v>37</v>
      </c>
      <c r="J1170" s="0" t="n">
        <v>1</v>
      </c>
      <c r="K1170" s="0" t="n">
        <v>1</v>
      </c>
      <c r="L1170" s="0" t="n">
        <v>1</v>
      </c>
      <c r="M1170" s="0" t="n">
        <v>0</v>
      </c>
      <c r="N1170" s="0" t="str">
        <f aca="false">IF(OR(NOT(OR(J1170=0,J1170=1)),NOT(OR(K1170=0,K1170=1)),NOT(OR(L1170=0,L1170=1)),NOT(OR(M1170=0,M1170=1)),NOT(OR(U1170=0,U1170=1))),"Yes","No")</f>
        <v>No</v>
      </c>
      <c r="O1170" s="0" t="str">
        <f aca="false">IF(OR(AND(M1170=1,L1170=0),AND(L1170=1,K1170=0),AND(K1170=1,J1170=0)),"Yes","No")</f>
        <v>No</v>
      </c>
      <c r="P1170" s="0" t="n">
        <v>0</v>
      </c>
      <c r="Q1170" s="0" t="str">
        <f aca="false">IF(OR(AND(M1170=0,P1170&gt;0),AND(M1170=1,P1170&lt;=0)),"Yes","No")</f>
        <v>No</v>
      </c>
      <c r="R1170" s="0" t="str">
        <f aca="false">IF(AND(M1170=1,P1170&gt;calc_helpers!$B$5),"Yes","No")</f>
        <v>No</v>
      </c>
      <c r="S1170" s="0" t="n">
        <v>2</v>
      </c>
      <c r="T1170" s="0" t="str">
        <f aca="false">IF(S1170&gt;0,"Yes","No")</f>
        <v>Yes</v>
      </c>
      <c r="U1170" s="0" t="n">
        <v>0</v>
      </c>
      <c r="W1170" s="0" t="str">
        <f aca="false">IF(OR(AND(M1170=1,ISBLANK(V1170)),AND(M1170=0,NOT(ISBLANK(V1170)))),"Yes","No")</f>
        <v>No</v>
      </c>
      <c r="X1170" s="0" t="n">
        <v>53.5</v>
      </c>
      <c r="Y1170" s="3" t="s">
        <v>30</v>
      </c>
      <c r="Z1170" s="0" t="str">
        <f aca="false">IF(M1170=1,P1170,"")</f>
        <v/>
      </c>
    </row>
    <row r="1171" customFormat="false" ht="15" hidden="false" customHeight="false" outlineLevel="0" collapsed="false">
      <c r="A1171" s="0" t="s">
        <v>1215</v>
      </c>
      <c r="B1171" s="2" t="n">
        <v>45768</v>
      </c>
      <c r="C1171" s="3" t="s">
        <v>736</v>
      </c>
      <c r="D1171" s="3" t="s">
        <v>34</v>
      </c>
      <c r="E1171" s="3" t="s">
        <v>35</v>
      </c>
      <c r="F1171" s="3" t="s">
        <v>30</v>
      </c>
      <c r="G1171" s="3" t="s">
        <v>50</v>
      </c>
      <c r="H1171" s="3" t="s">
        <v>30</v>
      </c>
      <c r="I1171" s="3" t="s">
        <v>37</v>
      </c>
      <c r="J1171" s="0" t="n">
        <v>1</v>
      </c>
      <c r="K1171" s="0" t="n">
        <v>0</v>
      </c>
      <c r="L1171" s="0" t="n">
        <v>0</v>
      </c>
      <c r="M1171" s="0" t="n">
        <v>0</v>
      </c>
      <c r="N1171" s="0" t="str">
        <f aca="false">IF(OR(NOT(OR(J1171=0,J1171=1)),NOT(OR(K1171=0,K1171=1)),NOT(OR(L1171=0,L1171=1)),NOT(OR(M1171=0,M1171=1)),NOT(OR(U1171=0,U1171=1))),"Yes","No")</f>
        <v>No</v>
      </c>
      <c r="O1171" s="0" t="str">
        <f aca="false">IF(OR(AND(M1171=1,L1171=0),AND(L1171=1,K1171=0),AND(K1171=1,J1171=0)),"Yes","No")</f>
        <v>No</v>
      </c>
      <c r="P1171" s="0" t="n">
        <v>0</v>
      </c>
      <c r="Q1171" s="0" t="str">
        <f aca="false">IF(OR(AND(M1171=0,P1171&gt;0),AND(M1171=1,P1171&lt;=0)),"Yes","No")</f>
        <v>No</v>
      </c>
      <c r="R1171" s="0" t="str">
        <f aca="false">IF(AND(M1171=1,P1171&gt;calc_helpers!$B$5),"Yes","No")</f>
        <v>No</v>
      </c>
      <c r="S1171" s="0" t="n">
        <v>0</v>
      </c>
      <c r="T1171" s="0" t="str">
        <f aca="false">IF(S1171&gt;0,"Yes","No")</f>
        <v>No</v>
      </c>
      <c r="U1171" s="0" t="n">
        <v>0</v>
      </c>
      <c r="W1171" s="0" t="str">
        <f aca="false">IF(OR(AND(M1171=1,ISBLANK(V1171)),AND(M1171=0,NOT(ISBLANK(V1171)))),"Yes","No")</f>
        <v>No</v>
      </c>
      <c r="X1171" s="0" t="n">
        <v>54.8</v>
      </c>
      <c r="Y1171" s="3" t="s">
        <v>30</v>
      </c>
      <c r="Z1171" s="0" t="str">
        <f aca="false">IF(M1171=1,P1171,"")</f>
        <v/>
      </c>
    </row>
    <row r="1172" customFormat="false" ht="15" hidden="false" customHeight="false" outlineLevel="0" collapsed="false">
      <c r="A1172" s="0" t="s">
        <v>1216</v>
      </c>
      <c r="B1172" s="2" t="n">
        <v>45798</v>
      </c>
      <c r="C1172" s="3" t="s">
        <v>736</v>
      </c>
      <c r="D1172" s="3" t="s">
        <v>28</v>
      </c>
      <c r="E1172" s="3" t="s">
        <v>35</v>
      </c>
      <c r="F1172" s="3" t="s">
        <v>30</v>
      </c>
      <c r="G1172" s="3" t="s">
        <v>36</v>
      </c>
      <c r="H1172" s="3" t="s">
        <v>30</v>
      </c>
      <c r="I1172" s="3" t="s">
        <v>41</v>
      </c>
      <c r="J1172" s="0" t="n">
        <v>1</v>
      </c>
      <c r="K1172" s="0" t="n">
        <v>0</v>
      </c>
      <c r="L1172" s="0" t="n">
        <v>0</v>
      </c>
      <c r="M1172" s="0" t="n">
        <v>0</v>
      </c>
      <c r="N1172" s="0" t="str">
        <f aca="false">IF(OR(NOT(OR(J1172=0,J1172=1)),NOT(OR(K1172=0,K1172=1)),NOT(OR(L1172=0,L1172=1)),NOT(OR(M1172=0,M1172=1)),NOT(OR(U1172=0,U1172=1))),"Yes","No")</f>
        <v>No</v>
      </c>
      <c r="O1172" s="0" t="str">
        <f aca="false">IF(OR(AND(M1172=1,L1172=0),AND(L1172=1,K1172=0),AND(K1172=1,J1172=0)),"Yes","No")</f>
        <v>No</v>
      </c>
      <c r="P1172" s="0" t="n">
        <v>0</v>
      </c>
      <c r="Q1172" s="0" t="str">
        <f aca="false">IF(OR(AND(M1172=0,P1172&gt;0),AND(M1172=1,P1172&lt;=0)),"Yes","No")</f>
        <v>No</v>
      </c>
      <c r="R1172" s="0" t="str">
        <f aca="false">IF(AND(M1172=1,P1172&gt;calc_helpers!$B$5),"Yes","No")</f>
        <v>No</v>
      </c>
      <c r="S1172" s="0" t="n">
        <v>0</v>
      </c>
      <c r="T1172" s="0" t="str">
        <f aca="false">IF(S1172&gt;0,"Yes","No")</f>
        <v>No</v>
      </c>
      <c r="U1172" s="0" t="n">
        <v>0</v>
      </c>
      <c r="W1172" s="0" t="str">
        <f aca="false">IF(OR(AND(M1172=1,ISBLANK(V1172)),AND(M1172=0,NOT(ISBLANK(V1172)))),"Yes","No")</f>
        <v>No</v>
      </c>
      <c r="X1172" s="0" t="n">
        <v>69.5</v>
      </c>
      <c r="Y1172" s="3" t="s">
        <v>30</v>
      </c>
      <c r="Z1172" s="0" t="str">
        <f aca="false">IF(M1172=1,P1172,"")</f>
        <v/>
      </c>
    </row>
    <row r="1173" customFormat="false" ht="15" hidden="false" customHeight="false" outlineLevel="0" collapsed="false">
      <c r="A1173" s="0" t="s">
        <v>1217</v>
      </c>
      <c r="B1173" s="2" t="n">
        <v>45772</v>
      </c>
      <c r="C1173" s="3" t="s">
        <v>736</v>
      </c>
      <c r="D1173" s="3" t="s">
        <v>28</v>
      </c>
      <c r="E1173" s="3" t="s">
        <v>29</v>
      </c>
      <c r="F1173" s="3" t="s">
        <v>30</v>
      </c>
      <c r="G1173" s="3" t="s">
        <v>52</v>
      </c>
      <c r="H1173" s="3" t="s">
        <v>30</v>
      </c>
      <c r="I1173" s="3" t="s">
        <v>37</v>
      </c>
      <c r="J1173" s="0" t="n">
        <v>1</v>
      </c>
      <c r="K1173" s="0" t="n">
        <v>0</v>
      </c>
      <c r="L1173" s="0" t="n">
        <v>0</v>
      </c>
      <c r="M1173" s="0" t="n">
        <v>0</v>
      </c>
      <c r="N1173" s="0" t="str">
        <f aca="false">IF(OR(NOT(OR(J1173=0,J1173=1)),NOT(OR(K1173=0,K1173=1)),NOT(OR(L1173=0,L1173=1)),NOT(OR(M1173=0,M1173=1)),NOT(OR(U1173=0,U1173=1))),"Yes","No")</f>
        <v>No</v>
      </c>
      <c r="O1173" s="0" t="str">
        <f aca="false">IF(OR(AND(M1173=1,L1173=0),AND(L1173=1,K1173=0),AND(K1173=1,J1173=0)),"Yes","No")</f>
        <v>No</v>
      </c>
      <c r="P1173" s="0" t="n">
        <v>0</v>
      </c>
      <c r="Q1173" s="0" t="str">
        <f aca="false">IF(OR(AND(M1173=0,P1173&gt;0),AND(M1173=1,P1173&lt;=0)),"Yes","No")</f>
        <v>No</v>
      </c>
      <c r="R1173" s="0" t="str">
        <f aca="false">IF(AND(M1173=1,P1173&gt;calc_helpers!$B$5),"Yes","No")</f>
        <v>No</v>
      </c>
      <c r="S1173" s="0" t="n">
        <v>1</v>
      </c>
      <c r="T1173" s="0" t="str">
        <f aca="false">IF(S1173&gt;0,"Yes","No")</f>
        <v>Yes</v>
      </c>
      <c r="U1173" s="0" t="n">
        <v>0</v>
      </c>
      <c r="W1173" s="0" t="str">
        <f aca="false">IF(OR(AND(M1173=1,ISBLANK(V1173)),AND(M1173=0,NOT(ISBLANK(V1173)))),"Yes","No")</f>
        <v>No</v>
      </c>
      <c r="X1173" s="0" t="n">
        <v>71.3</v>
      </c>
      <c r="Y1173" s="3" t="s">
        <v>30</v>
      </c>
      <c r="Z1173" s="0" t="str">
        <f aca="false">IF(M1173=1,P1173,"")</f>
        <v/>
      </c>
    </row>
    <row r="1174" customFormat="false" ht="15" hidden="false" customHeight="false" outlineLevel="0" collapsed="false">
      <c r="A1174" s="0" t="s">
        <v>1218</v>
      </c>
      <c r="B1174" s="2" t="n">
        <v>45800</v>
      </c>
      <c r="C1174" s="3" t="s">
        <v>736</v>
      </c>
      <c r="D1174" s="3" t="s">
        <v>34</v>
      </c>
      <c r="E1174" s="3" t="s">
        <v>35</v>
      </c>
      <c r="F1174" s="3" t="s">
        <v>30</v>
      </c>
      <c r="G1174" s="3" t="s">
        <v>50</v>
      </c>
      <c r="H1174" s="3" t="s">
        <v>30</v>
      </c>
      <c r="I1174" s="3" t="s">
        <v>32</v>
      </c>
      <c r="J1174" s="0" t="n">
        <v>1</v>
      </c>
      <c r="K1174" s="0" t="n">
        <v>0</v>
      </c>
      <c r="L1174" s="0" t="n">
        <v>0</v>
      </c>
      <c r="M1174" s="0" t="n">
        <v>0</v>
      </c>
      <c r="N1174" s="0" t="str">
        <f aca="false">IF(OR(NOT(OR(J1174=0,J1174=1)),NOT(OR(K1174=0,K1174=1)),NOT(OR(L1174=0,L1174=1)),NOT(OR(M1174=0,M1174=1)),NOT(OR(U1174=0,U1174=1))),"Yes","No")</f>
        <v>No</v>
      </c>
      <c r="O1174" s="0" t="str">
        <f aca="false">IF(OR(AND(M1174=1,L1174=0),AND(L1174=1,K1174=0),AND(K1174=1,J1174=0)),"Yes","No")</f>
        <v>No</v>
      </c>
      <c r="P1174" s="0" t="n">
        <v>0</v>
      </c>
      <c r="Q1174" s="0" t="str">
        <f aca="false">IF(OR(AND(M1174=0,P1174&gt;0),AND(M1174=1,P1174&lt;=0)),"Yes","No")</f>
        <v>No</v>
      </c>
      <c r="R1174" s="0" t="str">
        <f aca="false">IF(AND(M1174=1,P1174&gt;calc_helpers!$B$5),"Yes","No")</f>
        <v>No</v>
      </c>
      <c r="S1174" s="0" t="n">
        <v>1</v>
      </c>
      <c r="T1174" s="0" t="str">
        <f aca="false">IF(S1174&gt;0,"Yes","No")</f>
        <v>Yes</v>
      </c>
      <c r="U1174" s="0" t="n">
        <v>0</v>
      </c>
      <c r="W1174" s="0" t="str">
        <f aca="false">IF(OR(AND(M1174=1,ISBLANK(V1174)),AND(M1174=0,NOT(ISBLANK(V1174)))),"Yes","No")</f>
        <v>No</v>
      </c>
      <c r="X1174" s="0" t="n">
        <v>57.5</v>
      </c>
      <c r="Y1174" s="3" t="s">
        <v>30</v>
      </c>
      <c r="Z1174" s="0" t="str">
        <f aca="false">IF(M1174=1,P1174,"")</f>
        <v/>
      </c>
    </row>
    <row r="1175" customFormat="false" ht="15" hidden="false" customHeight="false" outlineLevel="0" collapsed="false">
      <c r="A1175" s="0" t="s">
        <v>1219</v>
      </c>
      <c r="B1175" s="2" t="n">
        <v>45734</v>
      </c>
      <c r="C1175" s="3" t="s">
        <v>736</v>
      </c>
      <c r="D1175" s="3" t="s">
        <v>43</v>
      </c>
      <c r="E1175" s="3" t="s">
        <v>35</v>
      </c>
      <c r="F1175" s="3" t="s">
        <v>30</v>
      </c>
      <c r="G1175" s="3" t="s">
        <v>31</v>
      </c>
      <c r="H1175" s="3" t="s">
        <v>30</v>
      </c>
      <c r="I1175" s="3" t="s">
        <v>37</v>
      </c>
      <c r="J1175" s="0" t="n">
        <v>1</v>
      </c>
      <c r="K1175" s="0" t="n">
        <v>0</v>
      </c>
      <c r="L1175" s="0" t="n">
        <v>0</v>
      </c>
      <c r="M1175" s="0" t="n">
        <v>0</v>
      </c>
      <c r="N1175" s="0" t="str">
        <f aca="false">IF(OR(NOT(OR(J1175=0,J1175=1)),NOT(OR(K1175=0,K1175=1)),NOT(OR(L1175=0,L1175=1)),NOT(OR(M1175=0,M1175=1)),NOT(OR(U1175=0,U1175=1))),"Yes","No")</f>
        <v>No</v>
      </c>
      <c r="O1175" s="0" t="str">
        <f aca="false">IF(OR(AND(M1175=1,L1175=0),AND(L1175=1,K1175=0),AND(K1175=1,J1175=0)),"Yes","No")</f>
        <v>No</v>
      </c>
      <c r="P1175" s="0" t="n">
        <v>0</v>
      </c>
      <c r="Q1175" s="0" t="str">
        <f aca="false">IF(OR(AND(M1175=0,P1175&gt;0),AND(M1175=1,P1175&lt;=0)),"Yes","No")</f>
        <v>No</v>
      </c>
      <c r="R1175" s="0" t="str">
        <f aca="false">IF(AND(M1175=1,P1175&gt;calc_helpers!$B$5),"Yes","No")</f>
        <v>No</v>
      </c>
      <c r="S1175" s="0" t="n">
        <v>4</v>
      </c>
      <c r="T1175" s="0" t="str">
        <f aca="false">IF(S1175&gt;0,"Yes","No")</f>
        <v>Yes</v>
      </c>
      <c r="U1175" s="0" t="n">
        <v>0</v>
      </c>
      <c r="W1175" s="0" t="str">
        <f aca="false">IF(OR(AND(M1175=1,ISBLANK(V1175)),AND(M1175=0,NOT(ISBLANK(V1175)))),"Yes","No")</f>
        <v>No</v>
      </c>
      <c r="X1175" s="0" t="n">
        <v>50.9</v>
      </c>
      <c r="Y1175" s="3" t="s">
        <v>30</v>
      </c>
      <c r="Z1175" s="0" t="str">
        <f aca="false">IF(M1175=1,P1175,"")</f>
        <v/>
      </c>
    </row>
    <row r="1176" customFormat="false" ht="15" hidden="false" customHeight="false" outlineLevel="0" collapsed="false">
      <c r="A1176" s="0" t="s">
        <v>1220</v>
      </c>
      <c r="B1176" s="2" t="n">
        <v>45660</v>
      </c>
      <c r="C1176" s="3" t="s">
        <v>736</v>
      </c>
      <c r="D1176" s="3" t="s">
        <v>43</v>
      </c>
      <c r="E1176" s="3" t="s">
        <v>45</v>
      </c>
      <c r="F1176" s="3" t="s">
        <v>30</v>
      </c>
      <c r="G1176" s="3" t="s">
        <v>36</v>
      </c>
      <c r="H1176" s="3" t="s">
        <v>30</v>
      </c>
      <c r="I1176" s="3" t="s">
        <v>37</v>
      </c>
      <c r="J1176" s="0" t="n">
        <v>1</v>
      </c>
      <c r="K1176" s="0" t="n">
        <v>1</v>
      </c>
      <c r="L1176" s="0" t="n">
        <v>1</v>
      </c>
      <c r="M1176" s="0" t="n">
        <v>0</v>
      </c>
      <c r="N1176" s="0" t="str">
        <f aca="false">IF(OR(NOT(OR(J1176=0,J1176=1)),NOT(OR(K1176=0,K1176=1)),NOT(OR(L1176=0,L1176=1)),NOT(OR(M1176=0,M1176=1)),NOT(OR(U1176=0,U1176=1))),"Yes","No")</f>
        <v>No</v>
      </c>
      <c r="O1176" s="0" t="str">
        <f aca="false">IF(OR(AND(M1176=1,L1176=0),AND(L1176=1,K1176=0),AND(K1176=1,J1176=0)),"Yes","No")</f>
        <v>No</v>
      </c>
      <c r="P1176" s="0" t="n">
        <v>0</v>
      </c>
      <c r="Q1176" s="0" t="str">
        <f aca="false">IF(OR(AND(M1176=0,P1176&gt;0),AND(M1176=1,P1176&lt;=0)),"Yes","No")</f>
        <v>No</v>
      </c>
      <c r="R1176" s="0" t="str">
        <f aca="false">IF(AND(M1176=1,P1176&gt;calc_helpers!$B$5),"Yes","No")</f>
        <v>No</v>
      </c>
      <c r="S1176" s="0" t="n">
        <v>0</v>
      </c>
      <c r="T1176" s="0" t="str">
        <f aca="false">IF(S1176&gt;0,"Yes","No")</f>
        <v>No</v>
      </c>
      <c r="U1176" s="0" t="n">
        <v>0</v>
      </c>
      <c r="W1176" s="0" t="str">
        <f aca="false">IF(OR(AND(M1176=1,ISBLANK(V1176)),AND(M1176=0,NOT(ISBLANK(V1176)))),"Yes","No")</f>
        <v>No</v>
      </c>
      <c r="X1176" s="0" t="n">
        <v>69.3</v>
      </c>
      <c r="Y1176" s="3" t="s">
        <v>30</v>
      </c>
      <c r="Z1176" s="0" t="str">
        <f aca="false">IF(M1176=1,P1176,"")</f>
        <v/>
      </c>
    </row>
    <row r="1177" customFormat="false" ht="15" hidden="false" customHeight="false" outlineLevel="0" collapsed="false">
      <c r="A1177" s="0" t="s">
        <v>1221</v>
      </c>
      <c r="B1177" s="2" t="n">
        <v>45696</v>
      </c>
      <c r="C1177" s="3" t="s">
        <v>736</v>
      </c>
      <c r="D1177" s="3" t="s">
        <v>34</v>
      </c>
      <c r="E1177" s="3" t="s">
        <v>29</v>
      </c>
      <c r="F1177" s="3" t="s">
        <v>30</v>
      </c>
      <c r="G1177" s="3" t="s">
        <v>36</v>
      </c>
      <c r="H1177" s="3" t="s">
        <v>30</v>
      </c>
      <c r="I1177" s="3" t="s">
        <v>37</v>
      </c>
      <c r="J1177" s="0" t="n">
        <v>1</v>
      </c>
      <c r="K1177" s="0" t="n">
        <v>0</v>
      </c>
      <c r="L1177" s="0" t="n">
        <v>0</v>
      </c>
      <c r="M1177" s="0" t="n">
        <v>0</v>
      </c>
      <c r="N1177" s="0" t="str">
        <f aca="false">IF(OR(NOT(OR(J1177=0,J1177=1)),NOT(OR(K1177=0,K1177=1)),NOT(OR(L1177=0,L1177=1)),NOT(OR(M1177=0,M1177=1)),NOT(OR(U1177=0,U1177=1))),"Yes","No")</f>
        <v>No</v>
      </c>
      <c r="O1177" s="0" t="str">
        <f aca="false">IF(OR(AND(M1177=1,L1177=0),AND(L1177=1,K1177=0),AND(K1177=1,J1177=0)),"Yes","No")</f>
        <v>No</v>
      </c>
      <c r="P1177" s="0" t="n">
        <v>0</v>
      </c>
      <c r="Q1177" s="0" t="str">
        <f aca="false">IF(OR(AND(M1177=0,P1177&gt;0),AND(M1177=1,P1177&lt;=0)),"Yes","No")</f>
        <v>No</v>
      </c>
      <c r="R1177" s="0" t="str">
        <f aca="false">IF(AND(M1177=1,P1177&gt;calc_helpers!$B$5),"Yes","No")</f>
        <v>No</v>
      </c>
      <c r="S1177" s="0" t="n">
        <v>0</v>
      </c>
      <c r="T1177" s="0" t="str">
        <f aca="false">IF(S1177&gt;0,"Yes","No")</f>
        <v>No</v>
      </c>
      <c r="U1177" s="0" t="n">
        <v>0</v>
      </c>
      <c r="W1177" s="0" t="str">
        <f aca="false">IF(OR(AND(M1177=1,ISBLANK(V1177)),AND(M1177=0,NOT(ISBLANK(V1177)))),"Yes","No")</f>
        <v>No</v>
      </c>
      <c r="X1177" s="0" t="n">
        <v>50.1</v>
      </c>
      <c r="Y1177" s="3" t="s">
        <v>30</v>
      </c>
      <c r="Z1177" s="0" t="str">
        <f aca="false">IF(M1177=1,P1177,"")</f>
        <v/>
      </c>
    </row>
    <row r="1178" customFormat="false" ht="15" hidden="false" customHeight="false" outlineLevel="0" collapsed="false">
      <c r="A1178" s="0" t="s">
        <v>1222</v>
      </c>
      <c r="B1178" s="2" t="n">
        <v>45692</v>
      </c>
      <c r="C1178" s="3" t="s">
        <v>736</v>
      </c>
      <c r="D1178" s="3" t="s">
        <v>39</v>
      </c>
      <c r="E1178" s="3" t="s">
        <v>167</v>
      </c>
      <c r="F1178" s="3" t="s">
        <v>168</v>
      </c>
      <c r="G1178" s="3" t="s">
        <v>40</v>
      </c>
      <c r="H1178" s="3" t="s">
        <v>30</v>
      </c>
      <c r="I1178" s="3" t="s">
        <v>32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str">
        <f aca="false">IF(OR(NOT(OR(J1178=0,J1178=1)),NOT(OR(K1178=0,K1178=1)),NOT(OR(L1178=0,L1178=1)),NOT(OR(M1178=0,M1178=1)),NOT(OR(U1178=0,U1178=1))),"Yes","No")</f>
        <v>No</v>
      </c>
      <c r="O1178" s="0" t="str">
        <f aca="false">IF(OR(AND(M1178=1,L1178=0),AND(L1178=1,K1178=0),AND(K1178=1,J1178=0)),"Yes","No")</f>
        <v>No</v>
      </c>
      <c r="P1178" s="0" t="n">
        <v>0</v>
      </c>
      <c r="Q1178" s="0" t="str">
        <f aca="false">IF(OR(AND(M1178=0,P1178&gt;0),AND(M1178=1,P1178&lt;=0)),"Yes","No")</f>
        <v>No</v>
      </c>
      <c r="R1178" s="0" t="str">
        <f aca="false">IF(AND(M1178=1,P1178&gt;calc_helpers!$B$5),"Yes","No")</f>
        <v>No</v>
      </c>
      <c r="S1178" s="0" t="n">
        <v>0</v>
      </c>
      <c r="T1178" s="0" t="str">
        <f aca="false">IF(S1178&gt;0,"Yes","No")</f>
        <v>No</v>
      </c>
      <c r="U1178" s="0" t="n">
        <v>0</v>
      </c>
      <c r="W1178" s="0" t="str">
        <f aca="false">IF(OR(AND(M1178=1,ISBLANK(V1178)),AND(M1178=0,NOT(ISBLANK(V1178)))),"Yes","No")</f>
        <v>No</v>
      </c>
      <c r="X1178" s="0" t="n">
        <v>69.7</v>
      </c>
      <c r="Y1178" s="3" t="s">
        <v>30</v>
      </c>
      <c r="Z1178" s="0" t="str">
        <f aca="false">IF(M1178=1,P1178,"")</f>
        <v/>
      </c>
    </row>
    <row r="1179" customFormat="false" ht="15" hidden="false" customHeight="false" outlineLevel="0" collapsed="false">
      <c r="A1179" s="0" t="s">
        <v>1223</v>
      </c>
      <c r="B1179" s="2" t="n">
        <v>45673</v>
      </c>
      <c r="C1179" s="3" t="s">
        <v>736</v>
      </c>
      <c r="D1179" s="3" t="s">
        <v>28</v>
      </c>
      <c r="E1179" s="3" t="s">
        <v>35</v>
      </c>
      <c r="F1179" s="3" t="s">
        <v>30</v>
      </c>
      <c r="G1179" s="3" t="s">
        <v>40</v>
      </c>
      <c r="H1179" s="3" t="s">
        <v>30</v>
      </c>
      <c r="I1179" s="3" t="s">
        <v>37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str">
        <f aca="false">IF(OR(NOT(OR(J1179=0,J1179=1)),NOT(OR(K1179=0,K1179=1)),NOT(OR(L1179=0,L1179=1)),NOT(OR(M1179=0,M1179=1)),NOT(OR(U1179=0,U1179=1))),"Yes","No")</f>
        <v>No</v>
      </c>
      <c r="O1179" s="0" t="str">
        <f aca="false">IF(OR(AND(M1179=1,L1179=0),AND(L1179=1,K1179=0),AND(K1179=1,J1179=0)),"Yes","No")</f>
        <v>No</v>
      </c>
      <c r="P1179" s="0" t="n">
        <v>0</v>
      </c>
      <c r="Q1179" s="0" t="str">
        <f aca="false">IF(OR(AND(M1179=0,P1179&gt;0),AND(M1179=1,P1179&lt;=0)),"Yes","No")</f>
        <v>No</v>
      </c>
      <c r="R1179" s="0" t="str">
        <f aca="false">IF(AND(M1179=1,P1179&gt;calc_helpers!$B$5),"Yes","No")</f>
        <v>No</v>
      </c>
      <c r="S1179" s="0" t="n">
        <v>0</v>
      </c>
      <c r="T1179" s="0" t="str">
        <f aca="false">IF(S1179&gt;0,"Yes","No")</f>
        <v>No</v>
      </c>
      <c r="U1179" s="0" t="n">
        <v>0</v>
      </c>
      <c r="W1179" s="0" t="str">
        <f aca="false">IF(OR(AND(M1179=1,ISBLANK(V1179)),AND(M1179=0,NOT(ISBLANK(V1179)))),"Yes","No")</f>
        <v>No</v>
      </c>
      <c r="X1179" s="0" t="n">
        <v>63.5</v>
      </c>
      <c r="Y1179" s="3" t="s">
        <v>30</v>
      </c>
      <c r="Z1179" s="0" t="str">
        <f aca="false">IF(M1179=1,P1179,"")</f>
        <v/>
      </c>
    </row>
    <row r="1180" customFormat="false" ht="15" hidden="false" customHeight="false" outlineLevel="0" collapsed="false">
      <c r="A1180" s="0" t="s">
        <v>1224</v>
      </c>
      <c r="B1180" s="2" t="n">
        <v>45751</v>
      </c>
      <c r="C1180" s="3" t="s">
        <v>736</v>
      </c>
      <c r="D1180" s="3" t="s">
        <v>34</v>
      </c>
      <c r="E1180" s="3" t="s">
        <v>29</v>
      </c>
      <c r="F1180" s="3" t="s">
        <v>30</v>
      </c>
      <c r="G1180" s="3" t="s">
        <v>40</v>
      </c>
      <c r="H1180" s="3" t="s">
        <v>30</v>
      </c>
      <c r="I1180" s="3" t="s">
        <v>37</v>
      </c>
      <c r="J1180" s="0" t="n">
        <v>1</v>
      </c>
      <c r="K1180" s="0" t="n">
        <v>1</v>
      </c>
      <c r="L1180" s="0" t="n">
        <v>1</v>
      </c>
      <c r="M1180" s="0" t="n">
        <v>1</v>
      </c>
      <c r="N1180" s="0" t="str">
        <f aca="false">IF(OR(NOT(OR(J1180=0,J1180=1)),NOT(OR(K1180=0,K1180=1)),NOT(OR(L1180=0,L1180=1)),NOT(OR(M1180=0,M1180=1)),NOT(OR(U1180=0,U1180=1))),"Yes","No")</f>
        <v>No</v>
      </c>
      <c r="O1180" s="0" t="str">
        <f aca="false">IF(OR(AND(M1180=1,L1180=0),AND(L1180=1,K1180=0),AND(K1180=1,J1180=0)),"Yes","No")</f>
        <v>No</v>
      </c>
      <c r="P1180" s="0" t="n">
        <v>265.59</v>
      </c>
      <c r="Q1180" s="0" t="str">
        <f aca="false">IF(OR(AND(M1180=0,P1180&gt;0),AND(M1180=1,P1180&lt;=0)),"Yes","No")</f>
        <v>No</v>
      </c>
      <c r="R1180" s="0" t="str">
        <f aca="false">IF(AND(M1180=1,P1180&gt;calc_helpers!$B$5),"Yes","No")</f>
        <v>No</v>
      </c>
      <c r="S1180" s="0" t="n">
        <v>1</v>
      </c>
      <c r="T1180" s="0" t="str">
        <f aca="false">IF(S1180&gt;0,"Yes","No")</f>
        <v>Yes</v>
      </c>
      <c r="U1180" s="0" t="n">
        <v>0</v>
      </c>
      <c r="V1180" s="0" t="n">
        <v>8</v>
      </c>
      <c r="W1180" s="0" t="str">
        <f aca="false">IF(OR(AND(M1180=1,ISBLANK(V1180)),AND(M1180=0,NOT(ISBLANK(V1180)))),"Yes","No")</f>
        <v>No</v>
      </c>
      <c r="X1180" s="0" t="n">
        <v>80.4</v>
      </c>
      <c r="Y1180" s="3" t="s">
        <v>30</v>
      </c>
      <c r="Z1180" s="3" t="n">
        <f aca="false">IF(M1180=1,P1180,"")</f>
        <v>265.59</v>
      </c>
    </row>
    <row r="1181" customFormat="false" ht="15" hidden="false" customHeight="false" outlineLevel="0" collapsed="false">
      <c r="A1181" s="0" t="s">
        <v>1225</v>
      </c>
      <c r="B1181" s="2" t="n">
        <v>45680</v>
      </c>
      <c r="C1181" s="3" t="s">
        <v>736</v>
      </c>
      <c r="D1181" s="3" t="s">
        <v>28</v>
      </c>
      <c r="E1181" s="3" t="s">
        <v>29</v>
      </c>
      <c r="F1181" s="3" t="s">
        <v>30</v>
      </c>
      <c r="G1181" s="3" t="s">
        <v>40</v>
      </c>
      <c r="H1181" s="3" t="s">
        <v>30</v>
      </c>
      <c r="I1181" s="3" t="s">
        <v>37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str">
        <f aca="false">IF(OR(NOT(OR(J1181=0,J1181=1)),NOT(OR(K1181=0,K1181=1)),NOT(OR(L1181=0,L1181=1)),NOT(OR(M1181=0,M1181=1)),NOT(OR(U1181=0,U1181=1))),"Yes","No")</f>
        <v>No</v>
      </c>
      <c r="O1181" s="0" t="str">
        <f aca="false">IF(OR(AND(M1181=1,L1181=0),AND(L1181=1,K1181=0),AND(K1181=1,J1181=0)),"Yes","No")</f>
        <v>No</v>
      </c>
      <c r="P1181" s="0" t="n">
        <v>0</v>
      </c>
      <c r="Q1181" s="0" t="str">
        <f aca="false">IF(OR(AND(M1181=0,P1181&gt;0),AND(M1181=1,P1181&lt;=0)),"Yes","No")</f>
        <v>No</v>
      </c>
      <c r="R1181" s="0" t="str">
        <f aca="false">IF(AND(M1181=1,P1181&gt;calc_helpers!$B$5),"Yes","No")</f>
        <v>No</v>
      </c>
      <c r="S1181" s="0" t="n">
        <v>0</v>
      </c>
      <c r="T1181" s="0" t="str">
        <f aca="false">IF(S1181&gt;0,"Yes","No")</f>
        <v>No</v>
      </c>
      <c r="U1181" s="0" t="n">
        <v>0</v>
      </c>
      <c r="W1181" s="0" t="str">
        <f aca="false">IF(OR(AND(M1181=1,ISBLANK(V1181)),AND(M1181=0,NOT(ISBLANK(V1181)))),"Yes","No")</f>
        <v>No</v>
      </c>
      <c r="X1181" s="0" t="n">
        <v>58.9</v>
      </c>
      <c r="Y1181" s="3" t="s">
        <v>30</v>
      </c>
      <c r="Z1181" s="0" t="str">
        <f aca="false">IF(M1181=1,P1181,"")</f>
        <v/>
      </c>
    </row>
    <row r="1182" customFormat="false" ht="15" hidden="false" customHeight="false" outlineLevel="0" collapsed="false">
      <c r="A1182" s="0" t="s">
        <v>1226</v>
      </c>
      <c r="B1182" s="2" t="n">
        <v>45738</v>
      </c>
      <c r="C1182" s="3" t="s">
        <v>736</v>
      </c>
      <c r="D1182" s="3" t="s">
        <v>43</v>
      </c>
      <c r="E1182" s="3" t="s">
        <v>29</v>
      </c>
      <c r="F1182" s="3" t="s">
        <v>30</v>
      </c>
      <c r="G1182" s="3" t="s">
        <v>40</v>
      </c>
      <c r="H1182" s="3" t="s">
        <v>30</v>
      </c>
      <c r="I1182" s="3" t="s">
        <v>37</v>
      </c>
      <c r="J1182" s="0" t="n">
        <v>1</v>
      </c>
      <c r="K1182" s="0" t="n">
        <v>0</v>
      </c>
      <c r="L1182" s="0" t="n">
        <v>0</v>
      </c>
      <c r="M1182" s="0" t="n">
        <v>0</v>
      </c>
      <c r="N1182" s="0" t="str">
        <f aca="false">IF(OR(NOT(OR(J1182=0,J1182=1)),NOT(OR(K1182=0,K1182=1)),NOT(OR(L1182=0,L1182=1)),NOT(OR(M1182=0,M1182=1)),NOT(OR(U1182=0,U1182=1))),"Yes","No")</f>
        <v>No</v>
      </c>
      <c r="O1182" s="0" t="str">
        <f aca="false">IF(OR(AND(M1182=1,L1182=0),AND(L1182=1,K1182=0),AND(K1182=1,J1182=0)),"Yes","No")</f>
        <v>No</v>
      </c>
      <c r="P1182" s="0" t="n">
        <v>0</v>
      </c>
      <c r="Q1182" s="0" t="str">
        <f aca="false">IF(OR(AND(M1182=0,P1182&gt;0),AND(M1182=1,P1182&lt;=0)),"Yes","No")</f>
        <v>No</v>
      </c>
      <c r="R1182" s="0" t="str">
        <f aca="false">IF(AND(M1182=1,P1182&gt;calc_helpers!$B$5),"Yes","No")</f>
        <v>No</v>
      </c>
      <c r="S1182" s="0" t="n">
        <v>0</v>
      </c>
      <c r="T1182" s="0" t="str">
        <f aca="false">IF(S1182&gt;0,"Yes","No")</f>
        <v>No</v>
      </c>
      <c r="U1182" s="0" t="n">
        <v>0</v>
      </c>
      <c r="W1182" s="0" t="str">
        <f aca="false">IF(OR(AND(M1182=1,ISBLANK(V1182)),AND(M1182=0,NOT(ISBLANK(V1182)))),"Yes","No")</f>
        <v>No</v>
      </c>
      <c r="X1182" s="0" t="n">
        <v>56.8</v>
      </c>
      <c r="Y1182" s="3" t="s">
        <v>30</v>
      </c>
      <c r="Z1182" s="0" t="str">
        <f aca="false">IF(M1182=1,P1182,"")</f>
        <v/>
      </c>
    </row>
    <row r="1183" customFormat="false" ht="15" hidden="false" customHeight="false" outlineLevel="0" collapsed="false">
      <c r="A1183" s="0" t="s">
        <v>1227</v>
      </c>
      <c r="B1183" s="2" t="n">
        <v>45690</v>
      </c>
      <c r="C1183" s="3" t="s">
        <v>736</v>
      </c>
      <c r="D1183" s="3" t="s">
        <v>39</v>
      </c>
      <c r="E1183" s="3" t="s">
        <v>45</v>
      </c>
      <c r="F1183" s="3" t="s">
        <v>30</v>
      </c>
      <c r="G1183" s="3" t="s">
        <v>52</v>
      </c>
      <c r="H1183" s="3" t="s">
        <v>30</v>
      </c>
      <c r="I1183" s="3" t="s">
        <v>41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str">
        <f aca="false">IF(OR(NOT(OR(J1183=0,J1183=1)),NOT(OR(K1183=0,K1183=1)),NOT(OR(L1183=0,L1183=1)),NOT(OR(M1183=0,M1183=1)),NOT(OR(U1183=0,U1183=1))),"Yes","No")</f>
        <v>No</v>
      </c>
      <c r="O1183" s="0" t="str">
        <f aca="false">IF(OR(AND(M1183=1,L1183=0),AND(L1183=1,K1183=0),AND(K1183=1,J1183=0)),"Yes","No")</f>
        <v>No</v>
      </c>
      <c r="P1183" s="0" t="n">
        <v>0</v>
      </c>
      <c r="Q1183" s="0" t="str">
        <f aca="false">IF(OR(AND(M1183=0,P1183&gt;0),AND(M1183=1,P1183&lt;=0)),"Yes","No")</f>
        <v>No</v>
      </c>
      <c r="R1183" s="0" t="str">
        <f aca="false">IF(AND(M1183=1,P1183&gt;calc_helpers!$B$5),"Yes","No")</f>
        <v>No</v>
      </c>
      <c r="S1183" s="0" t="n">
        <v>0</v>
      </c>
      <c r="T1183" s="0" t="str">
        <f aca="false">IF(S1183&gt;0,"Yes","No")</f>
        <v>No</v>
      </c>
      <c r="U1183" s="0" t="n">
        <v>0</v>
      </c>
      <c r="W1183" s="0" t="str">
        <f aca="false">IF(OR(AND(M1183=1,ISBLANK(V1183)),AND(M1183=0,NOT(ISBLANK(V1183)))),"Yes","No")</f>
        <v>No</v>
      </c>
      <c r="X1183" s="0" t="n">
        <v>73.9</v>
      </c>
      <c r="Y1183" s="3" t="s">
        <v>30</v>
      </c>
      <c r="Z1183" s="0" t="str">
        <f aca="false">IF(M1183=1,P1183,"")</f>
        <v/>
      </c>
    </row>
    <row r="1184" customFormat="false" ht="15" hidden="false" customHeight="false" outlineLevel="0" collapsed="false">
      <c r="A1184" s="0" t="s">
        <v>1228</v>
      </c>
      <c r="B1184" s="2" t="n">
        <v>45688</v>
      </c>
      <c r="C1184" s="3" t="s">
        <v>736</v>
      </c>
      <c r="D1184" s="3" t="s">
        <v>28</v>
      </c>
      <c r="E1184" s="3" t="s">
        <v>29</v>
      </c>
      <c r="F1184" s="3" t="s">
        <v>30</v>
      </c>
      <c r="G1184" s="3" t="s">
        <v>40</v>
      </c>
      <c r="H1184" s="3" t="s">
        <v>30</v>
      </c>
      <c r="I1184" s="3" t="s">
        <v>37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str">
        <f aca="false">IF(OR(NOT(OR(J1184=0,J1184=1)),NOT(OR(K1184=0,K1184=1)),NOT(OR(L1184=0,L1184=1)),NOT(OR(M1184=0,M1184=1)),NOT(OR(U1184=0,U1184=1))),"Yes","No")</f>
        <v>No</v>
      </c>
      <c r="O1184" s="0" t="str">
        <f aca="false">IF(OR(AND(M1184=1,L1184=0),AND(L1184=1,K1184=0),AND(K1184=1,J1184=0)),"Yes","No")</f>
        <v>No</v>
      </c>
      <c r="P1184" s="0" t="n">
        <v>0</v>
      </c>
      <c r="Q1184" s="0" t="str">
        <f aca="false">IF(OR(AND(M1184=0,P1184&gt;0),AND(M1184=1,P1184&lt;=0)),"Yes","No")</f>
        <v>No</v>
      </c>
      <c r="R1184" s="0" t="str">
        <f aca="false">IF(AND(M1184=1,P1184&gt;calc_helpers!$B$5),"Yes","No")</f>
        <v>No</v>
      </c>
      <c r="S1184" s="0" t="n">
        <v>0</v>
      </c>
      <c r="T1184" s="0" t="str">
        <f aca="false">IF(S1184&gt;0,"Yes","No")</f>
        <v>No</v>
      </c>
      <c r="U1184" s="0" t="n">
        <v>0</v>
      </c>
      <c r="W1184" s="0" t="str">
        <f aca="false">IF(OR(AND(M1184=1,ISBLANK(V1184)),AND(M1184=0,NOT(ISBLANK(V1184)))),"Yes","No")</f>
        <v>No</v>
      </c>
      <c r="X1184" s="0" t="n">
        <v>76.3</v>
      </c>
      <c r="Y1184" s="3" t="s">
        <v>30</v>
      </c>
      <c r="Z1184" s="0" t="str">
        <f aca="false">IF(M1184=1,P1184,"")</f>
        <v/>
      </c>
    </row>
    <row r="1185" customFormat="false" ht="15" hidden="false" customHeight="false" outlineLevel="0" collapsed="false">
      <c r="A1185" s="0" t="s">
        <v>1229</v>
      </c>
      <c r="B1185" s="2" t="n">
        <v>45804</v>
      </c>
      <c r="C1185" s="3" t="s">
        <v>736</v>
      </c>
      <c r="D1185" s="3" t="s">
        <v>34</v>
      </c>
      <c r="E1185" s="3" t="s">
        <v>35</v>
      </c>
      <c r="F1185" s="3" t="s">
        <v>30</v>
      </c>
      <c r="G1185" s="3" t="s">
        <v>36</v>
      </c>
      <c r="H1185" s="3" t="s">
        <v>30</v>
      </c>
      <c r="I1185" s="3" t="s">
        <v>32</v>
      </c>
      <c r="J1185" s="0" t="n">
        <v>1</v>
      </c>
      <c r="K1185" s="0" t="n">
        <v>0</v>
      </c>
      <c r="L1185" s="0" t="n">
        <v>0</v>
      </c>
      <c r="M1185" s="0" t="n">
        <v>0</v>
      </c>
      <c r="N1185" s="0" t="str">
        <f aca="false">IF(OR(NOT(OR(J1185=0,J1185=1)),NOT(OR(K1185=0,K1185=1)),NOT(OR(L1185=0,L1185=1)),NOT(OR(M1185=0,M1185=1)),NOT(OR(U1185=0,U1185=1))),"Yes","No")</f>
        <v>No</v>
      </c>
      <c r="O1185" s="0" t="str">
        <f aca="false">IF(OR(AND(M1185=1,L1185=0),AND(L1185=1,K1185=0),AND(K1185=1,J1185=0)),"Yes","No")</f>
        <v>No</v>
      </c>
      <c r="P1185" s="0" t="n">
        <v>0</v>
      </c>
      <c r="Q1185" s="0" t="str">
        <f aca="false">IF(OR(AND(M1185=0,P1185&gt;0),AND(M1185=1,P1185&lt;=0)),"Yes","No")</f>
        <v>No</v>
      </c>
      <c r="R1185" s="0" t="str">
        <f aca="false">IF(AND(M1185=1,P1185&gt;calc_helpers!$B$5),"Yes","No")</f>
        <v>No</v>
      </c>
      <c r="S1185" s="0" t="n">
        <v>0</v>
      </c>
      <c r="T1185" s="0" t="str">
        <f aca="false">IF(S1185&gt;0,"Yes","No")</f>
        <v>No</v>
      </c>
      <c r="U1185" s="0" t="n">
        <v>0</v>
      </c>
      <c r="W1185" s="0" t="str">
        <f aca="false">IF(OR(AND(M1185=1,ISBLANK(V1185)),AND(M1185=0,NOT(ISBLANK(V1185)))),"Yes","No")</f>
        <v>No</v>
      </c>
      <c r="X1185" s="0" t="n">
        <v>56.9</v>
      </c>
      <c r="Y1185" s="3" t="s">
        <v>30</v>
      </c>
      <c r="Z1185" s="0" t="str">
        <f aca="false">IF(M1185=1,P1185,"")</f>
        <v/>
      </c>
    </row>
    <row r="1186" customFormat="false" ht="15" hidden="false" customHeight="false" outlineLevel="0" collapsed="false">
      <c r="A1186" s="0" t="s">
        <v>1230</v>
      </c>
      <c r="B1186" s="2" t="n">
        <v>45784</v>
      </c>
      <c r="C1186" s="3" t="s">
        <v>736</v>
      </c>
      <c r="D1186" s="3" t="s">
        <v>28</v>
      </c>
      <c r="E1186" s="3" t="s">
        <v>35</v>
      </c>
      <c r="F1186" s="3" t="s">
        <v>30</v>
      </c>
      <c r="G1186" s="3" t="s">
        <v>36</v>
      </c>
      <c r="H1186" s="3" t="s">
        <v>30</v>
      </c>
      <c r="I1186" s="3" t="s">
        <v>41</v>
      </c>
      <c r="J1186" s="0" t="n">
        <v>1</v>
      </c>
      <c r="K1186" s="0" t="n">
        <v>0</v>
      </c>
      <c r="L1186" s="0" t="n">
        <v>0</v>
      </c>
      <c r="M1186" s="0" t="n">
        <v>0</v>
      </c>
      <c r="N1186" s="0" t="str">
        <f aca="false">IF(OR(NOT(OR(J1186=0,J1186=1)),NOT(OR(K1186=0,K1186=1)),NOT(OR(L1186=0,L1186=1)),NOT(OR(M1186=0,M1186=1)),NOT(OR(U1186=0,U1186=1))),"Yes","No")</f>
        <v>No</v>
      </c>
      <c r="O1186" s="0" t="str">
        <f aca="false">IF(OR(AND(M1186=1,L1186=0),AND(L1186=1,K1186=0),AND(K1186=1,J1186=0)),"Yes","No")</f>
        <v>No</v>
      </c>
      <c r="P1186" s="0" t="n">
        <v>0</v>
      </c>
      <c r="Q1186" s="0" t="str">
        <f aca="false">IF(OR(AND(M1186=0,P1186&gt;0),AND(M1186=1,P1186&lt;=0)),"Yes","No")</f>
        <v>No</v>
      </c>
      <c r="R1186" s="0" t="str">
        <f aca="false">IF(AND(M1186=1,P1186&gt;calc_helpers!$B$5),"Yes","No")</f>
        <v>No</v>
      </c>
      <c r="S1186" s="0" t="n">
        <v>2</v>
      </c>
      <c r="T1186" s="0" t="str">
        <f aca="false">IF(S1186&gt;0,"Yes","No")</f>
        <v>Yes</v>
      </c>
      <c r="U1186" s="0" t="n">
        <v>0</v>
      </c>
      <c r="W1186" s="0" t="str">
        <f aca="false">IF(OR(AND(M1186=1,ISBLANK(V1186)),AND(M1186=0,NOT(ISBLANK(V1186)))),"Yes","No")</f>
        <v>No</v>
      </c>
      <c r="X1186" s="0" t="n">
        <v>49.4</v>
      </c>
      <c r="Y1186" s="3" t="s">
        <v>30</v>
      </c>
      <c r="Z1186" s="0" t="str">
        <f aca="false">IF(M1186=1,P1186,"")</f>
        <v/>
      </c>
    </row>
    <row r="1187" customFormat="false" ht="15" hidden="false" customHeight="false" outlineLevel="0" collapsed="false">
      <c r="A1187" s="0" t="s">
        <v>1231</v>
      </c>
      <c r="B1187" s="2" t="n">
        <v>45785</v>
      </c>
      <c r="C1187" s="3" t="s">
        <v>736</v>
      </c>
      <c r="D1187" s="3" t="s">
        <v>28</v>
      </c>
      <c r="E1187" s="3" t="s">
        <v>29</v>
      </c>
      <c r="F1187" s="3" t="s">
        <v>30</v>
      </c>
      <c r="G1187" s="3" t="s">
        <v>40</v>
      </c>
      <c r="H1187" s="3" t="s">
        <v>30</v>
      </c>
      <c r="I1187" s="3" t="s">
        <v>32</v>
      </c>
      <c r="J1187" s="0" t="n">
        <v>1</v>
      </c>
      <c r="K1187" s="0" t="n">
        <v>0</v>
      </c>
      <c r="L1187" s="0" t="n">
        <v>0</v>
      </c>
      <c r="M1187" s="0" t="n">
        <v>0</v>
      </c>
      <c r="N1187" s="0" t="str">
        <f aca="false">IF(OR(NOT(OR(J1187=0,J1187=1)),NOT(OR(K1187=0,K1187=1)),NOT(OR(L1187=0,L1187=1)),NOT(OR(M1187=0,M1187=1)),NOT(OR(U1187=0,U1187=1))),"Yes","No")</f>
        <v>No</v>
      </c>
      <c r="O1187" s="0" t="str">
        <f aca="false">IF(OR(AND(M1187=1,L1187=0),AND(L1187=1,K1187=0),AND(K1187=1,J1187=0)),"Yes","No")</f>
        <v>No</v>
      </c>
      <c r="P1187" s="0" t="n">
        <v>0</v>
      </c>
      <c r="Q1187" s="0" t="str">
        <f aca="false">IF(OR(AND(M1187=0,P1187&gt;0),AND(M1187=1,P1187&lt;=0)),"Yes","No")</f>
        <v>No</v>
      </c>
      <c r="R1187" s="0" t="str">
        <f aca="false">IF(AND(M1187=1,P1187&gt;calc_helpers!$B$5),"Yes","No")</f>
        <v>No</v>
      </c>
      <c r="S1187" s="0" t="n">
        <v>0</v>
      </c>
      <c r="T1187" s="0" t="str">
        <f aca="false">IF(S1187&gt;0,"Yes","No")</f>
        <v>No</v>
      </c>
      <c r="U1187" s="0" t="n">
        <v>0</v>
      </c>
      <c r="W1187" s="0" t="str">
        <f aca="false">IF(OR(AND(M1187=1,ISBLANK(V1187)),AND(M1187=0,NOT(ISBLANK(V1187)))),"Yes","No")</f>
        <v>No</v>
      </c>
      <c r="X1187" s="0" t="n">
        <v>86.7</v>
      </c>
      <c r="Y1187" s="3" t="s">
        <v>30</v>
      </c>
      <c r="Z1187" s="0" t="str">
        <f aca="false">IF(M1187=1,P1187,"")</f>
        <v/>
      </c>
    </row>
    <row r="1188" customFormat="false" ht="15" hidden="false" customHeight="false" outlineLevel="0" collapsed="false">
      <c r="A1188" s="0" t="s">
        <v>1232</v>
      </c>
      <c r="B1188" s="2" t="n">
        <v>45672</v>
      </c>
      <c r="C1188" s="3" t="s">
        <v>736</v>
      </c>
      <c r="D1188" s="3" t="s">
        <v>34</v>
      </c>
      <c r="E1188" s="3" t="s">
        <v>29</v>
      </c>
      <c r="F1188" s="3" t="s">
        <v>30</v>
      </c>
      <c r="G1188" s="3" t="s">
        <v>31</v>
      </c>
      <c r="H1188" s="3" t="s">
        <v>30</v>
      </c>
      <c r="I1188" s="3" t="s">
        <v>37</v>
      </c>
      <c r="J1188" s="0" t="n">
        <v>1</v>
      </c>
      <c r="K1188" s="0" t="n">
        <v>0</v>
      </c>
      <c r="L1188" s="0" t="n">
        <v>0</v>
      </c>
      <c r="M1188" s="0" t="n">
        <v>0</v>
      </c>
      <c r="N1188" s="0" t="str">
        <f aca="false">IF(OR(NOT(OR(J1188=0,J1188=1)),NOT(OR(K1188=0,K1188=1)),NOT(OR(L1188=0,L1188=1)),NOT(OR(M1188=0,M1188=1)),NOT(OR(U1188=0,U1188=1))),"Yes","No")</f>
        <v>No</v>
      </c>
      <c r="O1188" s="0" t="str">
        <f aca="false">IF(OR(AND(M1188=1,L1188=0),AND(L1188=1,K1188=0),AND(K1188=1,J1188=0)),"Yes","No")</f>
        <v>No</v>
      </c>
      <c r="P1188" s="0" t="n">
        <v>0</v>
      </c>
      <c r="Q1188" s="0" t="str">
        <f aca="false">IF(OR(AND(M1188=0,P1188&gt;0),AND(M1188=1,P1188&lt;=0)),"Yes","No")</f>
        <v>No</v>
      </c>
      <c r="R1188" s="0" t="str">
        <f aca="false">IF(AND(M1188=1,P1188&gt;calc_helpers!$B$5),"Yes","No")</f>
        <v>No</v>
      </c>
      <c r="S1188" s="0" t="n">
        <v>3</v>
      </c>
      <c r="T1188" s="0" t="str">
        <f aca="false">IF(S1188&gt;0,"Yes","No")</f>
        <v>Yes</v>
      </c>
      <c r="U1188" s="0" t="n">
        <v>0</v>
      </c>
      <c r="W1188" s="0" t="str">
        <f aca="false">IF(OR(AND(M1188=1,ISBLANK(V1188)),AND(M1188=0,NOT(ISBLANK(V1188)))),"Yes","No")</f>
        <v>No</v>
      </c>
      <c r="X1188" s="0" t="n">
        <v>69</v>
      </c>
      <c r="Y1188" s="3" t="s">
        <v>30</v>
      </c>
      <c r="Z1188" s="0" t="str">
        <f aca="false">IF(M1188=1,P1188,"")</f>
        <v/>
      </c>
    </row>
    <row r="1189" customFormat="false" ht="15" hidden="false" customHeight="false" outlineLevel="0" collapsed="false">
      <c r="A1189" s="0" t="s">
        <v>1233</v>
      </c>
      <c r="B1189" s="2" t="n">
        <v>45675</v>
      </c>
      <c r="C1189" s="3" t="s">
        <v>736</v>
      </c>
      <c r="D1189" s="3" t="s">
        <v>28</v>
      </c>
      <c r="E1189" s="3" t="s">
        <v>35</v>
      </c>
      <c r="F1189" s="3" t="s">
        <v>30</v>
      </c>
      <c r="G1189" s="3" t="s">
        <v>40</v>
      </c>
      <c r="H1189" s="3" t="s">
        <v>30</v>
      </c>
      <c r="I1189" s="3" t="s">
        <v>37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str">
        <f aca="false">IF(OR(NOT(OR(J1189=0,J1189=1)),NOT(OR(K1189=0,K1189=1)),NOT(OR(L1189=0,L1189=1)),NOT(OR(M1189=0,M1189=1)),NOT(OR(U1189=0,U1189=1))),"Yes","No")</f>
        <v>No</v>
      </c>
      <c r="O1189" s="0" t="str">
        <f aca="false">IF(OR(AND(M1189=1,L1189=0),AND(L1189=1,K1189=0),AND(K1189=1,J1189=0)),"Yes","No")</f>
        <v>No</v>
      </c>
      <c r="P1189" s="0" t="n">
        <v>0</v>
      </c>
      <c r="Q1189" s="0" t="str">
        <f aca="false">IF(OR(AND(M1189=0,P1189&gt;0),AND(M1189=1,P1189&lt;=0)),"Yes","No")</f>
        <v>No</v>
      </c>
      <c r="R1189" s="0" t="str">
        <f aca="false">IF(AND(M1189=1,P1189&gt;calc_helpers!$B$5),"Yes","No")</f>
        <v>No</v>
      </c>
      <c r="S1189" s="0" t="n">
        <v>0</v>
      </c>
      <c r="T1189" s="0" t="str">
        <f aca="false">IF(S1189&gt;0,"Yes","No")</f>
        <v>No</v>
      </c>
      <c r="U1189" s="0" t="n">
        <v>0</v>
      </c>
      <c r="W1189" s="0" t="str">
        <f aca="false">IF(OR(AND(M1189=1,ISBLANK(V1189)),AND(M1189=0,NOT(ISBLANK(V1189)))),"Yes","No")</f>
        <v>No</v>
      </c>
      <c r="X1189" s="0" t="n">
        <v>84.5</v>
      </c>
      <c r="Y1189" s="3" t="s">
        <v>30</v>
      </c>
      <c r="Z1189" s="0" t="str">
        <f aca="false">IF(M1189=1,P1189,"")</f>
        <v/>
      </c>
    </row>
    <row r="1190" customFormat="false" ht="15" hidden="false" customHeight="false" outlineLevel="0" collapsed="false">
      <c r="A1190" s="0" t="s">
        <v>1234</v>
      </c>
      <c r="B1190" s="2" t="n">
        <v>45763</v>
      </c>
      <c r="C1190" s="3" t="s">
        <v>736</v>
      </c>
      <c r="D1190" s="3" t="s">
        <v>39</v>
      </c>
      <c r="E1190" s="3" t="s">
        <v>167</v>
      </c>
      <c r="F1190" s="3" t="s">
        <v>168</v>
      </c>
      <c r="G1190" s="3" t="s">
        <v>50</v>
      </c>
      <c r="H1190" s="3" t="s">
        <v>30</v>
      </c>
      <c r="I1190" s="3" t="s">
        <v>37</v>
      </c>
      <c r="J1190" s="0" t="n">
        <v>1</v>
      </c>
      <c r="K1190" s="0" t="n">
        <v>0</v>
      </c>
      <c r="L1190" s="0" t="n">
        <v>0</v>
      </c>
      <c r="M1190" s="0" t="n">
        <v>0</v>
      </c>
      <c r="N1190" s="0" t="str">
        <f aca="false">IF(OR(NOT(OR(J1190=0,J1190=1)),NOT(OR(K1190=0,K1190=1)),NOT(OR(L1190=0,L1190=1)),NOT(OR(M1190=0,M1190=1)),NOT(OR(U1190=0,U1190=1))),"Yes","No")</f>
        <v>No</v>
      </c>
      <c r="O1190" s="0" t="str">
        <f aca="false">IF(OR(AND(M1190=1,L1190=0),AND(L1190=1,K1190=0),AND(K1190=1,J1190=0)),"Yes","No")</f>
        <v>No</v>
      </c>
      <c r="P1190" s="0" t="n">
        <v>0</v>
      </c>
      <c r="Q1190" s="0" t="str">
        <f aca="false">IF(OR(AND(M1190=0,P1190&gt;0),AND(M1190=1,P1190&lt;=0)),"Yes","No")</f>
        <v>No</v>
      </c>
      <c r="R1190" s="0" t="str">
        <f aca="false">IF(AND(M1190=1,P1190&gt;calc_helpers!$B$5),"Yes","No")</f>
        <v>No</v>
      </c>
      <c r="S1190" s="0" t="n">
        <v>0</v>
      </c>
      <c r="T1190" s="0" t="str">
        <f aca="false">IF(S1190&gt;0,"Yes","No")</f>
        <v>No</v>
      </c>
      <c r="U1190" s="0" t="n">
        <v>0</v>
      </c>
      <c r="W1190" s="0" t="str">
        <f aca="false">IF(OR(AND(M1190=1,ISBLANK(V1190)),AND(M1190=0,NOT(ISBLANK(V1190)))),"Yes","No")</f>
        <v>No</v>
      </c>
      <c r="X1190" s="0" t="n">
        <v>66.3</v>
      </c>
      <c r="Y1190" s="3" t="s">
        <v>30</v>
      </c>
      <c r="Z1190" s="0" t="str">
        <f aca="false">IF(M1190=1,P1190,"")</f>
        <v/>
      </c>
    </row>
    <row r="1191" customFormat="false" ht="15" hidden="false" customHeight="false" outlineLevel="0" collapsed="false">
      <c r="A1191" s="0" t="s">
        <v>1235</v>
      </c>
      <c r="B1191" s="2" t="n">
        <v>45704</v>
      </c>
      <c r="C1191" s="3" t="s">
        <v>736</v>
      </c>
      <c r="D1191" s="3" t="s">
        <v>39</v>
      </c>
      <c r="E1191" s="3" t="s">
        <v>29</v>
      </c>
      <c r="F1191" s="3" t="s">
        <v>30</v>
      </c>
      <c r="G1191" s="3" t="s">
        <v>40</v>
      </c>
      <c r="H1191" s="3" t="s">
        <v>30</v>
      </c>
      <c r="I1191" s="3" t="s">
        <v>37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str">
        <f aca="false">IF(OR(NOT(OR(J1191=0,J1191=1)),NOT(OR(K1191=0,K1191=1)),NOT(OR(L1191=0,L1191=1)),NOT(OR(M1191=0,M1191=1)),NOT(OR(U1191=0,U1191=1))),"Yes","No")</f>
        <v>No</v>
      </c>
      <c r="O1191" s="0" t="str">
        <f aca="false">IF(OR(AND(M1191=1,L1191=0),AND(L1191=1,K1191=0),AND(K1191=1,J1191=0)),"Yes","No")</f>
        <v>No</v>
      </c>
      <c r="P1191" s="0" t="n">
        <v>0</v>
      </c>
      <c r="Q1191" s="0" t="str">
        <f aca="false">IF(OR(AND(M1191=0,P1191&gt;0),AND(M1191=1,P1191&lt;=0)),"Yes","No")</f>
        <v>No</v>
      </c>
      <c r="R1191" s="0" t="str">
        <f aca="false">IF(AND(M1191=1,P1191&gt;calc_helpers!$B$5),"Yes","No")</f>
        <v>No</v>
      </c>
      <c r="S1191" s="0" t="n">
        <v>0</v>
      </c>
      <c r="T1191" s="0" t="str">
        <f aca="false">IF(S1191&gt;0,"Yes","No")</f>
        <v>No</v>
      </c>
      <c r="U1191" s="0" t="n">
        <v>0</v>
      </c>
      <c r="W1191" s="0" t="str">
        <f aca="false">IF(OR(AND(M1191=1,ISBLANK(V1191)),AND(M1191=0,NOT(ISBLANK(V1191)))),"Yes","No")</f>
        <v>No</v>
      </c>
      <c r="X1191" s="0" t="n">
        <v>52.2</v>
      </c>
      <c r="Y1191" s="3" t="s">
        <v>30</v>
      </c>
      <c r="Z1191" s="0" t="str">
        <f aca="false">IF(M1191=1,P1191,"")</f>
        <v/>
      </c>
    </row>
    <row r="1192" customFormat="false" ht="15" hidden="false" customHeight="false" outlineLevel="0" collapsed="false">
      <c r="A1192" s="0" t="s">
        <v>1236</v>
      </c>
      <c r="B1192" s="2" t="n">
        <v>45764</v>
      </c>
      <c r="C1192" s="3" t="s">
        <v>736</v>
      </c>
      <c r="D1192" s="3" t="s">
        <v>43</v>
      </c>
      <c r="E1192" s="3" t="s">
        <v>29</v>
      </c>
      <c r="F1192" s="3" t="s">
        <v>30</v>
      </c>
      <c r="G1192" s="3" t="s">
        <v>50</v>
      </c>
      <c r="H1192" s="3" t="s">
        <v>30</v>
      </c>
      <c r="I1192" s="3" t="s">
        <v>41</v>
      </c>
      <c r="J1192" s="0" t="n">
        <v>1</v>
      </c>
      <c r="K1192" s="0" t="n">
        <v>1</v>
      </c>
      <c r="L1192" s="0" t="n">
        <v>1</v>
      </c>
      <c r="M1192" s="0" t="n">
        <v>0</v>
      </c>
      <c r="N1192" s="0" t="str">
        <f aca="false">IF(OR(NOT(OR(J1192=0,J1192=1)),NOT(OR(K1192=0,K1192=1)),NOT(OR(L1192=0,L1192=1)),NOT(OR(M1192=0,M1192=1)),NOT(OR(U1192=0,U1192=1))),"Yes","No")</f>
        <v>No</v>
      </c>
      <c r="O1192" s="0" t="str">
        <f aca="false">IF(OR(AND(M1192=1,L1192=0),AND(L1192=1,K1192=0),AND(K1192=1,J1192=0)),"Yes","No")</f>
        <v>No</v>
      </c>
      <c r="P1192" s="0" t="n">
        <v>0</v>
      </c>
      <c r="Q1192" s="0" t="str">
        <f aca="false">IF(OR(AND(M1192=0,P1192&gt;0),AND(M1192=1,P1192&lt;=0)),"Yes","No")</f>
        <v>No</v>
      </c>
      <c r="R1192" s="0" t="str">
        <f aca="false">IF(AND(M1192=1,P1192&gt;calc_helpers!$B$5),"Yes","No")</f>
        <v>No</v>
      </c>
      <c r="S1192" s="0" t="n">
        <v>0</v>
      </c>
      <c r="T1192" s="0" t="str">
        <f aca="false">IF(S1192&gt;0,"Yes","No")</f>
        <v>No</v>
      </c>
      <c r="U1192" s="0" t="n">
        <v>0</v>
      </c>
      <c r="W1192" s="0" t="str">
        <f aca="false">IF(OR(AND(M1192=1,ISBLANK(V1192)),AND(M1192=0,NOT(ISBLANK(V1192)))),"Yes","No")</f>
        <v>No</v>
      </c>
      <c r="X1192" s="0" t="n">
        <v>81.2</v>
      </c>
      <c r="Y1192" s="3" t="s">
        <v>30</v>
      </c>
      <c r="Z1192" s="0" t="str">
        <f aca="false">IF(M1192=1,P1192,"")</f>
        <v/>
      </c>
    </row>
    <row r="1193" customFormat="false" ht="15" hidden="false" customHeight="false" outlineLevel="0" collapsed="false">
      <c r="A1193" s="0" t="s">
        <v>1237</v>
      </c>
      <c r="B1193" s="2" t="n">
        <v>45777</v>
      </c>
      <c r="C1193" s="3" t="s">
        <v>736</v>
      </c>
      <c r="D1193" s="3" t="s">
        <v>43</v>
      </c>
      <c r="E1193" s="3" t="s">
        <v>35</v>
      </c>
      <c r="F1193" s="3" t="s">
        <v>30</v>
      </c>
      <c r="G1193" s="3" t="s">
        <v>36</v>
      </c>
      <c r="H1193" s="3" t="s">
        <v>30</v>
      </c>
      <c r="I1193" s="3" t="s">
        <v>32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str">
        <f aca="false">IF(OR(NOT(OR(J1193=0,J1193=1)),NOT(OR(K1193=0,K1193=1)),NOT(OR(L1193=0,L1193=1)),NOT(OR(M1193=0,M1193=1)),NOT(OR(U1193=0,U1193=1))),"Yes","No")</f>
        <v>No</v>
      </c>
      <c r="O1193" s="0" t="str">
        <f aca="false">IF(OR(AND(M1193=1,L1193=0),AND(L1193=1,K1193=0),AND(K1193=1,J1193=0)),"Yes","No")</f>
        <v>No</v>
      </c>
      <c r="P1193" s="0" t="n">
        <v>0</v>
      </c>
      <c r="Q1193" s="0" t="str">
        <f aca="false">IF(OR(AND(M1193=0,P1193&gt;0),AND(M1193=1,P1193&lt;=0)),"Yes","No")</f>
        <v>No</v>
      </c>
      <c r="R1193" s="0" t="str">
        <f aca="false">IF(AND(M1193=1,P1193&gt;calc_helpers!$B$5),"Yes","No")</f>
        <v>No</v>
      </c>
      <c r="S1193" s="0" t="n">
        <v>0</v>
      </c>
      <c r="T1193" s="0" t="str">
        <f aca="false">IF(S1193&gt;0,"Yes","No")</f>
        <v>No</v>
      </c>
      <c r="U1193" s="0" t="n">
        <v>0</v>
      </c>
      <c r="W1193" s="0" t="str">
        <f aca="false">IF(OR(AND(M1193=1,ISBLANK(V1193)),AND(M1193=0,NOT(ISBLANK(V1193)))),"Yes","No")</f>
        <v>No</v>
      </c>
      <c r="X1193" s="0" t="n">
        <v>53.9</v>
      </c>
      <c r="Y1193" s="3" t="s">
        <v>30</v>
      </c>
      <c r="Z1193" s="0" t="str">
        <f aca="false">IF(M1193=1,P1193,"")</f>
        <v/>
      </c>
    </row>
    <row r="1194" customFormat="false" ht="15" hidden="false" customHeight="false" outlineLevel="0" collapsed="false">
      <c r="A1194" s="0" t="s">
        <v>1238</v>
      </c>
      <c r="B1194" s="2" t="n">
        <v>45686</v>
      </c>
      <c r="C1194" s="3" t="s">
        <v>736</v>
      </c>
      <c r="D1194" s="3" t="s">
        <v>34</v>
      </c>
      <c r="E1194" s="3" t="s">
        <v>35</v>
      </c>
      <c r="F1194" s="3" t="s">
        <v>30</v>
      </c>
      <c r="G1194" s="3" t="s">
        <v>52</v>
      </c>
      <c r="H1194" s="3" t="s">
        <v>30</v>
      </c>
      <c r="I1194" s="3" t="s">
        <v>41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str">
        <f aca="false">IF(OR(NOT(OR(J1194=0,J1194=1)),NOT(OR(K1194=0,K1194=1)),NOT(OR(L1194=0,L1194=1)),NOT(OR(M1194=0,M1194=1)),NOT(OR(U1194=0,U1194=1))),"Yes","No")</f>
        <v>No</v>
      </c>
      <c r="O1194" s="0" t="str">
        <f aca="false">IF(OR(AND(M1194=1,L1194=0),AND(L1194=1,K1194=0),AND(K1194=1,J1194=0)),"Yes","No")</f>
        <v>No</v>
      </c>
      <c r="P1194" s="0" t="n">
        <v>0</v>
      </c>
      <c r="Q1194" s="0" t="str">
        <f aca="false">IF(OR(AND(M1194=0,P1194&gt;0),AND(M1194=1,P1194&lt;=0)),"Yes","No")</f>
        <v>No</v>
      </c>
      <c r="R1194" s="0" t="str">
        <f aca="false">IF(AND(M1194=1,P1194&gt;calc_helpers!$B$5),"Yes","No")</f>
        <v>No</v>
      </c>
      <c r="S1194" s="0" t="n">
        <v>0</v>
      </c>
      <c r="T1194" s="0" t="str">
        <f aca="false">IF(S1194&gt;0,"Yes","No")</f>
        <v>No</v>
      </c>
      <c r="U1194" s="0" t="n">
        <v>0</v>
      </c>
      <c r="W1194" s="0" t="str">
        <f aca="false">IF(OR(AND(M1194=1,ISBLANK(V1194)),AND(M1194=0,NOT(ISBLANK(V1194)))),"Yes","No")</f>
        <v>No</v>
      </c>
      <c r="X1194" s="0" t="n">
        <v>39.1</v>
      </c>
      <c r="Y1194" s="3" t="s">
        <v>30</v>
      </c>
      <c r="Z1194" s="0" t="str">
        <f aca="false">IF(M1194=1,P1194,"")</f>
        <v/>
      </c>
    </row>
    <row r="1195" customFormat="false" ht="15" hidden="false" customHeight="false" outlineLevel="0" collapsed="false">
      <c r="A1195" s="0" t="s">
        <v>1239</v>
      </c>
      <c r="B1195" s="2" t="n">
        <v>45668</v>
      </c>
      <c r="C1195" s="3" t="s">
        <v>736</v>
      </c>
      <c r="D1195" s="3" t="s">
        <v>28</v>
      </c>
      <c r="E1195" s="3" t="s">
        <v>35</v>
      </c>
      <c r="F1195" s="3" t="s">
        <v>30</v>
      </c>
      <c r="G1195" s="3" t="s">
        <v>52</v>
      </c>
      <c r="H1195" s="3" t="s">
        <v>30</v>
      </c>
      <c r="I1195" s="3" t="s">
        <v>32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str">
        <f aca="false">IF(OR(NOT(OR(J1195=0,J1195=1)),NOT(OR(K1195=0,K1195=1)),NOT(OR(L1195=0,L1195=1)),NOT(OR(M1195=0,M1195=1)),NOT(OR(U1195=0,U1195=1))),"Yes","No")</f>
        <v>No</v>
      </c>
      <c r="O1195" s="0" t="str">
        <f aca="false">IF(OR(AND(M1195=1,L1195=0),AND(L1195=1,K1195=0),AND(K1195=1,J1195=0)),"Yes","No")</f>
        <v>No</v>
      </c>
      <c r="P1195" s="0" t="n">
        <v>0</v>
      </c>
      <c r="Q1195" s="0" t="str">
        <f aca="false">IF(OR(AND(M1195=0,P1195&gt;0),AND(M1195=1,P1195&lt;=0)),"Yes","No")</f>
        <v>No</v>
      </c>
      <c r="R1195" s="0" t="str">
        <f aca="false">IF(AND(M1195=1,P1195&gt;calc_helpers!$B$5),"Yes","No")</f>
        <v>No</v>
      </c>
      <c r="S1195" s="0" t="n">
        <v>0</v>
      </c>
      <c r="T1195" s="0" t="str">
        <f aca="false">IF(S1195&gt;0,"Yes","No")</f>
        <v>No</v>
      </c>
      <c r="U1195" s="0" t="n">
        <v>0</v>
      </c>
      <c r="W1195" s="0" t="str">
        <f aca="false">IF(OR(AND(M1195=1,ISBLANK(V1195)),AND(M1195=0,NOT(ISBLANK(V1195)))),"Yes","No")</f>
        <v>No</v>
      </c>
      <c r="X1195" s="0" t="n">
        <v>57.3</v>
      </c>
      <c r="Y1195" s="3" t="s">
        <v>30</v>
      </c>
      <c r="Z1195" s="0" t="str">
        <f aca="false">IF(M1195=1,P1195,"")</f>
        <v/>
      </c>
    </row>
    <row r="1196" customFormat="false" ht="15" hidden="false" customHeight="false" outlineLevel="0" collapsed="false">
      <c r="A1196" s="0" t="s">
        <v>1240</v>
      </c>
      <c r="B1196" s="2" t="n">
        <v>45755</v>
      </c>
      <c r="C1196" s="3" t="s">
        <v>736</v>
      </c>
      <c r="D1196" s="3" t="s">
        <v>39</v>
      </c>
      <c r="E1196" s="3" t="s">
        <v>29</v>
      </c>
      <c r="F1196" s="3" t="s">
        <v>30</v>
      </c>
      <c r="G1196" s="3" t="s">
        <v>40</v>
      </c>
      <c r="H1196" s="3" t="s">
        <v>30</v>
      </c>
      <c r="I1196" s="3" t="s">
        <v>41</v>
      </c>
      <c r="J1196" s="0" t="n">
        <v>1</v>
      </c>
      <c r="K1196" s="0" t="n">
        <v>0</v>
      </c>
      <c r="L1196" s="0" t="n">
        <v>0</v>
      </c>
      <c r="M1196" s="0" t="n">
        <v>0</v>
      </c>
      <c r="N1196" s="0" t="str">
        <f aca="false">IF(OR(NOT(OR(J1196=0,J1196=1)),NOT(OR(K1196=0,K1196=1)),NOT(OR(L1196=0,L1196=1)),NOT(OR(M1196=0,M1196=1)),NOT(OR(U1196=0,U1196=1))),"Yes","No")</f>
        <v>No</v>
      </c>
      <c r="O1196" s="0" t="str">
        <f aca="false">IF(OR(AND(M1196=1,L1196=0),AND(L1196=1,K1196=0),AND(K1196=1,J1196=0)),"Yes","No")</f>
        <v>No</v>
      </c>
      <c r="P1196" s="0" t="n">
        <v>0</v>
      </c>
      <c r="Q1196" s="0" t="str">
        <f aca="false">IF(OR(AND(M1196=0,P1196&gt;0),AND(M1196=1,P1196&lt;=0)),"Yes","No")</f>
        <v>No</v>
      </c>
      <c r="R1196" s="0" t="str">
        <f aca="false">IF(AND(M1196=1,P1196&gt;calc_helpers!$B$5),"Yes","No")</f>
        <v>No</v>
      </c>
      <c r="S1196" s="0" t="n">
        <v>1</v>
      </c>
      <c r="T1196" s="0" t="str">
        <f aca="false">IF(S1196&gt;0,"Yes","No")</f>
        <v>Yes</v>
      </c>
      <c r="U1196" s="0" t="n">
        <v>0</v>
      </c>
      <c r="W1196" s="0" t="str">
        <f aca="false">IF(OR(AND(M1196=1,ISBLANK(V1196)),AND(M1196=0,NOT(ISBLANK(V1196)))),"Yes","No")</f>
        <v>No</v>
      </c>
      <c r="X1196" s="0" t="n">
        <v>65.9</v>
      </c>
      <c r="Y1196" s="3" t="s">
        <v>30</v>
      </c>
      <c r="Z1196" s="0" t="str">
        <f aca="false">IF(M1196=1,P1196,"")</f>
        <v/>
      </c>
    </row>
    <row r="1197" customFormat="false" ht="15" hidden="false" customHeight="false" outlineLevel="0" collapsed="false">
      <c r="A1197" s="0" t="s">
        <v>1241</v>
      </c>
      <c r="B1197" s="2" t="n">
        <v>45710</v>
      </c>
      <c r="C1197" s="3" t="s">
        <v>736</v>
      </c>
      <c r="D1197" s="3" t="s">
        <v>28</v>
      </c>
      <c r="E1197" s="3" t="s">
        <v>167</v>
      </c>
      <c r="F1197" s="3" t="s">
        <v>168</v>
      </c>
      <c r="G1197" s="3" t="s">
        <v>52</v>
      </c>
      <c r="H1197" s="3" t="s">
        <v>30</v>
      </c>
      <c r="I1197" s="3" t="s">
        <v>37</v>
      </c>
      <c r="J1197" s="0" t="n">
        <v>1</v>
      </c>
      <c r="K1197" s="0" t="n">
        <v>0</v>
      </c>
      <c r="L1197" s="0" t="n">
        <v>0</v>
      </c>
      <c r="M1197" s="0" t="n">
        <v>0</v>
      </c>
      <c r="N1197" s="0" t="str">
        <f aca="false">IF(OR(NOT(OR(J1197=0,J1197=1)),NOT(OR(K1197=0,K1197=1)),NOT(OR(L1197=0,L1197=1)),NOT(OR(M1197=0,M1197=1)),NOT(OR(U1197=0,U1197=1))),"Yes","No")</f>
        <v>No</v>
      </c>
      <c r="O1197" s="0" t="str">
        <f aca="false">IF(OR(AND(M1197=1,L1197=0),AND(L1197=1,K1197=0),AND(K1197=1,J1197=0)),"Yes","No")</f>
        <v>No</v>
      </c>
      <c r="P1197" s="0" t="n">
        <v>0</v>
      </c>
      <c r="Q1197" s="0" t="str">
        <f aca="false">IF(OR(AND(M1197=0,P1197&gt;0),AND(M1197=1,P1197&lt;=0)),"Yes","No")</f>
        <v>No</v>
      </c>
      <c r="R1197" s="0" t="str">
        <f aca="false">IF(AND(M1197=1,P1197&gt;calc_helpers!$B$5),"Yes","No")</f>
        <v>No</v>
      </c>
      <c r="S1197" s="0" t="n">
        <v>1</v>
      </c>
      <c r="T1197" s="0" t="str">
        <f aca="false">IF(S1197&gt;0,"Yes","No")</f>
        <v>Yes</v>
      </c>
      <c r="U1197" s="0" t="n">
        <v>0</v>
      </c>
      <c r="W1197" s="0" t="str">
        <f aca="false">IF(OR(AND(M1197=1,ISBLANK(V1197)),AND(M1197=0,NOT(ISBLANK(V1197)))),"Yes","No")</f>
        <v>No</v>
      </c>
      <c r="X1197" s="0" t="n">
        <v>34.2</v>
      </c>
      <c r="Y1197" s="3" t="s">
        <v>30</v>
      </c>
      <c r="Z1197" s="0" t="str">
        <f aca="false">IF(M1197=1,P1197,"")</f>
        <v/>
      </c>
    </row>
    <row r="1198" customFormat="false" ht="15" hidden="false" customHeight="false" outlineLevel="0" collapsed="false">
      <c r="A1198" s="0" t="s">
        <v>1242</v>
      </c>
      <c r="B1198" s="2" t="n">
        <v>45739</v>
      </c>
      <c r="C1198" s="3" t="s">
        <v>736</v>
      </c>
      <c r="D1198" s="3" t="s">
        <v>43</v>
      </c>
      <c r="E1198" s="3" t="s">
        <v>35</v>
      </c>
      <c r="F1198" s="3" t="s">
        <v>30</v>
      </c>
      <c r="G1198" s="3" t="s">
        <v>36</v>
      </c>
      <c r="H1198" s="3" t="s">
        <v>30</v>
      </c>
      <c r="I1198" s="3" t="s">
        <v>37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str">
        <f aca="false">IF(OR(NOT(OR(J1198=0,J1198=1)),NOT(OR(K1198=0,K1198=1)),NOT(OR(L1198=0,L1198=1)),NOT(OR(M1198=0,M1198=1)),NOT(OR(U1198=0,U1198=1))),"Yes","No")</f>
        <v>No</v>
      </c>
      <c r="O1198" s="0" t="str">
        <f aca="false">IF(OR(AND(M1198=1,L1198=0),AND(L1198=1,K1198=0),AND(K1198=1,J1198=0)),"Yes","No")</f>
        <v>No</v>
      </c>
      <c r="P1198" s="0" t="n">
        <v>0</v>
      </c>
      <c r="Q1198" s="0" t="str">
        <f aca="false">IF(OR(AND(M1198=0,P1198&gt;0),AND(M1198=1,P1198&lt;=0)),"Yes","No")</f>
        <v>No</v>
      </c>
      <c r="R1198" s="0" t="str">
        <f aca="false">IF(AND(M1198=1,P1198&gt;calc_helpers!$B$5),"Yes","No")</f>
        <v>No</v>
      </c>
      <c r="S1198" s="0" t="n">
        <v>0</v>
      </c>
      <c r="T1198" s="0" t="str">
        <f aca="false">IF(S1198&gt;0,"Yes","No")</f>
        <v>No</v>
      </c>
      <c r="U1198" s="0" t="n">
        <v>0</v>
      </c>
      <c r="W1198" s="0" t="str">
        <f aca="false">IF(OR(AND(M1198=1,ISBLANK(V1198)),AND(M1198=0,NOT(ISBLANK(V1198)))),"Yes","No")</f>
        <v>No</v>
      </c>
      <c r="X1198" s="0" t="n">
        <v>47.2</v>
      </c>
      <c r="Y1198" s="3" t="s">
        <v>30</v>
      </c>
      <c r="Z1198" s="0" t="str">
        <f aca="false">IF(M1198=1,P1198,"")</f>
        <v/>
      </c>
    </row>
    <row r="1199" customFormat="false" ht="15" hidden="false" customHeight="false" outlineLevel="0" collapsed="false">
      <c r="A1199" s="0" t="s">
        <v>1243</v>
      </c>
      <c r="B1199" s="2" t="n">
        <v>45800</v>
      </c>
      <c r="C1199" s="3" t="s">
        <v>736</v>
      </c>
      <c r="D1199" s="3" t="s">
        <v>43</v>
      </c>
      <c r="E1199" s="3" t="s">
        <v>45</v>
      </c>
      <c r="F1199" s="3" t="s">
        <v>30</v>
      </c>
      <c r="G1199" s="3" t="s">
        <v>40</v>
      </c>
      <c r="H1199" s="3" t="s">
        <v>30</v>
      </c>
      <c r="I1199" s="3" t="s">
        <v>37</v>
      </c>
      <c r="J1199" s="0" t="n">
        <v>1</v>
      </c>
      <c r="K1199" s="0" t="n">
        <v>0</v>
      </c>
      <c r="L1199" s="0" t="n">
        <v>0</v>
      </c>
      <c r="M1199" s="0" t="n">
        <v>0</v>
      </c>
      <c r="N1199" s="0" t="str">
        <f aca="false">IF(OR(NOT(OR(J1199=0,J1199=1)),NOT(OR(K1199=0,K1199=1)),NOT(OR(L1199=0,L1199=1)),NOT(OR(M1199=0,M1199=1)),NOT(OR(U1199=0,U1199=1))),"Yes","No")</f>
        <v>No</v>
      </c>
      <c r="O1199" s="0" t="str">
        <f aca="false">IF(OR(AND(M1199=1,L1199=0),AND(L1199=1,K1199=0),AND(K1199=1,J1199=0)),"Yes","No")</f>
        <v>No</v>
      </c>
      <c r="P1199" s="0" t="n">
        <v>0</v>
      </c>
      <c r="Q1199" s="0" t="str">
        <f aca="false">IF(OR(AND(M1199=0,P1199&gt;0),AND(M1199=1,P1199&lt;=0)),"Yes","No")</f>
        <v>No</v>
      </c>
      <c r="R1199" s="0" t="str">
        <f aca="false">IF(AND(M1199=1,P1199&gt;calc_helpers!$B$5),"Yes","No")</f>
        <v>No</v>
      </c>
      <c r="S1199" s="0" t="n">
        <v>1</v>
      </c>
      <c r="T1199" s="0" t="str">
        <f aca="false">IF(S1199&gt;0,"Yes","No")</f>
        <v>Yes</v>
      </c>
      <c r="U1199" s="0" t="n">
        <v>0</v>
      </c>
      <c r="W1199" s="0" t="str">
        <f aca="false">IF(OR(AND(M1199=1,ISBLANK(V1199)),AND(M1199=0,NOT(ISBLANK(V1199)))),"Yes","No")</f>
        <v>No</v>
      </c>
      <c r="X1199" s="0" t="n">
        <v>55</v>
      </c>
      <c r="Y1199" s="3" t="s">
        <v>30</v>
      </c>
      <c r="Z1199" s="0" t="str">
        <f aca="false">IF(M1199=1,P1199,"")</f>
        <v/>
      </c>
    </row>
    <row r="1200" customFormat="false" ht="15" hidden="false" customHeight="false" outlineLevel="0" collapsed="false">
      <c r="A1200" s="0" t="s">
        <v>1244</v>
      </c>
      <c r="B1200" s="2" t="n">
        <v>45774</v>
      </c>
      <c r="C1200" s="3" t="s">
        <v>736</v>
      </c>
      <c r="D1200" s="3" t="s">
        <v>34</v>
      </c>
      <c r="E1200" s="3" t="s">
        <v>35</v>
      </c>
      <c r="F1200" s="3" t="s">
        <v>30</v>
      </c>
      <c r="G1200" s="3" t="s">
        <v>50</v>
      </c>
      <c r="H1200" s="3" t="s">
        <v>30</v>
      </c>
      <c r="I1200" s="3" t="s">
        <v>32</v>
      </c>
      <c r="J1200" s="0" t="n">
        <v>1</v>
      </c>
      <c r="K1200" s="0" t="n">
        <v>1</v>
      </c>
      <c r="L1200" s="0" t="n">
        <v>1</v>
      </c>
      <c r="M1200" s="0" t="n">
        <v>0</v>
      </c>
      <c r="N1200" s="0" t="str">
        <f aca="false">IF(OR(NOT(OR(J1200=0,J1200=1)),NOT(OR(K1200=0,K1200=1)),NOT(OR(L1200=0,L1200=1)),NOT(OR(M1200=0,M1200=1)),NOT(OR(U1200=0,U1200=1))),"Yes","No")</f>
        <v>No</v>
      </c>
      <c r="O1200" s="0" t="str">
        <f aca="false">IF(OR(AND(M1200=1,L1200=0),AND(L1200=1,K1200=0),AND(K1200=1,J1200=0)),"Yes","No")</f>
        <v>No</v>
      </c>
      <c r="P1200" s="0" t="n">
        <v>0</v>
      </c>
      <c r="Q1200" s="0" t="str">
        <f aca="false">IF(OR(AND(M1200=0,P1200&gt;0),AND(M1200=1,P1200&lt;=0)),"Yes","No")</f>
        <v>No</v>
      </c>
      <c r="R1200" s="0" t="str">
        <f aca="false">IF(AND(M1200=1,P1200&gt;calc_helpers!$B$5),"Yes","No")</f>
        <v>No</v>
      </c>
      <c r="S1200" s="0" t="n">
        <v>0</v>
      </c>
      <c r="T1200" s="0" t="str">
        <f aca="false">IF(S1200&gt;0,"Yes","No")</f>
        <v>No</v>
      </c>
      <c r="U1200" s="0" t="n">
        <v>0</v>
      </c>
      <c r="W1200" s="0" t="str">
        <f aca="false">IF(OR(AND(M1200=1,ISBLANK(V1200)),AND(M1200=0,NOT(ISBLANK(V1200)))),"Yes","No")</f>
        <v>No</v>
      </c>
      <c r="X1200" s="0" t="n">
        <v>76.4</v>
      </c>
      <c r="Y1200" s="3" t="s">
        <v>30</v>
      </c>
      <c r="Z1200" s="0" t="str">
        <f aca="false">IF(M1200=1,P1200,"")</f>
        <v/>
      </c>
    </row>
    <row r="1201" customFormat="false" ht="15" hidden="false" customHeight="false" outlineLevel="0" collapsed="false">
      <c r="A1201" s="0" t="s">
        <v>1245</v>
      </c>
      <c r="B1201" s="2" t="n">
        <v>45803</v>
      </c>
      <c r="C1201" s="3" t="s">
        <v>736</v>
      </c>
      <c r="D1201" s="3" t="s">
        <v>28</v>
      </c>
      <c r="E1201" s="3" t="s">
        <v>35</v>
      </c>
      <c r="F1201" s="3" t="s">
        <v>30</v>
      </c>
      <c r="G1201" s="3" t="s">
        <v>50</v>
      </c>
      <c r="H1201" s="3" t="s">
        <v>30</v>
      </c>
      <c r="I1201" s="3" t="s">
        <v>37</v>
      </c>
      <c r="J1201" s="0" t="n">
        <v>1</v>
      </c>
      <c r="K1201" s="0" t="n">
        <v>0</v>
      </c>
      <c r="L1201" s="0" t="n">
        <v>0</v>
      </c>
      <c r="M1201" s="0" t="n">
        <v>0</v>
      </c>
      <c r="N1201" s="0" t="str">
        <f aca="false">IF(OR(NOT(OR(J1201=0,J1201=1)),NOT(OR(K1201=0,K1201=1)),NOT(OR(L1201=0,L1201=1)),NOT(OR(M1201=0,M1201=1)),NOT(OR(U1201=0,U1201=1))),"Yes","No")</f>
        <v>No</v>
      </c>
      <c r="O1201" s="0" t="str">
        <f aca="false">IF(OR(AND(M1201=1,L1201=0),AND(L1201=1,K1201=0),AND(K1201=1,J1201=0)),"Yes","No")</f>
        <v>No</v>
      </c>
      <c r="P1201" s="0" t="n">
        <v>0</v>
      </c>
      <c r="Q1201" s="0" t="str">
        <f aca="false">IF(OR(AND(M1201=0,P1201&gt;0),AND(M1201=1,P1201&lt;=0)),"Yes","No")</f>
        <v>No</v>
      </c>
      <c r="R1201" s="0" t="str">
        <f aca="false">IF(AND(M1201=1,P1201&gt;calc_helpers!$B$5),"Yes","No")</f>
        <v>No</v>
      </c>
      <c r="S1201" s="0" t="n">
        <v>0</v>
      </c>
      <c r="T1201" s="0" t="str">
        <f aca="false">IF(S1201&gt;0,"Yes","No")</f>
        <v>No</v>
      </c>
      <c r="U1201" s="0" t="n">
        <v>0</v>
      </c>
      <c r="W1201" s="0" t="str">
        <f aca="false">IF(OR(AND(M1201=1,ISBLANK(V1201)),AND(M1201=0,NOT(ISBLANK(V1201)))),"Yes","No")</f>
        <v>No</v>
      </c>
      <c r="X1201" s="0" t="n">
        <v>70.8</v>
      </c>
      <c r="Y1201" s="3" t="s">
        <v>30</v>
      </c>
      <c r="Z1201" s="0" t="str">
        <f aca="false">IF(M1201=1,P1201,"")</f>
        <v/>
      </c>
    </row>
    <row r="1202" customFormat="false" ht="15" hidden="false" customHeight="false" outlineLevel="0" collapsed="false">
      <c r="A1202" s="0" t="s">
        <v>1246</v>
      </c>
      <c r="B1202" s="2" t="n">
        <v>45722</v>
      </c>
      <c r="C1202" s="3" t="s">
        <v>736</v>
      </c>
      <c r="D1202" s="3" t="s">
        <v>39</v>
      </c>
      <c r="E1202" s="3" t="s">
        <v>35</v>
      </c>
      <c r="F1202" s="3" t="s">
        <v>30</v>
      </c>
      <c r="G1202" s="3" t="s">
        <v>40</v>
      </c>
      <c r="H1202" s="3" t="s">
        <v>30</v>
      </c>
      <c r="I1202" s="3" t="s">
        <v>32</v>
      </c>
      <c r="J1202" s="0" t="n">
        <v>1</v>
      </c>
      <c r="K1202" s="0" t="n">
        <v>1</v>
      </c>
      <c r="L1202" s="0" t="n">
        <v>0</v>
      </c>
      <c r="M1202" s="0" t="n">
        <v>0</v>
      </c>
      <c r="N1202" s="0" t="str">
        <f aca="false">IF(OR(NOT(OR(J1202=0,J1202=1)),NOT(OR(K1202=0,K1202=1)),NOT(OR(L1202=0,L1202=1)),NOT(OR(M1202=0,M1202=1)),NOT(OR(U1202=0,U1202=1))),"Yes","No")</f>
        <v>No</v>
      </c>
      <c r="O1202" s="0" t="str">
        <f aca="false">IF(OR(AND(M1202=1,L1202=0),AND(L1202=1,K1202=0),AND(K1202=1,J1202=0)),"Yes","No")</f>
        <v>No</v>
      </c>
      <c r="P1202" s="0" t="n">
        <v>0</v>
      </c>
      <c r="Q1202" s="0" t="str">
        <f aca="false">IF(OR(AND(M1202=0,P1202&gt;0),AND(M1202=1,P1202&lt;=0)),"Yes","No")</f>
        <v>No</v>
      </c>
      <c r="R1202" s="0" t="str">
        <f aca="false">IF(AND(M1202=1,P1202&gt;calc_helpers!$B$5),"Yes","No")</f>
        <v>No</v>
      </c>
      <c r="S1202" s="0" t="n">
        <v>1</v>
      </c>
      <c r="T1202" s="0" t="str">
        <f aca="false">IF(S1202&gt;0,"Yes","No")</f>
        <v>Yes</v>
      </c>
      <c r="U1202" s="0" t="n">
        <v>0</v>
      </c>
      <c r="W1202" s="0" t="str">
        <f aca="false">IF(OR(AND(M1202=1,ISBLANK(V1202)),AND(M1202=0,NOT(ISBLANK(V1202)))),"Yes","No")</f>
        <v>No</v>
      </c>
      <c r="X1202" s="0" t="n">
        <v>58</v>
      </c>
      <c r="Y1202" s="3" t="s">
        <v>30</v>
      </c>
      <c r="Z1202" s="0" t="str">
        <f aca="false">IF(M1202=1,P1202,"")</f>
        <v/>
      </c>
    </row>
    <row r="1203" customFormat="false" ht="15" hidden="false" customHeight="false" outlineLevel="0" collapsed="false">
      <c r="A1203" s="0" t="s">
        <v>1247</v>
      </c>
      <c r="B1203" s="2" t="n">
        <v>45750</v>
      </c>
      <c r="C1203" s="3" t="s">
        <v>736</v>
      </c>
      <c r="D1203" s="3" t="s">
        <v>34</v>
      </c>
      <c r="E1203" s="3" t="s">
        <v>35</v>
      </c>
      <c r="F1203" s="3" t="s">
        <v>30</v>
      </c>
      <c r="G1203" s="3" t="s">
        <v>36</v>
      </c>
      <c r="H1203" s="3" t="s">
        <v>30</v>
      </c>
      <c r="I1203" s="3" t="s">
        <v>32</v>
      </c>
      <c r="J1203" s="0" t="n">
        <v>1</v>
      </c>
      <c r="K1203" s="0" t="n">
        <v>1</v>
      </c>
      <c r="L1203" s="0" t="n">
        <v>1</v>
      </c>
      <c r="M1203" s="0" t="n">
        <v>0</v>
      </c>
      <c r="N1203" s="0" t="str">
        <f aca="false">IF(OR(NOT(OR(J1203=0,J1203=1)),NOT(OR(K1203=0,K1203=1)),NOT(OR(L1203=0,L1203=1)),NOT(OR(M1203=0,M1203=1)),NOT(OR(U1203=0,U1203=1))),"Yes","No")</f>
        <v>No</v>
      </c>
      <c r="O1203" s="0" t="str">
        <f aca="false">IF(OR(AND(M1203=1,L1203=0),AND(L1203=1,K1203=0),AND(K1203=1,J1203=0)),"Yes","No")</f>
        <v>No</v>
      </c>
      <c r="P1203" s="0" t="n">
        <v>0</v>
      </c>
      <c r="Q1203" s="0" t="str">
        <f aca="false">IF(OR(AND(M1203=0,P1203&gt;0),AND(M1203=1,P1203&lt;=0)),"Yes","No")</f>
        <v>No</v>
      </c>
      <c r="R1203" s="0" t="str">
        <f aca="false">IF(AND(M1203=1,P1203&gt;calc_helpers!$B$5),"Yes","No")</f>
        <v>No</v>
      </c>
      <c r="S1203" s="0" t="n">
        <v>1</v>
      </c>
      <c r="T1203" s="0" t="str">
        <f aca="false">IF(S1203&gt;0,"Yes","No")</f>
        <v>Yes</v>
      </c>
      <c r="U1203" s="0" t="n">
        <v>0</v>
      </c>
      <c r="W1203" s="0" t="str">
        <f aca="false">IF(OR(AND(M1203=1,ISBLANK(V1203)),AND(M1203=0,NOT(ISBLANK(V1203)))),"Yes","No")</f>
        <v>No</v>
      </c>
      <c r="X1203" s="0" t="n">
        <v>70.8</v>
      </c>
      <c r="Y1203" s="3" t="s">
        <v>30</v>
      </c>
      <c r="Z1203" s="0" t="str">
        <f aca="false">IF(M1203=1,P1203,"")</f>
        <v/>
      </c>
    </row>
    <row r="1204" customFormat="false" ht="15" hidden="false" customHeight="false" outlineLevel="0" collapsed="false">
      <c r="A1204" s="0" t="s">
        <v>1248</v>
      </c>
      <c r="B1204" s="2" t="n">
        <v>45689</v>
      </c>
      <c r="C1204" s="3" t="s">
        <v>736</v>
      </c>
      <c r="D1204" s="3" t="s">
        <v>39</v>
      </c>
      <c r="E1204" s="3" t="s">
        <v>29</v>
      </c>
      <c r="F1204" s="3" t="s">
        <v>30</v>
      </c>
      <c r="G1204" s="3" t="s">
        <v>40</v>
      </c>
      <c r="H1204" s="3" t="s">
        <v>30</v>
      </c>
      <c r="I1204" s="3" t="s">
        <v>37</v>
      </c>
      <c r="J1204" s="0" t="n">
        <v>1</v>
      </c>
      <c r="K1204" s="0" t="n">
        <v>0</v>
      </c>
      <c r="L1204" s="0" t="n">
        <v>0</v>
      </c>
      <c r="M1204" s="0" t="n">
        <v>0</v>
      </c>
      <c r="N1204" s="0" t="str">
        <f aca="false">IF(OR(NOT(OR(J1204=0,J1204=1)),NOT(OR(K1204=0,K1204=1)),NOT(OR(L1204=0,L1204=1)),NOT(OR(M1204=0,M1204=1)),NOT(OR(U1204=0,U1204=1))),"Yes","No")</f>
        <v>No</v>
      </c>
      <c r="O1204" s="0" t="str">
        <f aca="false">IF(OR(AND(M1204=1,L1204=0),AND(L1204=1,K1204=0),AND(K1204=1,J1204=0)),"Yes","No")</f>
        <v>No</v>
      </c>
      <c r="P1204" s="0" t="n">
        <v>0</v>
      </c>
      <c r="Q1204" s="0" t="str">
        <f aca="false">IF(OR(AND(M1204=0,P1204&gt;0),AND(M1204=1,P1204&lt;=0)),"Yes","No")</f>
        <v>No</v>
      </c>
      <c r="R1204" s="0" t="str">
        <f aca="false">IF(AND(M1204=1,P1204&gt;calc_helpers!$B$5),"Yes","No")</f>
        <v>No</v>
      </c>
      <c r="S1204" s="0" t="n">
        <v>3</v>
      </c>
      <c r="T1204" s="0" t="str">
        <f aca="false">IF(S1204&gt;0,"Yes","No")</f>
        <v>Yes</v>
      </c>
      <c r="U1204" s="0" t="n">
        <v>0</v>
      </c>
      <c r="W1204" s="0" t="str">
        <f aca="false">IF(OR(AND(M1204=1,ISBLANK(V1204)),AND(M1204=0,NOT(ISBLANK(V1204)))),"Yes","No")</f>
        <v>No</v>
      </c>
      <c r="X1204" s="0" t="n">
        <v>60</v>
      </c>
      <c r="Y1204" s="3" t="s">
        <v>30</v>
      </c>
      <c r="Z1204" s="0" t="str">
        <f aca="false">IF(M1204=1,P1204,"")</f>
        <v/>
      </c>
    </row>
    <row r="1205" customFormat="false" ht="15" hidden="false" customHeight="false" outlineLevel="0" collapsed="false">
      <c r="A1205" s="0" t="s">
        <v>1249</v>
      </c>
      <c r="B1205" s="2" t="n">
        <v>45778</v>
      </c>
      <c r="C1205" s="3" t="s">
        <v>736</v>
      </c>
      <c r="D1205" s="3" t="s">
        <v>34</v>
      </c>
      <c r="E1205" s="3" t="s">
        <v>35</v>
      </c>
      <c r="F1205" s="3" t="s">
        <v>30</v>
      </c>
      <c r="G1205" s="3" t="s">
        <v>50</v>
      </c>
      <c r="H1205" s="3" t="s">
        <v>30</v>
      </c>
      <c r="I1205" s="3" t="s">
        <v>41</v>
      </c>
      <c r="J1205" s="0" t="n">
        <v>1</v>
      </c>
      <c r="K1205" s="0" t="n">
        <v>1</v>
      </c>
      <c r="L1205" s="0" t="n">
        <v>1</v>
      </c>
      <c r="M1205" s="0" t="n">
        <v>0</v>
      </c>
      <c r="N1205" s="0" t="str">
        <f aca="false">IF(OR(NOT(OR(J1205=0,J1205=1)),NOT(OR(K1205=0,K1205=1)),NOT(OR(L1205=0,L1205=1)),NOT(OR(M1205=0,M1205=1)),NOT(OR(U1205=0,U1205=1))),"Yes","No")</f>
        <v>No</v>
      </c>
      <c r="O1205" s="0" t="str">
        <f aca="false">IF(OR(AND(M1205=1,L1205=0),AND(L1205=1,K1205=0),AND(K1205=1,J1205=0)),"Yes","No")</f>
        <v>No</v>
      </c>
      <c r="P1205" s="0" t="n">
        <v>0</v>
      </c>
      <c r="Q1205" s="0" t="str">
        <f aca="false">IF(OR(AND(M1205=0,P1205&gt;0),AND(M1205=1,P1205&lt;=0)),"Yes","No")</f>
        <v>No</v>
      </c>
      <c r="R1205" s="0" t="str">
        <f aca="false">IF(AND(M1205=1,P1205&gt;calc_helpers!$B$5),"Yes","No")</f>
        <v>No</v>
      </c>
      <c r="S1205" s="0" t="n">
        <v>3</v>
      </c>
      <c r="T1205" s="0" t="str">
        <f aca="false">IF(S1205&gt;0,"Yes","No")</f>
        <v>Yes</v>
      </c>
      <c r="U1205" s="0" t="n">
        <v>0</v>
      </c>
      <c r="W1205" s="0" t="str">
        <f aca="false">IF(OR(AND(M1205=1,ISBLANK(V1205)),AND(M1205=0,NOT(ISBLANK(V1205)))),"Yes","No")</f>
        <v>No</v>
      </c>
      <c r="X1205" s="0" t="n">
        <v>58.1</v>
      </c>
      <c r="Y1205" s="3" t="s">
        <v>30</v>
      </c>
      <c r="Z1205" s="0" t="str">
        <f aca="false">IF(M1205=1,P1205,"")</f>
        <v/>
      </c>
    </row>
    <row r="1206" customFormat="false" ht="15" hidden="false" customHeight="false" outlineLevel="0" collapsed="false">
      <c r="A1206" s="0" t="s">
        <v>1250</v>
      </c>
      <c r="B1206" s="2" t="n">
        <v>45760</v>
      </c>
      <c r="C1206" s="3" t="s">
        <v>736</v>
      </c>
      <c r="D1206" s="3" t="s">
        <v>28</v>
      </c>
      <c r="E1206" s="3" t="s">
        <v>35</v>
      </c>
      <c r="F1206" s="3" t="s">
        <v>30</v>
      </c>
      <c r="G1206" s="3" t="s">
        <v>52</v>
      </c>
      <c r="H1206" s="3" t="s">
        <v>30</v>
      </c>
      <c r="I1206" s="3" t="s">
        <v>41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str">
        <f aca="false">IF(OR(NOT(OR(J1206=0,J1206=1)),NOT(OR(K1206=0,K1206=1)),NOT(OR(L1206=0,L1206=1)),NOT(OR(M1206=0,M1206=1)),NOT(OR(U1206=0,U1206=1))),"Yes","No")</f>
        <v>No</v>
      </c>
      <c r="O1206" s="0" t="str">
        <f aca="false">IF(OR(AND(M1206=1,L1206=0),AND(L1206=1,K1206=0),AND(K1206=1,J1206=0)),"Yes","No")</f>
        <v>No</v>
      </c>
      <c r="P1206" s="0" t="n">
        <v>0</v>
      </c>
      <c r="Q1206" s="0" t="str">
        <f aca="false">IF(OR(AND(M1206=0,P1206&gt;0),AND(M1206=1,P1206&lt;=0)),"Yes","No")</f>
        <v>No</v>
      </c>
      <c r="R1206" s="0" t="str">
        <f aca="false">IF(AND(M1206=1,P1206&gt;calc_helpers!$B$5),"Yes","No")</f>
        <v>No</v>
      </c>
      <c r="S1206" s="0" t="n">
        <v>0</v>
      </c>
      <c r="T1206" s="0" t="str">
        <f aca="false">IF(S1206&gt;0,"Yes","No")</f>
        <v>No</v>
      </c>
      <c r="U1206" s="0" t="n">
        <v>0</v>
      </c>
      <c r="W1206" s="0" t="str">
        <f aca="false">IF(OR(AND(M1206=1,ISBLANK(V1206)),AND(M1206=0,NOT(ISBLANK(V1206)))),"Yes","No")</f>
        <v>No</v>
      </c>
      <c r="X1206" s="0" t="n">
        <v>59.7</v>
      </c>
      <c r="Y1206" s="3" t="s">
        <v>30</v>
      </c>
      <c r="Z1206" s="0" t="str">
        <f aca="false">IF(M1206=1,P1206,"")</f>
        <v/>
      </c>
    </row>
    <row r="1207" customFormat="false" ht="15" hidden="false" customHeight="false" outlineLevel="0" collapsed="false">
      <c r="A1207" s="0" t="s">
        <v>1251</v>
      </c>
      <c r="B1207" s="2" t="n">
        <v>45682</v>
      </c>
      <c r="C1207" s="3" t="s">
        <v>736</v>
      </c>
      <c r="D1207" s="3" t="s">
        <v>39</v>
      </c>
      <c r="E1207" s="3" t="s">
        <v>35</v>
      </c>
      <c r="F1207" s="3" t="s">
        <v>30</v>
      </c>
      <c r="G1207" s="3" t="s">
        <v>52</v>
      </c>
      <c r="H1207" s="3" t="s">
        <v>30</v>
      </c>
      <c r="I1207" s="3" t="s">
        <v>37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str">
        <f aca="false">IF(OR(NOT(OR(J1207=0,J1207=1)),NOT(OR(K1207=0,K1207=1)),NOT(OR(L1207=0,L1207=1)),NOT(OR(M1207=0,M1207=1)),NOT(OR(U1207=0,U1207=1))),"Yes","No")</f>
        <v>No</v>
      </c>
      <c r="O1207" s="0" t="str">
        <f aca="false">IF(OR(AND(M1207=1,L1207=0),AND(L1207=1,K1207=0),AND(K1207=1,J1207=0)),"Yes","No")</f>
        <v>No</v>
      </c>
      <c r="P1207" s="0" t="n">
        <v>0</v>
      </c>
      <c r="Q1207" s="0" t="str">
        <f aca="false">IF(OR(AND(M1207=0,P1207&gt;0),AND(M1207=1,P1207&lt;=0)),"Yes","No")</f>
        <v>No</v>
      </c>
      <c r="R1207" s="0" t="str">
        <f aca="false">IF(AND(M1207=1,P1207&gt;calc_helpers!$B$5),"Yes","No")</f>
        <v>No</v>
      </c>
      <c r="S1207" s="0" t="n">
        <v>0</v>
      </c>
      <c r="T1207" s="0" t="str">
        <f aca="false">IF(S1207&gt;0,"Yes","No")</f>
        <v>No</v>
      </c>
      <c r="U1207" s="0" t="n">
        <v>0</v>
      </c>
      <c r="W1207" s="0" t="str">
        <f aca="false">IF(OR(AND(M1207=1,ISBLANK(V1207)),AND(M1207=0,NOT(ISBLANK(V1207)))),"Yes","No")</f>
        <v>No</v>
      </c>
      <c r="X1207" s="0" t="n">
        <v>47.7</v>
      </c>
      <c r="Y1207" s="3" t="s">
        <v>30</v>
      </c>
      <c r="Z1207" s="0" t="str">
        <f aca="false">IF(M1207=1,P1207,"")</f>
        <v/>
      </c>
    </row>
    <row r="1208" customFormat="false" ht="15" hidden="false" customHeight="false" outlineLevel="0" collapsed="false">
      <c r="A1208" s="0" t="s">
        <v>1252</v>
      </c>
      <c r="B1208" s="2" t="n">
        <v>45733</v>
      </c>
      <c r="C1208" s="3" t="s">
        <v>736</v>
      </c>
      <c r="D1208" s="3" t="s">
        <v>28</v>
      </c>
      <c r="E1208" s="3" t="s">
        <v>35</v>
      </c>
      <c r="F1208" s="3" t="s">
        <v>30</v>
      </c>
      <c r="G1208" s="3" t="s">
        <v>36</v>
      </c>
      <c r="H1208" s="3" t="s">
        <v>30</v>
      </c>
      <c r="I1208" s="3" t="s">
        <v>37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str">
        <f aca="false">IF(OR(NOT(OR(J1208=0,J1208=1)),NOT(OR(K1208=0,K1208=1)),NOT(OR(L1208=0,L1208=1)),NOT(OR(M1208=0,M1208=1)),NOT(OR(U1208=0,U1208=1))),"Yes","No")</f>
        <v>No</v>
      </c>
      <c r="O1208" s="0" t="str">
        <f aca="false">IF(OR(AND(M1208=1,L1208=0),AND(L1208=1,K1208=0),AND(K1208=1,J1208=0)),"Yes","No")</f>
        <v>No</v>
      </c>
      <c r="P1208" s="0" t="n">
        <v>0</v>
      </c>
      <c r="Q1208" s="0" t="str">
        <f aca="false">IF(OR(AND(M1208=0,P1208&gt;0),AND(M1208=1,P1208&lt;=0)),"Yes","No")</f>
        <v>No</v>
      </c>
      <c r="R1208" s="0" t="str">
        <f aca="false">IF(AND(M1208=1,P1208&gt;calc_helpers!$B$5),"Yes","No")</f>
        <v>No</v>
      </c>
      <c r="S1208" s="0" t="n">
        <v>0</v>
      </c>
      <c r="T1208" s="0" t="str">
        <f aca="false">IF(S1208&gt;0,"Yes","No")</f>
        <v>No</v>
      </c>
      <c r="U1208" s="0" t="n">
        <v>0</v>
      </c>
      <c r="W1208" s="0" t="str">
        <f aca="false">IF(OR(AND(M1208=1,ISBLANK(V1208)),AND(M1208=0,NOT(ISBLANK(V1208)))),"Yes","No")</f>
        <v>No</v>
      </c>
      <c r="X1208" s="0" t="n">
        <v>59.1</v>
      </c>
      <c r="Y1208" s="3" t="s">
        <v>30</v>
      </c>
      <c r="Z1208" s="0" t="str">
        <f aca="false">IF(M1208=1,P1208,"")</f>
        <v/>
      </c>
    </row>
    <row r="1209" customFormat="false" ht="15" hidden="false" customHeight="false" outlineLevel="0" collapsed="false">
      <c r="A1209" s="0" t="s">
        <v>1253</v>
      </c>
      <c r="B1209" s="2" t="n">
        <v>45709</v>
      </c>
      <c r="C1209" s="3" t="s">
        <v>736</v>
      </c>
      <c r="D1209" s="3" t="s">
        <v>34</v>
      </c>
      <c r="E1209" s="3" t="s">
        <v>29</v>
      </c>
      <c r="F1209" s="3" t="s">
        <v>30</v>
      </c>
      <c r="G1209" s="3" t="s">
        <v>52</v>
      </c>
      <c r="H1209" s="3" t="s">
        <v>30</v>
      </c>
      <c r="I1209" s="3" t="s">
        <v>32</v>
      </c>
      <c r="J1209" s="0" t="n">
        <v>1</v>
      </c>
      <c r="K1209" s="0" t="n">
        <v>0</v>
      </c>
      <c r="L1209" s="0" t="n">
        <v>0</v>
      </c>
      <c r="M1209" s="0" t="n">
        <v>0</v>
      </c>
      <c r="N1209" s="0" t="str">
        <f aca="false">IF(OR(NOT(OR(J1209=0,J1209=1)),NOT(OR(K1209=0,K1209=1)),NOT(OR(L1209=0,L1209=1)),NOT(OR(M1209=0,M1209=1)),NOT(OR(U1209=0,U1209=1))),"Yes","No")</f>
        <v>No</v>
      </c>
      <c r="O1209" s="0" t="str">
        <f aca="false">IF(OR(AND(M1209=1,L1209=0),AND(L1209=1,K1209=0),AND(K1209=1,J1209=0)),"Yes","No")</f>
        <v>No</v>
      </c>
      <c r="P1209" s="0" t="n">
        <v>0</v>
      </c>
      <c r="Q1209" s="0" t="str">
        <f aca="false">IF(OR(AND(M1209=0,P1209&gt;0),AND(M1209=1,P1209&lt;=0)),"Yes","No")</f>
        <v>No</v>
      </c>
      <c r="R1209" s="0" t="str">
        <f aca="false">IF(AND(M1209=1,P1209&gt;calc_helpers!$B$5),"Yes","No")</f>
        <v>No</v>
      </c>
      <c r="S1209" s="0" t="n">
        <v>1</v>
      </c>
      <c r="T1209" s="0" t="str">
        <f aca="false">IF(S1209&gt;0,"Yes","No")</f>
        <v>Yes</v>
      </c>
      <c r="U1209" s="0" t="n">
        <v>0</v>
      </c>
      <c r="W1209" s="0" t="str">
        <f aca="false">IF(OR(AND(M1209=1,ISBLANK(V1209)),AND(M1209=0,NOT(ISBLANK(V1209)))),"Yes","No")</f>
        <v>No</v>
      </c>
      <c r="X1209" s="0" t="n">
        <v>68.7</v>
      </c>
      <c r="Y1209" s="3" t="s">
        <v>30</v>
      </c>
      <c r="Z1209" s="0" t="str">
        <f aca="false">IF(M1209=1,P1209,"")</f>
        <v/>
      </c>
    </row>
    <row r="1210" customFormat="false" ht="15" hidden="false" customHeight="false" outlineLevel="0" collapsed="false">
      <c r="A1210" s="0" t="s">
        <v>1254</v>
      </c>
      <c r="B1210" s="2" t="n">
        <v>45755</v>
      </c>
      <c r="C1210" s="3" t="s">
        <v>736</v>
      </c>
      <c r="D1210" s="3" t="s">
        <v>39</v>
      </c>
      <c r="E1210" s="3" t="s">
        <v>45</v>
      </c>
      <c r="F1210" s="3" t="s">
        <v>30</v>
      </c>
      <c r="G1210" s="3" t="s">
        <v>36</v>
      </c>
      <c r="H1210" s="3" t="s">
        <v>30</v>
      </c>
      <c r="I1210" s="3" t="s">
        <v>32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str">
        <f aca="false">IF(OR(NOT(OR(J1210=0,J1210=1)),NOT(OR(K1210=0,K1210=1)),NOT(OR(L1210=0,L1210=1)),NOT(OR(M1210=0,M1210=1)),NOT(OR(U1210=0,U1210=1))),"Yes","No")</f>
        <v>No</v>
      </c>
      <c r="O1210" s="0" t="str">
        <f aca="false">IF(OR(AND(M1210=1,L1210=0),AND(L1210=1,K1210=0),AND(K1210=1,J1210=0)),"Yes","No")</f>
        <v>No</v>
      </c>
      <c r="P1210" s="0" t="n">
        <v>0</v>
      </c>
      <c r="Q1210" s="0" t="str">
        <f aca="false">IF(OR(AND(M1210=0,P1210&gt;0),AND(M1210=1,P1210&lt;=0)),"Yes","No")</f>
        <v>No</v>
      </c>
      <c r="R1210" s="0" t="str">
        <f aca="false">IF(AND(M1210=1,P1210&gt;calc_helpers!$B$5),"Yes","No")</f>
        <v>No</v>
      </c>
      <c r="S1210" s="0" t="n">
        <v>0</v>
      </c>
      <c r="T1210" s="0" t="str">
        <f aca="false">IF(S1210&gt;0,"Yes","No")</f>
        <v>No</v>
      </c>
      <c r="U1210" s="0" t="n">
        <v>0</v>
      </c>
      <c r="W1210" s="0" t="str">
        <f aca="false">IF(OR(AND(M1210=1,ISBLANK(V1210)),AND(M1210=0,NOT(ISBLANK(V1210)))),"Yes","No")</f>
        <v>No</v>
      </c>
      <c r="X1210" s="0" t="n">
        <v>34.7</v>
      </c>
      <c r="Y1210" s="3" t="s">
        <v>30</v>
      </c>
      <c r="Z1210" s="0" t="str">
        <f aca="false">IF(M1210=1,P1210,"")</f>
        <v/>
      </c>
    </row>
    <row r="1211" customFormat="false" ht="15" hidden="false" customHeight="false" outlineLevel="0" collapsed="false">
      <c r="A1211" s="0" t="s">
        <v>1255</v>
      </c>
      <c r="B1211" s="2" t="n">
        <v>45712</v>
      </c>
      <c r="C1211" s="3" t="s">
        <v>736</v>
      </c>
      <c r="D1211" s="3" t="s">
        <v>34</v>
      </c>
      <c r="E1211" s="3" t="s">
        <v>35</v>
      </c>
      <c r="F1211" s="3" t="s">
        <v>30</v>
      </c>
      <c r="G1211" s="3" t="s">
        <v>36</v>
      </c>
      <c r="H1211" s="3" t="s">
        <v>30</v>
      </c>
      <c r="I1211" s="3" t="s">
        <v>32</v>
      </c>
      <c r="J1211" s="0" t="n">
        <v>1</v>
      </c>
      <c r="K1211" s="0" t="n">
        <v>0</v>
      </c>
      <c r="L1211" s="0" t="n">
        <v>0</v>
      </c>
      <c r="M1211" s="0" t="n">
        <v>0</v>
      </c>
      <c r="N1211" s="0" t="str">
        <f aca="false">IF(OR(NOT(OR(J1211=0,J1211=1)),NOT(OR(K1211=0,K1211=1)),NOT(OR(L1211=0,L1211=1)),NOT(OR(M1211=0,M1211=1)),NOT(OR(U1211=0,U1211=1))),"Yes","No")</f>
        <v>No</v>
      </c>
      <c r="O1211" s="0" t="str">
        <f aca="false">IF(OR(AND(M1211=1,L1211=0),AND(L1211=1,K1211=0),AND(K1211=1,J1211=0)),"Yes","No")</f>
        <v>No</v>
      </c>
      <c r="P1211" s="0" t="n">
        <v>0</v>
      </c>
      <c r="Q1211" s="0" t="str">
        <f aca="false">IF(OR(AND(M1211=0,P1211&gt;0),AND(M1211=1,P1211&lt;=0)),"Yes","No")</f>
        <v>No</v>
      </c>
      <c r="R1211" s="0" t="str">
        <f aca="false">IF(AND(M1211=1,P1211&gt;calc_helpers!$B$5),"Yes","No")</f>
        <v>No</v>
      </c>
      <c r="S1211" s="0" t="n">
        <v>0</v>
      </c>
      <c r="T1211" s="0" t="str">
        <f aca="false">IF(S1211&gt;0,"Yes","No")</f>
        <v>No</v>
      </c>
      <c r="U1211" s="0" t="n">
        <v>0</v>
      </c>
      <c r="W1211" s="0" t="str">
        <f aca="false">IF(OR(AND(M1211=1,ISBLANK(V1211)),AND(M1211=0,NOT(ISBLANK(V1211)))),"Yes","No")</f>
        <v>No</v>
      </c>
      <c r="X1211" s="0" t="n">
        <v>62</v>
      </c>
      <c r="Y1211" s="3" t="s">
        <v>30</v>
      </c>
      <c r="Z1211" s="0" t="str">
        <f aca="false">IF(M1211=1,P1211,"")</f>
        <v/>
      </c>
    </row>
    <row r="1212" customFormat="false" ht="15" hidden="false" customHeight="false" outlineLevel="0" collapsed="false">
      <c r="A1212" s="0" t="s">
        <v>1256</v>
      </c>
      <c r="B1212" s="2" t="n">
        <v>45806</v>
      </c>
      <c r="C1212" s="3" t="s">
        <v>736</v>
      </c>
      <c r="D1212" s="3" t="s">
        <v>43</v>
      </c>
      <c r="E1212" s="3" t="s">
        <v>35</v>
      </c>
      <c r="F1212" s="3" t="s">
        <v>30</v>
      </c>
      <c r="G1212" s="3" t="s">
        <v>36</v>
      </c>
      <c r="H1212" s="3" t="s">
        <v>30</v>
      </c>
      <c r="I1212" s="3" t="s">
        <v>37</v>
      </c>
      <c r="J1212" s="0" t="n">
        <v>1</v>
      </c>
      <c r="K1212" s="0" t="n">
        <v>1</v>
      </c>
      <c r="L1212" s="0" t="n">
        <v>0</v>
      </c>
      <c r="M1212" s="0" t="n">
        <v>0</v>
      </c>
      <c r="N1212" s="0" t="str">
        <f aca="false">IF(OR(NOT(OR(J1212=0,J1212=1)),NOT(OR(K1212=0,K1212=1)),NOT(OR(L1212=0,L1212=1)),NOT(OR(M1212=0,M1212=1)),NOT(OR(U1212=0,U1212=1))),"Yes","No")</f>
        <v>No</v>
      </c>
      <c r="O1212" s="0" t="str">
        <f aca="false">IF(OR(AND(M1212=1,L1212=0),AND(L1212=1,K1212=0),AND(K1212=1,J1212=0)),"Yes","No")</f>
        <v>No</v>
      </c>
      <c r="P1212" s="0" t="n">
        <v>0</v>
      </c>
      <c r="Q1212" s="0" t="str">
        <f aca="false">IF(OR(AND(M1212=0,P1212&gt;0),AND(M1212=1,P1212&lt;=0)),"Yes","No")</f>
        <v>No</v>
      </c>
      <c r="R1212" s="0" t="str">
        <f aca="false">IF(AND(M1212=1,P1212&gt;calc_helpers!$B$5),"Yes","No")</f>
        <v>No</v>
      </c>
      <c r="S1212" s="0" t="n">
        <v>0</v>
      </c>
      <c r="T1212" s="0" t="str">
        <f aca="false">IF(S1212&gt;0,"Yes","No")</f>
        <v>No</v>
      </c>
      <c r="U1212" s="0" t="n">
        <v>0</v>
      </c>
      <c r="W1212" s="0" t="str">
        <f aca="false">IF(OR(AND(M1212=1,ISBLANK(V1212)),AND(M1212=0,NOT(ISBLANK(V1212)))),"Yes","No")</f>
        <v>No</v>
      </c>
      <c r="X1212" s="0" t="n">
        <v>56</v>
      </c>
      <c r="Y1212" s="3" t="s">
        <v>30</v>
      </c>
      <c r="Z1212" s="0" t="str">
        <f aca="false">IF(M1212=1,P1212,"")</f>
        <v/>
      </c>
    </row>
    <row r="1213" customFormat="false" ht="15" hidden="false" customHeight="false" outlineLevel="0" collapsed="false">
      <c r="A1213" s="0" t="s">
        <v>1257</v>
      </c>
      <c r="B1213" s="2" t="n">
        <v>45807</v>
      </c>
      <c r="C1213" s="3" t="s">
        <v>736</v>
      </c>
      <c r="D1213" s="3" t="s">
        <v>28</v>
      </c>
      <c r="E1213" s="3" t="s">
        <v>35</v>
      </c>
      <c r="F1213" s="3" t="s">
        <v>30</v>
      </c>
      <c r="G1213" s="3" t="s">
        <v>31</v>
      </c>
      <c r="H1213" s="3" t="s">
        <v>30</v>
      </c>
      <c r="I1213" s="3" t="s">
        <v>32</v>
      </c>
      <c r="J1213" s="0" t="n">
        <v>1</v>
      </c>
      <c r="K1213" s="0" t="n">
        <v>0</v>
      </c>
      <c r="L1213" s="0" t="n">
        <v>0</v>
      </c>
      <c r="M1213" s="0" t="n">
        <v>0</v>
      </c>
      <c r="N1213" s="0" t="str">
        <f aca="false">IF(OR(NOT(OR(J1213=0,J1213=1)),NOT(OR(K1213=0,K1213=1)),NOT(OR(L1213=0,L1213=1)),NOT(OR(M1213=0,M1213=1)),NOT(OR(U1213=0,U1213=1))),"Yes","No")</f>
        <v>No</v>
      </c>
      <c r="O1213" s="0" t="str">
        <f aca="false">IF(OR(AND(M1213=1,L1213=0),AND(L1213=1,K1213=0),AND(K1213=1,J1213=0)),"Yes","No")</f>
        <v>No</v>
      </c>
      <c r="P1213" s="0" t="n">
        <v>0</v>
      </c>
      <c r="Q1213" s="0" t="str">
        <f aca="false">IF(OR(AND(M1213=0,P1213&gt;0),AND(M1213=1,P1213&lt;=0)),"Yes","No")</f>
        <v>No</v>
      </c>
      <c r="R1213" s="0" t="str">
        <f aca="false">IF(AND(M1213=1,P1213&gt;calc_helpers!$B$5),"Yes","No")</f>
        <v>No</v>
      </c>
      <c r="S1213" s="0" t="n">
        <v>1</v>
      </c>
      <c r="T1213" s="0" t="str">
        <f aca="false">IF(S1213&gt;0,"Yes","No")</f>
        <v>Yes</v>
      </c>
      <c r="U1213" s="0" t="n">
        <v>0</v>
      </c>
      <c r="W1213" s="0" t="str">
        <f aca="false">IF(OR(AND(M1213=1,ISBLANK(V1213)),AND(M1213=0,NOT(ISBLANK(V1213)))),"Yes","No")</f>
        <v>No</v>
      </c>
      <c r="X1213" s="0" t="n">
        <v>65.8</v>
      </c>
      <c r="Y1213" s="3" t="s">
        <v>30</v>
      </c>
      <c r="Z1213" s="0" t="str">
        <f aca="false">IF(M1213=1,P1213,"")</f>
        <v/>
      </c>
    </row>
    <row r="1214" customFormat="false" ht="15" hidden="false" customHeight="false" outlineLevel="0" collapsed="false">
      <c r="A1214" s="0" t="s">
        <v>1258</v>
      </c>
      <c r="B1214" s="2" t="n">
        <v>45681</v>
      </c>
      <c r="C1214" s="3" t="s">
        <v>736</v>
      </c>
      <c r="D1214" s="3" t="s">
        <v>28</v>
      </c>
      <c r="E1214" s="3" t="s">
        <v>29</v>
      </c>
      <c r="F1214" s="3" t="s">
        <v>30</v>
      </c>
      <c r="G1214" s="3" t="s">
        <v>36</v>
      </c>
      <c r="H1214" s="3" t="s">
        <v>30</v>
      </c>
      <c r="I1214" s="3" t="s">
        <v>41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str">
        <f aca="false">IF(OR(NOT(OR(J1214=0,J1214=1)),NOT(OR(K1214=0,K1214=1)),NOT(OR(L1214=0,L1214=1)),NOT(OR(M1214=0,M1214=1)),NOT(OR(U1214=0,U1214=1))),"Yes","No")</f>
        <v>No</v>
      </c>
      <c r="O1214" s="0" t="str">
        <f aca="false">IF(OR(AND(M1214=1,L1214=0),AND(L1214=1,K1214=0),AND(K1214=1,J1214=0)),"Yes","No")</f>
        <v>No</v>
      </c>
      <c r="P1214" s="0" t="n">
        <v>0</v>
      </c>
      <c r="Q1214" s="0" t="str">
        <f aca="false">IF(OR(AND(M1214=0,P1214&gt;0),AND(M1214=1,P1214&lt;=0)),"Yes","No")</f>
        <v>No</v>
      </c>
      <c r="R1214" s="0" t="str">
        <f aca="false">IF(AND(M1214=1,P1214&gt;calc_helpers!$B$5),"Yes","No")</f>
        <v>No</v>
      </c>
      <c r="S1214" s="0" t="n">
        <v>0</v>
      </c>
      <c r="T1214" s="0" t="str">
        <f aca="false">IF(S1214&gt;0,"Yes","No")</f>
        <v>No</v>
      </c>
      <c r="U1214" s="0" t="n">
        <v>0</v>
      </c>
      <c r="W1214" s="0" t="str">
        <f aca="false">IF(OR(AND(M1214=1,ISBLANK(V1214)),AND(M1214=0,NOT(ISBLANK(V1214)))),"Yes","No")</f>
        <v>No</v>
      </c>
      <c r="X1214" s="0" t="n">
        <v>54.7</v>
      </c>
      <c r="Y1214" s="3" t="s">
        <v>30</v>
      </c>
      <c r="Z1214" s="0" t="str">
        <f aca="false">IF(M1214=1,P1214,"")</f>
        <v/>
      </c>
    </row>
    <row r="1215" customFormat="false" ht="15" hidden="false" customHeight="false" outlineLevel="0" collapsed="false">
      <c r="A1215" s="0" t="s">
        <v>1259</v>
      </c>
      <c r="B1215" s="2" t="n">
        <v>45789</v>
      </c>
      <c r="C1215" s="3" t="s">
        <v>736</v>
      </c>
      <c r="D1215" s="3" t="s">
        <v>43</v>
      </c>
      <c r="E1215" s="3" t="s">
        <v>35</v>
      </c>
      <c r="F1215" s="3" t="s">
        <v>30</v>
      </c>
      <c r="G1215" s="3" t="s">
        <v>36</v>
      </c>
      <c r="H1215" s="3" t="s">
        <v>30</v>
      </c>
      <c r="I1215" s="3" t="s">
        <v>32</v>
      </c>
      <c r="J1215" s="0" t="n">
        <v>1</v>
      </c>
      <c r="K1215" s="0" t="n">
        <v>1</v>
      </c>
      <c r="L1215" s="0" t="n">
        <v>0</v>
      </c>
      <c r="M1215" s="0" t="n">
        <v>0</v>
      </c>
      <c r="N1215" s="0" t="str">
        <f aca="false">IF(OR(NOT(OR(J1215=0,J1215=1)),NOT(OR(K1215=0,K1215=1)),NOT(OR(L1215=0,L1215=1)),NOT(OR(M1215=0,M1215=1)),NOT(OR(U1215=0,U1215=1))),"Yes","No")</f>
        <v>No</v>
      </c>
      <c r="O1215" s="0" t="str">
        <f aca="false">IF(OR(AND(M1215=1,L1215=0),AND(L1215=1,K1215=0),AND(K1215=1,J1215=0)),"Yes","No")</f>
        <v>No</v>
      </c>
      <c r="P1215" s="0" t="n">
        <v>0</v>
      </c>
      <c r="Q1215" s="0" t="str">
        <f aca="false">IF(OR(AND(M1215=0,P1215&gt;0),AND(M1215=1,P1215&lt;=0)),"Yes","No")</f>
        <v>No</v>
      </c>
      <c r="R1215" s="0" t="str">
        <f aca="false">IF(AND(M1215=1,P1215&gt;calc_helpers!$B$5),"Yes","No")</f>
        <v>No</v>
      </c>
      <c r="S1215" s="0" t="n">
        <v>0</v>
      </c>
      <c r="T1215" s="0" t="str">
        <f aca="false">IF(S1215&gt;0,"Yes","No")</f>
        <v>No</v>
      </c>
      <c r="U1215" s="0" t="n">
        <v>0</v>
      </c>
      <c r="W1215" s="0" t="str">
        <f aca="false">IF(OR(AND(M1215=1,ISBLANK(V1215)),AND(M1215=0,NOT(ISBLANK(V1215)))),"Yes","No")</f>
        <v>No</v>
      </c>
      <c r="X1215" s="0" t="n">
        <v>64.1</v>
      </c>
      <c r="Y1215" s="3" t="s">
        <v>30</v>
      </c>
      <c r="Z1215" s="0" t="str">
        <f aca="false">IF(M1215=1,P1215,"")</f>
        <v/>
      </c>
    </row>
    <row r="1216" customFormat="false" ht="15" hidden="false" customHeight="false" outlineLevel="0" collapsed="false">
      <c r="A1216" s="0" t="s">
        <v>1260</v>
      </c>
      <c r="B1216" s="2" t="n">
        <v>45744</v>
      </c>
      <c r="C1216" s="3" t="s">
        <v>736</v>
      </c>
      <c r="D1216" s="3" t="s">
        <v>43</v>
      </c>
      <c r="E1216" s="3" t="s">
        <v>35</v>
      </c>
      <c r="F1216" s="3" t="s">
        <v>30</v>
      </c>
      <c r="G1216" s="3" t="s">
        <v>36</v>
      </c>
      <c r="H1216" s="3" t="s">
        <v>30</v>
      </c>
      <c r="I1216" s="3" t="s">
        <v>32</v>
      </c>
      <c r="J1216" s="0" t="n">
        <v>1</v>
      </c>
      <c r="K1216" s="0" t="n">
        <v>1</v>
      </c>
      <c r="L1216" s="0" t="n">
        <v>1</v>
      </c>
      <c r="M1216" s="0" t="n">
        <v>0</v>
      </c>
      <c r="N1216" s="0" t="str">
        <f aca="false">IF(OR(NOT(OR(J1216=0,J1216=1)),NOT(OR(K1216=0,K1216=1)),NOT(OR(L1216=0,L1216=1)),NOT(OR(M1216=0,M1216=1)),NOT(OR(U1216=0,U1216=1))),"Yes","No")</f>
        <v>No</v>
      </c>
      <c r="O1216" s="0" t="str">
        <f aca="false">IF(OR(AND(M1216=1,L1216=0),AND(L1216=1,K1216=0),AND(K1216=1,J1216=0)),"Yes","No")</f>
        <v>No</v>
      </c>
      <c r="P1216" s="0" t="n">
        <v>0</v>
      </c>
      <c r="Q1216" s="0" t="str">
        <f aca="false">IF(OR(AND(M1216=0,P1216&gt;0),AND(M1216=1,P1216&lt;=0)),"Yes","No")</f>
        <v>No</v>
      </c>
      <c r="R1216" s="0" t="str">
        <f aca="false">IF(AND(M1216=1,P1216&gt;calc_helpers!$B$5),"Yes","No")</f>
        <v>No</v>
      </c>
      <c r="S1216" s="0" t="n">
        <v>0</v>
      </c>
      <c r="T1216" s="0" t="str">
        <f aca="false">IF(S1216&gt;0,"Yes","No")</f>
        <v>No</v>
      </c>
      <c r="U1216" s="0" t="n">
        <v>0</v>
      </c>
      <c r="W1216" s="0" t="str">
        <f aca="false">IF(OR(AND(M1216=1,ISBLANK(V1216)),AND(M1216=0,NOT(ISBLANK(V1216)))),"Yes","No")</f>
        <v>No</v>
      </c>
      <c r="X1216" s="0" t="n">
        <v>71.6</v>
      </c>
      <c r="Y1216" s="3" t="s">
        <v>30</v>
      </c>
      <c r="Z1216" s="0" t="str">
        <f aca="false">IF(M1216=1,P1216,"")</f>
        <v/>
      </c>
    </row>
    <row r="1217" customFormat="false" ht="15" hidden="false" customHeight="false" outlineLevel="0" collapsed="false">
      <c r="A1217" s="0" t="s">
        <v>1261</v>
      </c>
      <c r="B1217" s="2" t="n">
        <v>45761</v>
      </c>
      <c r="C1217" s="3" t="s">
        <v>736</v>
      </c>
      <c r="D1217" s="3" t="s">
        <v>28</v>
      </c>
      <c r="E1217" s="3" t="s">
        <v>35</v>
      </c>
      <c r="F1217" s="3" t="s">
        <v>30</v>
      </c>
      <c r="G1217" s="3" t="s">
        <v>50</v>
      </c>
      <c r="H1217" s="3" t="s">
        <v>30</v>
      </c>
      <c r="I1217" s="3" t="s">
        <v>32</v>
      </c>
      <c r="J1217" s="0" t="n">
        <v>1</v>
      </c>
      <c r="K1217" s="0" t="n">
        <v>0</v>
      </c>
      <c r="L1217" s="0" t="n">
        <v>0</v>
      </c>
      <c r="M1217" s="0" t="n">
        <v>0</v>
      </c>
      <c r="N1217" s="0" t="str">
        <f aca="false">IF(OR(NOT(OR(J1217=0,J1217=1)),NOT(OR(K1217=0,K1217=1)),NOT(OR(L1217=0,L1217=1)),NOT(OR(M1217=0,M1217=1)),NOT(OR(U1217=0,U1217=1))),"Yes","No")</f>
        <v>No</v>
      </c>
      <c r="O1217" s="0" t="str">
        <f aca="false">IF(OR(AND(M1217=1,L1217=0),AND(L1217=1,K1217=0),AND(K1217=1,J1217=0)),"Yes","No")</f>
        <v>No</v>
      </c>
      <c r="P1217" s="0" t="n">
        <v>0</v>
      </c>
      <c r="Q1217" s="0" t="str">
        <f aca="false">IF(OR(AND(M1217=0,P1217&gt;0),AND(M1217=1,P1217&lt;=0)),"Yes","No")</f>
        <v>No</v>
      </c>
      <c r="R1217" s="0" t="str">
        <f aca="false">IF(AND(M1217=1,P1217&gt;calc_helpers!$B$5),"Yes","No")</f>
        <v>No</v>
      </c>
      <c r="S1217" s="0" t="n">
        <v>0</v>
      </c>
      <c r="T1217" s="0" t="str">
        <f aca="false">IF(S1217&gt;0,"Yes","No")</f>
        <v>No</v>
      </c>
      <c r="U1217" s="0" t="n">
        <v>0</v>
      </c>
      <c r="W1217" s="0" t="str">
        <f aca="false">IF(OR(AND(M1217=1,ISBLANK(V1217)),AND(M1217=0,NOT(ISBLANK(V1217)))),"Yes","No")</f>
        <v>No</v>
      </c>
      <c r="X1217" s="0" t="n">
        <v>78.4</v>
      </c>
      <c r="Y1217" s="3" t="s">
        <v>30</v>
      </c>
      <c r="Z1217" s="0" t="str">
        <f aca="false">IF(M1217=1,P1217,"")</f>
        <v/>
      </c>
    </row>
    <row r="1218" customFormat="false" ht="15" hidden="false" customHeight="false" outlineLevel="0" collapsed="false">
      <c r="A1218" s="0" t="s">
        <v>1262</v>
      </c>
      <c r="B1218" s="2" t="n">
        <v>45685</v>
      </c>
      <c r="C1218" s="3" t="s">
        <v>736</v>
      </c>
      <c r="D1218" s="3" t="s">
        <v>39</v>
      </c>
      <c r="E1218" s="3" t="s">
        <v>45</v>
      </c>
      <c r="F1218" s="3" t="s">
        <v>30</v>
      </c>
      <c r="G1218" s="3" t="s">
        <v>50</v>
      </c>
      <c r="H1218" s="3" t="s">
        <v>30</v>
      </c>
      <c r="I1218" s="3" t="s">
        <v>32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str">
        <f aca="false">IF(OR(NOT(OR(J1218=0,J1218=1)),NOT(OR(K1218=0,K1218=1)),NOT(OR(L1218=0,L1218=1)),NOT(OR(M1218=0,M1218=1)),NOT(OR(U1218=0,U1218=1))),"Yes","No")</f>
        <v>No</v>
      </c>
      <c r="O1218" s="0" t="str">
        <f aca="false">IF(OR(AND(M1218=1,L1218=0),AND(L1218=1,K1218=0),AND(K1218=1,J1218=0)),"Yes","No")</f>
        <v>No</v>
      </c>
      <c r="P1218" s="0" t="n">
        <v>0</v>
      </c>
      <c r="Q1218" s="0" t="str">
        <f aca="false">IF(OR(AND(M1218=0,P1218&gt;0),AND(M1218=1,P1218&lt;=0)),"Yes","No")</f>
        <v>No</v>
      </c>
      <c r="R1218" s="0" t="str">
        <f aca="false">IF(AND(M1218=1,P1218&gt;calc_helpers!$B$5),"Yes","No")</f>
        <v>No</v>
      </c>
      <c r="S1218" s="0" t="n">
        <v>0</v>
      </c>
      <c r="T1218" s="0" t="str">
        <f aca="false">IF(S1218&gt;0,"Yes","No")</f>
        <v>No</v>
      </c>
      <c r="U1218" s="0" t="n">
        <v>0</v>
      </c>
      <c r="W1218" s="0" t="str">
        <f aca="false">IF(OR(AND(M1218=1,ISBLANK(V1218)),AND(M1218=0,NOT(ISBLANK(V1218)))),"Yes","No")</f>
        <v>No</v>
      </c>
      <c r="X1218" s="0" t="n">
        <v>49.3</v>
      </c>
      <c r="Y1218" s="3" t="s">
        <v>30</v>
      </c>
      <c r="Z1218" s="0" t="str">
        <f aca="false">IF(M1218=1,P1218,"")</f>
        <v/>
      </c>
    </row>
    <row r="1219" customFormat="false" ht="15" hidden="false" customHeight="false" outlineLevel="0" collapsed="false">
      <c r="A1219" s="0" t="s">
        <v>1263</v>
      </c>
      <c r="B1219" s="2" t="n">
        <v>45798</v>
      </c>
      <c r="C1219" s="3" t="s">
        <v>736</v>
      </c>
      <c r="D1219" s="3" t="s">
        <v>28</v>
      </c>
      <c r="E1219" s="3" t="s">
        <v>35</v>
      </c>
      <c r="F1219" s="3" t="s">
        <v>30</v>
      </c>
      <c r="G1219" s="3" t="s">
        <v>36</v>
      </c>
      <c r="H1219" s="3" t="s">
        <v>30</v>
      </c>
      <c r="I1219" s="3" t="s">
        <v>32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str">
        <f aca="false">IF(OR(NOT(OR(J1219=0,J1219=1)),NOT(OR(K1219=0,K1219=1)),NOT(OR(L1219=0,L1219=1)),NOT(OR(M1219=0,M1219=1)),NOT(OR(U1219=0,U1219=1))),"Yes","No")</f>
        <v>No</v>
      </c>
      <c r="O1219" s="0" t="str">
        <f aca="false">IF(OR(AND(M1219=1,L1219=0),AND(L1219=1,K1219=0),AND(K1219=1,J1219=0)),"Yes","No")</f>
        <v>No</v>
      </c>
      <c r="P1219" s="0" t="n">
        <v>0</v>
      </c>
      <c r="Q1219" s="0" t="str">
        <f aca="false">IF(OR(AND(M1219=0,P1219&gt;0),AND(M1219=1,P1219&lt;=0)),"Yes","No")</f>
        <v>No</v>
      </c>
      <c r="R1219" s="0" t="str">
        <f aca="false">IF(AND(M1219=1,P1219&gt;calc_helpers!$B$5),"Yes","No")</f>
        <v>No</v>
      </c>
      <c r="S1219" s="0" t="n">
        <v>0</v>
      </c>
      <c r="T1219" s="0" t="str">
        <f aca="false">IF(S1219&gt;0,"Yes","No")</f>
        <v>No</v>
      </c>
      <c r="U1219" s="0" t="n">
        <v>0</v>
      </c>
      <c r="W1219" s="0" t="str">
        <f aca="false">IF(OR(AND(M1219=1,ISBLANK(V1219)),AND(M1219=0,NOT(ISBLANK(V1219)))),"Yes","No")</f>
        <v>No</v>
      </c>
      <c r="X1219" s="0" t="n">
        <v>52.8</v>
      </c>
      <c r="Y1219" s="3" t="s">
        <v>30</v>
      </c>
      <c r="Z1219" s="0" t="str">
        <f aca="false">IF(M1219=1,P1219,"")</f>
        <v/>
      </c>
    </row>
    <row r="1220" customFormat="false" ht="15" hidden="false" customHeight="false" outlineLevel="0" collapsed="false">
      <c r="A1220" s="0" t="s">
        <v>1264</v>
      </c>
      <c r="B1220" s="2" t="n">
        <v>45788</v>
      </c>
      <c r="C1220" s="3" t="s">
        <v>736</v>
      </c>
      <c r="D1220" s="3" t="s">
        <v>34</v>
      </c>
      <c r="E1220" s="3" t="s">
        <v>29</v>
      </c>
      <c r="F1220" s="3" t="s">
        <v>30</v>
      </c>
      <c r="G1220" s="3" t="s">
        <v>36</v>
      </c>
      <c r="H1220" s="3" t="s">
        <v>30</v>
      </c>
      <c r="I1220" s="3" t="s">
        <v>37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str">
        <f aca="false">IF(OR(NOT(OR(J1220=0,J1220=1)),NOT(OR(K1220=0,K1220=1)),NOT(OR(L1220=0,L1220=1)),NOT(OR(M1220=0,M1220=1)),NOT(OR(U1220=0,U1220=1))),"Yes","No")</f>
        <v>No</v>
      </c>
      <c r="O1220" s="0" t="str">
        <f aca="false">IF(OR(AND(M1220=1,L1220=0),AND(L1220=1,K1220=0),AND(K1220=1,J1220=0)),"Yes","No")</f>
        <v>No</v>
      </c>
      <c r="P1220" s="0" t="n">
        <v>0</v>
      </c>
      <c r="Q1220" s="0" t="str">
        <f aca="false">IF(OR(AND(M1220=0,P1220&gt;0),AND(M1220=1,P1220&lt;=0)),"Yes","No")</f>
        <v>No</v>
      </c>
      <c r="R1220" s="0" t="str">
        <f aca="false">IF(AND(M1220=1,P1220&gt;calc_helpers!$B$5),"Yes","No")</f>
        <v>No</v>
      </c>
      <c r="S1220" s="0" t="n">
        <v>0</v>
      </c>
      <c r="T1220" s="0" t="str">
        <f aca="false">IF(S1220&gt;0,"Yes","No")</f>
        <v>No</v>
      </c>
      <c r="U1220" s="0" t="n">
        <v>0</v>
      </c>
      <c r="W1220" s="0" t="str">
        <f aca="false">IF(OR(AND(M1220=1,ISBLANK(V1220)),AND(M1220=0,NOT(ISBLANK(V1220)))),"Yes","No")</f>
        <v>No</v>
      </c>
      <c r="X1220" s="0" t="n">
        <v>58.5</v>
      </c>
      <c r="Y1220" s="3" t="s">
        <v>30</v>
      </c>
      <c r="Z1220" s="0" t="str">
        <f aca="false">IF(M1220=1,P1220,"")</f>
        <v/>
      </c>
    </row>
    <row r="1221" customFormat="false" ht="15" hidden="false" customHeight="false" outlineLevel="0" collapsed="false">
      <c r="A1221" s="0" t="s">
        <v>1265</v>
      </c>
      <c r="B1221" s="2" t="n">
        <v>45690</v>
      </c>
      <c r="C1221" s="3" t="s">
        <v>736</v>
      </c>
      <c r="D1221" s="3" t="s">
        <v>43</v>
      </c>
      <c r="E1221" s="3" t="s">
        <v>35</v>
      </c>
      <c r="F1221" s="3" t="s">
        <v>30</v>
      </c>
      <c r="G1221" s="3" t="s">
        <v>40</v>
      </c>
      <c r="H1221" s="3" t="s">
        <v>30</v>
      </c>
      <c r="I1221" s="3" t="s">
        <v>37</v>
      </c>
      <c r="J1221" s="0" t="n">
        <v>1</v>
      </c>
      <c r="K1221" s="0" t="n">
        <v>0</v>
      </c>
      <c r="L1221" s="0" t="n">
        <v>0</v>
      </c>
      <c r="M1221" s="0" t="n">
        <v>0</v>
      </c>
      <c r="N1221" s="0" t="str">
        <f aca="false">IF(OR(NOT(OR(J1221=0,J1221=1)),NOT(OR(K1221=0,K1221=1)),NOT(OR(L1221=0,L1221=1)),NOT(OR(M1221=0,M1221=1)),NOT(OR(U1221=0,U1221=1))),"Yes","No")</f>
        <v>No</v>
      </c>
      <c r="O1221" s="0" t="str">
        <f aca="false">IF(OR(AND(M1221=1,L1221=0),AND(L1221=1,K1221=0),AND(K1221=1,J1221=0)),"Yes","No")</f>
        <v>No</v>
      </c>
      <c r="P1221" s="0" t="n">
        <v>0</v>
      </c>
      <c r="Q1221" s="0" t="str">
        <f aca="false">IF(OR(AND(M1221=0,P1221&gt;0),AND(M1221=1,P1221&lt;=0)),"Yes","No")</f>
        <v>No</v>
      </c>
      <c r="R1221" s="0" t="str">
        <f aca="false">IF(AND(M1221=1,P1221&gt;calc_helpers!$B$5),"Yes","No")</f>
        <v>No</v>
      </c>
      <c r="S1221" s="0" t="n">
        <v>0</v>
      </c>
      <c r="T1221" s="0" t="str">
        <f aca="false">IF(S1221&gt;0,"Yes","No")</f>
        <v>No</v>
      </c>
      <c r="U1221" s="0" t="n">
        <v>0</v>
      </c>
      <c r="W1221" s="0" t="str">
        <f aca="false">IF(OR(AND(M1221=1,ISBLANK(V1221)),AND(M1221=0,NOT(ISBLANK(V1221)))),"Yes","No")</f>
        <v>No</v>
      </c>
      <c r="X1221" s="0" t="n">
        <v>55.9</v>
      </c>
      <c r="Y1221" s="3" t="s">
        <v>30</v>
      </c>
      <c r="Z1221" s="0" t="str">
        <f aca="false">IF(M1221=1,P1221,"")</f>
        <v/>
      </c>
    </row>
    <row r="1222" customFormat="false" ht="15" hidden="false" customHeight="false" outlineLevel="0" collapsed="false">
      <c r="A1222" s="0" t="s">
        <v>1266</v>
      </c>
      <c r="B1222" s="2" t="n">
        <v>45714</v>
      </c>
      <c r="C1222" s="3" t="s">
        <v>736</v>
      </c>
      <c r="D1222" s="3" t="s">
        <v>28</v>
      </c>
      <c r="E1222" s="3" t="s">
        <v>35</v>
      </c>
      <c r="F1222" s="3" t="s">
        <v>30</v>
      </c>
      <c r="G1222" s="3" t="s">
        <v>52</v>
      </c>
      <c r="H1222" s="3" t="s">
        <v>30</v>
      </c>
      <c r="I1222" s="3" t="s">
        <v>37</v>
      </c>
      <c r="J1222" s="0" t="n">
        <v>1</v>
      </c>
      <c r="K1222" s="0" t="n">
        <v>1</v>
      </c>
      <c r="L1222" s="0" t="n">
        <v>1</v>
      </c>
      <c r="M1222" s="0" t="n">
        <v>1</v>
      </c>
      <c r="N1222" s="0" t="str">
        <f aca="false">IF(OR(NOT(OR(J1222=0,J1222=1)),NOT(OR(K1222=0,K1222=1)),NOT(OR(L1222=0,L1222=1)),NOT(OR(M1222=0,M1222=1)),NOT(OR(U1222=0,U1222=1))),"Yes","No")</f>
        <v>No</v>
      </c>
      <c r="O1222" s="0" t="str">
        <f aca="false">IF(OR(AND(M1222=1,L1222=0),AND(L1222=1,K1222=0),AND(K1222=1,J1222=0)),"Yes","No")</f>
        <v>No</v>
      </c>
      <c r="P1222" s="0" t="n">
        <v>351.43</v>
      </c>
      <c r="Q1222" s="0" t="str">
        <f aca="false">IF(OR(AND(M1222=0,P1222&gt;0),AND(M1222=1,P1222&lt;=0)),"Yes","No")</f>
        <v>No</v>
      </c>
      <c r="R1222" s="0" t="str">
        <f aca="false">IF(AND(M1222=1,P1222&gt;calc_helpers!$B$5),"Yes","No")</f>
        <v>No</v>
      </c>
      <c r="S1222" s="0" t="n">
        <v>1</v>
      </c>
      <c r="T1222" s="0" t="str">
        <f aca="false">IF(S1222&gt;0,"Yes","No")</f>
        <v>Yes</v>
      </c>
      <c r="U1222" s="0" t="n">
        <v>0</v>
      </c>
      <c r="V1222" s="0" t="n">
        <v>6</v>
      </c>
      <c r="W1222" s="0" t="str">
        <f aca="false">IF(OR(AND(M1222=1,ISBLANK(V1222)),AND(M1222=0,NOT(ISBLANK(V1222)))),"Yes","No")</f>
        <v>No</v>
      </c>
      <c r="X1222" s="0" t="n">
        <v>74.9</v>
      </c>
      <c r="Y1222" s="3" t="s">
        <v>30</v>
      </c>
      <c r="Z1222" s="3" t="n">
        <f aca="false">IF(M1222=1,P1222,"")</f>
        <v>351.43</v>
      </c>
    </row>
    <row r="1223" customFormat="false" ht="15" hidden="false" customHeight="false" outlineLevel="0" collapsed="false">
      <c r="A1223" s="0" t="s">
        <v>1267</v>
      </c>
      <c r="B1223" s="2" t="n">
        <v>45715</v>
      </c>
      <c r="C1223" s="3" t="s">
        <v>736</v>
      </c>
      <c r="D1223" s="3" t="s">
        <v>43</v>
      </c>
      <c r="E1223" s="3" t="s">
        <v>29</v>
      </c>
      <c r="F1223" s="3" t="s">
        <v>30</v>
      </c>
      <c r="G1223" s="3" t="s">
        <v>50</v>
      </c>
      <c r="H1223" s="3" t="s">
        <v>30</v>
      </c>
      <c r="I1223" s="3" t="s">
        <v>37</v>
      </c>
      <c r="J1223" s="0" t="n">
        <v>1</v>
      </c>
      <c r="K1223" s="0" t="n">
        <v>1</v>
      </c>
      <c r="L1223" s="0" t="n">
        <v>1</v>
      </c>
      <c r="M1223" s="0" t="n">
        <v>1</v>
      </c>
      <c r="N1223" s="0" t="str">
        <f aca="false">IF(OR(NOT(OR(J1223=0,J1223=1)),NOT(OR(K1223=0,K1223=1)),NOT(OR(L1223=0,L1223=1)),NOT(OR(M1223=0,M1223=1)),NOT(OR(U1223=0,U1223=1))),"Yes","No")</f>
        <v>No</v>
      </c>
      <c r="O1223" s="0" t="str">
        <f aca="false">IF(OR(AND(M1223=1,L1223=0),AND(L1223=1,K1223=0),AND(K1223=1,J1223=0)),"Yes","No")</f>
        <v>No</v>
      </c>
      <c r="P1223" s="0" t="n">
        <v>352.42</v>
      </c>
      <c r="Q1223" s="0" t="str">
        <f aca="false">IF(OR(AND(M1223=0,P1223&gt;0),AND(M1223=1,P1223&lt;=0)),"Yes","No")</f>
        <v>No</v>
      </c>
      <c r="R1223" s="0" t="str">
        <f aca="false">IF(AND(M1223=1,P1223&gt;calc_helpers!$B$5),"Yes","No")</f>
        <v>No</v>
      </c>
      <c r="S1223" s="0" t="n">
        <v>0</v>
      </c>
      <c r="T1223" s="0" t="str">
        <f aca="false">IF(S1223&gt;0,"Yes","No")</f>
        <v>No</v>
      </c>
      <c r="U1223" s="0" t="n">
        <v>0</v>
      </c>
      <c r="V1223" s="0" t="n">
        <v>4</v>
      </c>
      <c r="W1223" s="0" t="str">
        <f aca="false">IF(OR(AND(M1223=1,ISBLANK(V1223)),AND(M1223=0,NOT(ISBLANK(V1223)))),"Yes","No")</f>
        <v>No</v>
      </c>
      <c r="X1223" s="0" t="n">
        <v>58.5</v>
      </c>
      <c r="Y1223" s="3" t="s">
        <v>30</v>
      </c>
      <c r="Z1223" s="3" t="n">
        <f aca="false">IF(M1223=1,P1223,"")</f>
        <v>352.42</v>
      </c>
    </row>
    <row r="1224" customFormat="false" ht="15" hidden="false" customHeight="false" outlineLevel="0" collapsed="false">
      <c r="A1224" s="0" t="s">
        <v>1268</v>
      </c>
      <c r="B1224" s="2" t="n">
        <v>45725</v>
      </c>
      <c r="C1224" s="3" t="s">
        <v>736</v>
      </c>
      <c r="D1224" s="3" t="s">
        <v>34</v>
      </c>
      <c r="E1224" s="3" t="s">
        <v>35</v>
      </c>
      <c r="F1224" s="3" t="s">
        <v>30</v>
      </c>
      <c r="G1224" s="3" t="s">
        <v>36</v>
      </c>
      <c r="H1224" s="3" t="s">
        <v>30</v>
      </c>
      <c r="I1224" s="3" t="s">
        <v>37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str">
        <f aca="false">IF(OR(NOT(OR(J1224=0,J1224=1)),NOT(OR(K1224=0,K1224=1)),NOT(OR(L1224=0,L1224=1)),NOT(OR(M1224=0,M1224=1)),NOT(OR(U1224=0,U1224=1))),"Yes","No")</f>
        <v>No</v>
      </c>
      <c r="O1224" s="0" t="str">
        <f aca="false">IF(OR(AND(M1224=1,L1224=0),AND(L1224=1,K1224=0),AND(K1224=1,J1224=0)),"Yes","No")</f>
        <v>No</v>
      </c>
      <c r="P1224" s="0" t="n">
        <v>0</v>
      </c>
      <c r="Q1224" s="0" t="str">
        <f aca="false">IF(OR(AND(M1224=0,P1224&gt;0),AND(M1224=1,P1224&lt;=0)),"Yes","No")</f>
        <v>No</v>
      </c>
      <c r="R1224" s="0" t="str">
        <f aca="false">IF(AND(M1224=1,P1224&gt;calc_helpers!$B$5),"Yes","No")</f>
        <v>No</v>
      </c>
      <c r="S1224" s="0" t="n">
        <v>0</v>
      </c>
      <c r="T1224" s="0" t="str">
        <f aca="false">IF(S1224&gt;0,"Yes","No")</f>
        <v>No</v>
      </c>
      <c r="U1224" s="0" t="n">
        <v>0</v>
      </c>
      <c r="W1224" s="0" t="str">
        <f aca="false">IF(OR(AND(M1224=1,ISBLANK(V1224)),AND(M1224=0,NOT(ISBLANK(V1224)))),"Yes","No")</f>
        <v>No</v>
      </c>
      <c r="X1224" s="0" t="n">
        <v>63.5</v>
      </c>
      <c r="Y1224" s="3" t="s">
        <v>30</v>
      </c>
      <c r="Z1224" s="0" t="str">
        <f aca="false">IF(M1224=1,P1224,"")</f>
        <v/>
      </c>
    </row>
    <row r="1225" customFormat="false" ht="15" hidden="false" customHeight="false" outlineLevel="0" collapsed="false">
      <c r="A1225" s="0" t="s">
        <v>1269</v>
      </c>
      <c r="B1225" s="2" t="n">
        <v>45695</v>
      </c>
      <c r="C1225" s="3" t="s">
        <v>736</v>
      </c>
      <c r="D1225" s="3" t="s">
        <v>28</v>
      </c>
      <c r="E1225" s="3" t="s">
        <v>35</v>
      </c>
      <c r="F1225" s="3" t="s">
        <v>30</v>
      </c>
      <c r="G1225" s="3" t="s">
        <v>40</v>
      </c>
      <c r="H1225" s="3" t="s">
        <v>30</v>
      </c>
      <c r="I1225" s="3" t="s">
        <v>32</v>
      </c>
      <c r="J1225" s="0" t="n">
        <v>1</v>
      </c>
      <c r="K1225" s="0" t="n">
        <v>0</v>
      </c>
      <c r="L1225" s="0" t="n">
        <v>0</v>
      </c>
      <c r="M1225" s="0" t="n">
        <v>0</v>
      </c>
      <c r="N1225" s="0" t="str">
        <f aca="false">IF(OR(NOT(OR(J1225=0,J1225=1)),NOT(OR(K1225=0,K1225=1)),NOT(OR(L1225=0,L1225=1)),NOT(OR(M1225=0,M1225=1)),NOT(OR(U1225=0,U1225=1))),"Yes","No")</f>
        <v>No</v>
      </c>
      <c r="O1225" s="0" t="str">
        <f aca="false">IF(OR(AND(M1225=1,L1225=0),AND(L1225=1,K1225=0),AND(K1225=1,J1225=0)),"Yes","No")</f>
        <v>No</v>
      </c>
      <c r="P1225" s="0" t="n">
        <v>0</v>
      </c>
      <c r="Q1225" s="0" t="str">
        <f aca="false">IF(OR(AND(M1225=0,P1225&gt;0),AND(M1225=1,P1225&lt;=0)),"Yes","No")</f>
        <v>No</v>
      </c>
      <c r="R1225" s="0" t="str">
        <f aca="false">IF(AND(M1225=1,P1225&gt;calc_helpers!$B$5),"Yes","No")</f>
        <v>No</v>
      </c>
      <c r="S1225" s="0" t="n">
        <v>1</v>
      </c>
      <c r="T1225" s="0" t="str">
        <f aca="false">IF(S1225&gt;0,"Yes","No")</f>
        <v>Yes</v>
      </c>
      <c r="U1225" s="0" t="n">
        <v>0</v>
      </c>
      <c r="W1225" s="0" t="str">
        <f aca="false">IF(OR(AND(M1225=1,ISBLANK(V1225)),AND(M1225=0,NOT(ISBLANK(V1225)))),"Yes","No")</f>
        <v>No</v>
      </c>
      <c r="X1225" s="0" t="n">
        <v>64.8</v>
      </c>
      <c r="Y1225" s="3" t="s">
        <v>30</v>
      </c>
      <c r="Z1225" s="0" t="str">
        <f aca="false">IF(M1225=1,P1225,"")</f>
        <v/>
      </c>
    </row>
    <row r="1226" customFormat="false" ht="15" hidden="false" customHeight="false" outlineLevel="0" collapsed="false">
      <c r="A1226" s="0" t="s">
        <v>1270</v>
      </c>
      <c r="B1226" s="2" t="n">
        <v>45688</v>
      </c>
      <c r="C1226" s="3" t="s">
        <v>736</v>
      </c>
      <c r="D1226" s="3" t="s">
        <v>34</v>
      </c>
      <c r="E1226" s="3" t="s">
        <v>35</v>
      </c>
      <c r="F1226" s="3" t="s">
        <v>30</v>
      </c>
      <c r="G1226" s="3" t="s">
        <v>52</v>
      </c>
      <c r="H1226" s="3" t="s">
        <v>30</v>
      </c>
      <c r="I1226" s="3" t="s">
        <v>37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str">
        <f aca="false">IF(OR(NOT(OR(J1226=0,J1226=1)),NOT(OR(K1226=0,K1226=1)),NOT(OR(L1226=0,L1226=1)),NOT(OR(M1226=0,M1226=1)),NOT(OR(U1226=0,U1226=1))),"Yes","No")</f>
        <v>No</v>
      </c>
      <c r="O1226" s="0" t="str">
        <f aca="false">IF(OR(AND(M1226=1,L1226=0),AND(L1226=1,K1226=0),AND(K1226=1,J1226=0)),"Yes","No")</f>
        <v>No</v>
      </c>
      <c r="P1226" s="0" t="n">
        <v>0</v>
      </c>
      <c r="Q1226" s="0" t="str">
        <f aca="false">IF(OR(AND(M1226=0,P1226&gt;0),AND(M1226=1,P1226&lt;=0)),"Yes","No")</f>
        <v>No</v>
      </c>
      <c r="R1226" s="0" t="str">
        <f aca="false">IF(AND(M1226=1,P1226&gt;calc_helpers!$B$5),"Yes","No")</f>
        <v>No</v>
      </c>
      <c r="S1226" s="0" t="n">
        <v>0</v>
      </c>
      <c r="T1226" s="0" t="str">
        <f aca="false">IF(S1226&gt;0,"Yes","No")</f>
        <v>No</v>
      </c>
      <c r="U1226" s="0" t="n">
        <v>0</v>
      </c>
      <c r="W1226" s="0" t="str">
        <f aca="false">IF(OR(AND(M1226=1,ISBLANK(V1226)),AND(M1226=0,NOT(ISBLANK(V1226)))),"Yes","No")</f>
        <v>No</v>
      </c>
      <c r="X1226" s="0" t="n">
        <v>63.3</v>
      </c>
      <c r="Y1226" s="3" t="s">
        <v>30</v>
      </c>
      <c r="Z1226" s="0" t="str">
        <f aca="false">IF(M1226=1,P1226,"")</f>
        <v/>
      </c>
    </row>
    <row r="1227" customFormat="false" ht="15" hidden="false" customHeight="false" outlineLevel="0" collapsed="false">
      <c r="A1227" s="0" t="s">
        <v>1271</v>
      </c>
      <c r="B1227" s="2" t="n">
        <v>45702</v>
      </c>
      <c r="C1227" s="3" t="s">
        <v>736</v>
      </c>
      <c r="D1227" s="3" t="s">
        <v>28</v>
      </c>
      <c r="E1227" s="3" t="s">
        <v>45</v>
      </c>
      <c r="F1227" s="3" t="s">
        <v>30</v>
      </c>
      <c r="G1227" s="3" t="s">
        <v>40</v>
      </c>
      <c r="H1227" s="3" t="s">
        <v>30</v>
      </c>
      <c r="I1227" s="3" t="s">
        <v>32</v>
      </c>
      <c r="J1227" s="0" t="n">
        <v>1</v>
      </c>
      <c r="K1227" s="0" t="n">
        <v>1</v>
      </c>
      <c r="L1227" s="0" t="n">
        <v>1</v>
      </c>
      <c r="M1227" s="0" t="n">
        <v>1</v>
      </c>
      <c r="N1227" s="0" t="str">
        <f aca="false">IF(OR(NOT(OR(J1227=0,J1227=1)),NOT(OR(K1227=0,K1227=1)),NOT(OR(L1227=0,L1227=1)),NOT(OR(M1227=0,M1227=1)),NOT(OR(U1227=0,U1227=1))),"Yes","No")</f>
        <v>No</v>
      </c>
      <c r="O1227" s="0" t="str">
        <f aca="false">IF(OR(AND(M1227=1,L1227=0),AND(L1227=1,K1227=0),AND(K1227=1,J1227=0)),"Yes","No")</f>
        <v>No</v>
      </c>
      <c r="P1227" s="0" t="n">
        <v>1074.16</v>
      </c>
      <c r="Q1227" s="0" t="str">
        <f aca="false">IF(OR(AND(M1227=0,P1227&gt;0),AND(M1227=1,P1227&lt;=0)),"Yes","No")</f>
        <v>No</v>
      </c>
      <c r="R1227" s="0" t="str">
        <f aca="false">IF(AND(M1227=1,P1227&gt;calc_helpers!$B$5),"Yes","No")</f>
        <v>No</v>
      </c>
      <c r="S1227" s="0" t="n">
        <v>0</v>
      </c>
      <c r="T1227" s="0" t="str">
        <f aca="false">IF(S1227&gt;0,"Yes","No")</f>
        <v>No</v>
      </c>
      <c r="U1227" s="0" t="n">
        <v>0</v>
      </c>
      <c r="V1227" s="0" t="n">
        <v>8</v>
      </c>
      <c r="W1227" s="0" t="str">
        <f aca="false">IF(OR(AND(M1227=1,ISBLANK(V1227)),AND(M1227=0,NOT(ISBLANK(V1227)))),"Yes","No")</f>
        <v>No</v>
      </c>
      <c r="X1227" s="0" t="n">
        <v>83.7</v>
      </c>
      <c r="Y1227" s="3" t="s">
        <v>30</v>
      </c>
      <c r="Z1227" s="3" t="n">
        <f aca="false">IF(M1227=1,P1227,"")</f>
        <v>1074.16</v>
      </c>
    </row>
    <row r="1228" customFormat="false" ht="15" hidden="false" customHeight="false" outlineLevel="0" collapsed="false">
      <c r="A1228" s="0" t="s">
        <v>1272</v>
      </c>
      <c r="B1228" s="2" t="n">
        <v>45700</v>
      </c>
      <c r="C1228" s="3" t="s">
        <v>736</v>
      </c>
      <c r="D1228" s="3" t="s">
        <v>43</v>
      </c>
      <c r="E1228" s="3" t="s">
        <v>29</v>
      </c>
      <c r="F1228" s="3" t="s">
        <v>30</v>
      </c>
      <c r="G1228" s="3" t="s">
        <v>52</v>
      </c>
      <c r="H1228" s="3" t="s">
        <v>30</v>
      </c>
      <c r="I1228" s="3" t="s">
        <v>32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str">
        <f aca="false">IF(OR(NOT(OR(J1228=0,J1228=1)),NOT(OR(K1228=0,K1228=1)),NOT(OR(L1228=0,L1228=1)),NOT(OR(M1228=0,M1228=1)),NOT(OR(U1228=0,U1228=1))),"Yes","No")</f>
        <v>No</v>
      </c>
      <c r="O1228" s="0" t="str">
        <f aca="false">IF(OR(AND(M1228=1,L1228=0),AND(L1228=1,K1228=0),AND(K1228=1,J1228=0)),"Yes","No")</f>
        <v>No</v>
      </c>
      <c r="P1228" s="0" t="n">
        <v>0</v>
      </c>
      <c r="Q1228" s="0" t="str">
        <f aca="false">IF(OR(AND(M1228=0,P1228&gt;0),AND(M1228=1,P1228&lt;=0)),"Yes","No")</f>
        <v>No</v>
      </c>
      <c r="R1228" s="0" t="str">
        <f aca="false">IF(AND(M1228=1,P1228&gt;calc_helpers!$B$5),"Yes","No")</f>
        <v>No</v>
      </c>
      <c r="S1228" s="0" t="n">
        <v>0</v>
      </c>
      <c r="T1228" s="0" t="str">
        <f aca="false">IF(S1228&gt;0,"Yes","No")</f>
        <v>No</v>
      </c>
      <c r="U1228" s="0" t="n">
        <v>0</v>
      </c>
      <c r="W1228" s="0" t="str">
        <f aca="false">IF(OR(AND(M1228=1,ISBLANK(V1228)),AND(M1228=0,NOT(ISBLANK(V1228)))),"Yes","No")</f>
        <v>No</v>
      </c>
      <c r="X1228" s="0" t="n">
        <v>88.7</v>
      </c>
      <c r="Y1228" s="3" t="s">
        <v>30</v>
      </c>
      <c r="Z1228" s="0" t="str">
        <f aca="false">IF(M1228=1,P1228,"")</f>
        <v/>
      </c>
    </row>
    <row r="1229" customFormat="false" ht="15" hidden="false" customHeight="false" outlineLevel="0" collapsed="false">
      <c r="A1229" s="0" t="s">
        <v>1273</v>
      </c>
      <c r="B1229" s="2" t="n">
        <v>45739</v>
      </c>
      <c r="C1229" s="3" t="s">
        <v>736</v>
      </c>
      <c r="D1229" s="3" t="s">
        <v>39</v>
      </c>
      <c r="E1229" s="3" t="s">
        <v>167</v>
      </c>
      <c r="F1229" s="3" t="s">
        <v>168</v>
      </c>
      <c r="G1229" s="3" t="s">
        <v>40</v>
      </c>
      <c r="H1229" s="3" t="s">
        <v>30</v>
      </c>
      <c r="I1229" s="3" t="s">
        <v>37</v>
      </c>
      <c r="J1229" s="0" t="n">
        <v>1</v>
      </c>
      <c r="K1229" s="0" t="n">
        <v>0</v>
      </c>
      <c r="L1229" s="0" t="n">
        <v>0</v>
      </c>
      <c r="M1229" s="0" t="n">
        <v>0</v>
      </c>
      <c r="N1229" s="0" t="str">
        <f aca="false">IF(OR(NOT(OR(J1229=0,J1229=1)),NOT(OR(K1229=0,K1229=1)),NOT(OR(L1229=0,L1229=1)),NOT(OR(M1229=0,M1229=1)),NOT(OR(U1229=0,U1229=1))),"Yes","No")</f>
        <v>No</v>
      </c>
      <c r="O1229" s="0" t="str">
        <f aca="false">IF(OR(AND(M1229=1,L1229=0),AND(L1229=1,K1229=0),AND(K1229=1,J1229=0)),"Yes","No")</f>
        <v>No</v>
      </c>
      <c r="P1229" s="0" t="n">
        <v>0</v>
      </c>
      <c r="Q1229" s="0" t="str">
        <f aca="false">IF(OR(AND(M1229=0,P1229&gt;0),AND(M1229=1,P1229&lt;=0)),"Yes","No")</f>
        <v>No</v>
      </c>
      <c r="R1229" s="0" t="str">
        <f aca="false">IF(AND(M1229=1,P1229&gt;calc_helpers!$B$5),"Yes","No")</f>
        <v>No</v>
      </c>
      <c r="S1229" s="0" t="n">
        <v>1</v>
      </c>
      <c r="T1229" s="0" t="str">
        <f aca="false">IF(S1229&gt;0,"Yes","No")</f>
        <v>Yes</v>
      </c>
      <c r="U1229" s="0" t="n">
        <v>0</v>
      </c>
      <c r="W1229" s="0" t="str">
        <f aca="false">IF(OR(AND(M1229=1,ISBLANK(V1229)),AND(M1229=0,NOT(ISBLANK(V1229)))),"Yes","No")</f>
        <v>No</v>
      </c>
      <c r="X1229" s="0" t="n">
        <v>61.5</v>
      </c>
      <c r="Y1229" s="3" t="s">
        <v>30</v>
      </c>
      <c r="Z1229" s="0" t="str">
        <f aca="false">IF(M1229=1,P1229,"")</f>
        <v/>
      </c>
    </row>
    <row r="1230" customFormat="false" ht="15" hidden="false" customHeight="false" outlineLevel="0" collapsed="false">
      <c r="A1230" s="0" t="s">
        <v>1274</v>
      </c>
      <c r="B1230" s="2" t="n">
        <v>45734</v>
      </c>
      <c r="C1230" s="3" t="s">
        <v>736</v>
      </c>
      <c r="D1230" s="3" t="s">
        <v>34</v>
      </c>
      <c r="E1230" s="3" t="s">
        <v>35</v>
      </c>
      <c r="F1230" s="3" t="s">
        <v>30</v>
      </c>
      <c r="G1230" s="3" t="s">
        <v>40</v>
      </c>
      <c r="H1230" s="3" t="s">
        <v>30</v>
      </c>
      <c r="I1230" s="3" t="s">
        <v>37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str">
        <f aca="false">IF(OR(NOT(OR(J1230=0,J1230=1)),NOT(OR(K1230=0,K1230=1)),NOT(OR(L1230=0,L1230=1)),NOT(OR(M1230=0,M1230=1)),NOT(OR(U1230=0,U1230=1))),"Yes","No")</f>
        <v>No</v>
      </c>
      <c r="O1230" s="0" t="str">
        <f aca="false">IF(OR(AND(M1230=1,L1230=0),AND(L1230=1,K1230=0),AND(K1230=1,J1230=0)),"Yes","No")</f>
        <v>No</v>
      </c>
      <c r="P1230" s="0" t="n">
        <v>0</v>
      </c>
      <c r="Q1230" s="0" t="str">
        <f aca="false">IF(OR(AND(M1230=0,P1230&gt;0),AND(M1230=1,P1230&lt;=0)),"Yes","No")</f>
        <v>No</v>
      </c>
      <c r="R1230" s="0" t="str">
        <f aca="false">IF(AND(M1230=1,P1230&gt;calc_helpers!$B$5),"Yes","No")</f>
        <v>No</v>
      </c>
      <c r="S1230" s="0" t="n">
        <v>0</v>
      </c>
      <c r="T1230" s="0" t="str">
        <f aca="false">IF(S1230&gt;0,"Yes","No")</f>
        <v>No</v>
      </c>
      <c r="U1230" s="0" t="n">
        <v>0</v>
      </c>
      <c r="W1230" s="0" t="str">
        <f aca="false">IF(OR(AND(M1230=1,ISBLANK(V1230)),AND(M1230=0,NOT(ISBLANK(V1230)))),"Yes","No")</f>
        <v>No</v>
      </c>
      <c r="X1230" s="0" t="n">
        <v>45.3</v>
      </c>
      <c r="Y1230" s="3" t="s">
        <v>30</v>
      </c>
      <c r="Z1230" s="0" t="str">
        <f aca="false">IF(M1230=1,P1230,"")</f>
        <v/>
      </c>
    </row>
    <row r="1231" customFormat="false" ht="15" hidden="false" customHeight="false" outlineLevel="0" collapsed="false">
      <c r="A1231" s="0" t="s">
        <v>1275</v>
      </c>
      <c r="B1231" s="2" t="n">
        <v>45794</v>
      </c>
      <c r="C1231" s="3" t="s">
        <v>736</v>
      </c>
      <c r="D1231" s="3" t="s">
        <v>28</v>
      </c>
      <c r="E1231" s="3" t="s">
        <v>35</v>
      </c>
      <c r="F1231" s="3" t="s">
        <v>30</v>
      </c>
      <c r="G1231" s="3" t="s">
        <v>52</v>
      </c>
      <c r="H1231" s="3" t="s">
        <v>30</v>
      </c>
      <c r="I1231" s="3" t="s">
        <v>37</v>
      </c>
      <c r="J1231" s="0" t="n">
        <v>1</v>
      </c>
      <c r="K1231" s="0" t="n">
        <v>0</v>
      </c>
      <c r="L1231" s="0" t="n">
        <v>0</v>
      </c>
      <c r="M1231" s="0" t="n">
        <v>0</v>
      </c>
      <c r="N1231" s="0" t="str">
        <f aca="false">IF(OR(NOT(OR(J1231=0,J1231=1)),NOT(OR(K1231=0,K1231=1)),NOT(OR(L1231=0,L1231=1)),NOT(OR(M1231=0,M1231=1)),NOT(OR(U1231=0,U1231=1))),"Yes","No")</f>
        <v>No</v>
      </c>
      <c r="O1231" s="0" t="str">
        <f aca="false">IF(OR(AND(M1231=1,L1231=0),AND(L1231=1,K1231=0),AND(K1231=1,J1231=0)),"Yes","No")</f>
        <v>No</v>
      </c>
      <c r="P1231" s="0" t="n">
        <v>0</v>
      </c>
      <c r="Q1231" s="0" t="str">
        <f aca="false">IF(OR(AND(M1231=0,P1231&gt;0),AND(M1231=1,P1231&lt;=0)),"Yes","No")</f>
        <v>No</v>
      </c>
      <c r="R1231" s="0" t="str">
        <f aca="false">IF(AND(M1231=1,P1231&gt;calc_helpers!$B$5),"Yes","No")</f>
        <v>No</v>
      </c>
      <c r="S1231" s="0" t="n">
        <v>0</v>
      </c>
      <c r="T1231" s="0" t="str">
        <f aca="false">IF(S1231&gt;0,"Yes","No")</f>
        <v>No</v>
      </c>
      <c r="U1231" s="0" t="n">
        <v>0</v>
      </c>
      <c r="W1231" s="0" t="str">
        <f aca="false">IF(OR(AND(M1231=1,ISBLANK(V1231)),AND(M1231=0,NOT(ISBLANK(V1231)))),"Yes","No")</f>
        <v>No</v>
      </c>
      <c r="X1231" s="0" t="n">
        <v>37.3</v>
      </c>
      <c r="Y1231" s="3" t="s">
        <v>30</v>
      </c>
      <c r="Z1231" s="0" t="str">
        <f aca="false">IF(M1231=1,P1231,"")</f>
        <v/>
      </c>
    </row>
    <row r="1232" customFormat="false" ht="15" hidden="false" customHeight="false" outlineLevel="0" collapsed="false">
      <c r="A1232" s="0" t="s">
        <v>1276</v>
      </c>
      <c r="B1232" s="2" t="n">
        <v>45742</v>
      </c>
      <c r="C1232" s="3" t="s">
        <v>736</v>
      </c>
      <c r="D1232" s="3" t="s">
        <v>34</v>
      </c>
      <c r="E1232" s="3" t="s">
        <v>29</v>
      </c>
      <c r="F1232" s="3" t="s">
        <v>30</v>
      </c>
      <c r="G1232" s="3" t="s">
        <v>52</v>
      </c>
      <c r="H1232" s="3" t="s">
        <v>30</v>
      </c>
      <c r="I1232" s="3" t="s">
        <v>41</v>
      </c>
      <c r="J1232" s="0" t="n">
        <v>1</v>
      </c>
      <c r="K1232" s="0" t="n">
        <v>0</v>
      </c>
      <c r="L1232" s="0" t="n">
        <v>0</v>
      </c>
      <c r="M1232" s="0" t="n">
        <v>0</v>
      </c>
      <c r="N1232" s="0" t="str">
        <f aca="false">IF(OR(NOT(OR(J1232=0,J1232=1)),NOT(OR(K1232=0,K1232=1)),NOT(OR(L1232=0,L1232=1)),NOT(OR(M1232=0,M1232=1)),NOT(OR(U1232=0,U1232=1))),"Yes","No")</f>
        <v>No</v>
      </c>
      <c r="O1232" s="0" t="str">
        <f aca="false">IF(OR(AND(M1232=1,L1232=0),AND(L1232=1,K1232=0),AND(K1232=1,J1232=0)),"Yes","No")</f>
        <v>No</v>
      </c>
      <c r="P1232" s="0" t="n">
        <v>0</v>
      </c>
      <c r="Q1232" s="0" t="str">
        <f aca="false">IF(OR(AND(M1232=0,P1232&gt;0),AND(M1232=1,P1232&lt;=0)),"Yes","No")</f>
        <v>No</v>
      </c>
      <c r="R1232" s="0" t="str">
        <f aca="false">IF(AND(M1232=1,P1232&gt;calc_helpers!$B$5),"Yes","No")</f>
        <v>No</v>
      </c>
      <c r="S1232" s="0" t="n">
        <v>1</v>
      </c>
      <c r="T1232" s="0" t="str">
        <f aca="false">IF(S1232&gt;0,"Yes","No")</f>
        <v>Yes</v>
      </c>
      <c r="U1232" s="0" t="n">
        <v>0</v>
      </c>
      <c r="W1232" s="0" t="str">
        <f aca="false">IF(OR(AND(M1232=1,ISBLANK(V1232)),AND(M1232=0,NOT(ISBLANK(V1232)))),"Yes","No")</f>
        <v>No</v>
      </c>
      <c r="X1232" s="0" t="n">
        <v>76.1</v>
      </c>
      <c r="Y1232" s="3" t="s">
        <v>30</v>
      </c>
      <c r="Z1232" s="0" t="str">
        <f aca="false">IF(M1232=1,P1232,"")</f>
        <v/>
      </c>
    </row>
    <row r="1233" customFormat="false" ht="15" hidden="false" customHeight="false" outlineLevel="0" collapsed="false">
      <c r="A1233" s="0" t="s">
        <v>1277</v>
      </c>
      <c r="B1233" s="2" t="n">
        <v>45746</v>
      </c>
      <c r="C1233" s="3" t="s">
        <v>736</v>
      </c>
      <c r="D1233" s="3" t="s">
        <v>39</v>
      </c>
      <c r="E1233" s="3" t="s">
        <v>35</v>
      </c>
      <c r="F1233" s="3" t="s">
        <v>30</v>
      </c>
      <c r="G1233" s="3" t="s">
        <v>36</v>
      </c>
      <c r="H1233" s="3" t="s">
        <v>30</v>
      </c>
      <c r="I1233" s="3" t="s">
        <v>37</v>
      </c>
      <c r="J1233" s="0" t="n">
        <v>1</v>
      </c>
      <c r="K1233" s="0" t="n">
        <v>1</v>
      </c>
      <c r="L1233" s="0" t="n">
        <v>1</v>
      </c>
      <c r="M1233" s="0" t="n">
        <v>0</v>
      </c>
      <c r="N1233" s="0" t="str">
        <f aca="false">IF(OR(NOT(OR(J1233=0,J1233=1)),NOT(OR(K1233=0,K1233=1)),NOT(OR(L1233=0,L1233=1)),NOT(OR(M1233=0,M1233=1)),NOT(OR(U1233=0,U1233=1))),"Yes","No")</f>
        <v>No</v>
      </c>
      <c r="O1233" s="0" t="str">
        <f aca="false">IF(OR(AND(M1233=1,L1233=0),AND(L1233=1,K1233=0),AND(K1233=1,J1233=0)),"Yes","No")</f>
        <v>No</v>
      </c>
      <c r="P1233" s="0" t="n">
        <v>0</v>
      </c>
      <c r="Q1233" s="0" t="str">
        <f aca="false">IF(OR(AND(M1233=0,P1233&gt;0),AND(M1233=1,P1233&lt;=0)),"Yes","No")</f>
        <v>No</v>
      </c>
      <c r="R1233" s="0" t="str">
        <f aca="false">IF(AND(M1233=1,P1233&gt;calc_helpers!$B$5),"Yes","No")</f>
        <v>No</v>
      </c>
      <c r="S1233" s="0" t="n">
        <v>1</v>
      </c>
      <c r="T1233" s="0" t="str">
        <f aca="false">IF(S1233&gt;0,"Yes","No")</f>
        <v>Yes</v>
      </c>
      <c r="U1233" s="0" t="n">
        <v>0</v>
      </c>
      <c r="W1233" s="0" t="str">
        <f aca="false">IF(OR(AND(M1233=1,ISBLANK(V1233)),AND(M1233=0,NOT(ISBLANK(V1233)))),"Yes","No")</f>
        <v>No</v>
      </c>
      <c r="X1233" s="0" t="n">
        <v>72.5</v>
      </c>
      <c r="Y1233" s="3" t="s">
        <v>30</v>
      </c>
      <c r="Z1233" s="0" t="str">
        <f aca="false">IF(M1233=1,P1233,"")</f>
        <v/>
      </c>
    </row>
    <row r="1234" customFormat="false" ht="15" hidden="false" customHeight="false" outlineLevel="0" collapsed="false">
      <c r="A1234" s="0" t="s">
        <v>1278</v>
      </c>
      <c r="B1234" s="2" t="n">
        <v>45713</v>
      </c>
      <c r="C1234" s="3" t="s">
        <v>736</v>
      </c>
      <c r="D1234" s="3" t="s">
        <v>39</v>
      </c>
      <c r="E1234" s="3" t="s">
        <v>29</v>
      </c>
      <c r="F1234" s="3" t="s">
        <v>30</v>
      </c>
      <c r="G1234" s="3" t="s">
        <v>36</v>
      </c>
      <c r="H1234" s="3" t="s">
        <v>30</v>
      </c>
      <c r="I1234" s="3" t="s">
        <v>37</v>
      </c>
      <c r="J1234" s="0" t="n">
        <v>1</v>
      </c>
      <c r="K1234" s="0" t="n">
        <v>0</v>
      </c>
      <c r="L1234" s="0" t="n">
        <v>0</v>
      </c>
      <c r="M1234" s="0" t="n">
        <v>0</v>
      </c>
      <c r="N1234" s="0" t="str">
        <f aca="false">IF(OR(NOT(OR(J1234=0,J1234=1)),NOT(OR(K1234=0,K1234=1)),NOT(OR(L1234=0,L1234=1)),NOT(OR(M1234=0,M1234=1)),NOT(OR(U1234=0,U1234=1))),"Yes","No")</f>
        <v>No</v>
      </c>
      <c r="O1234" s="0" t="str">
        <f aca="false">IF(OR(AND(M1234=1,L1234=0),AND(L1234=1,K1234=0),AND(K1234=1,J1234=0)),"Yes","No")</f>
        <v>No</v>
      </c>
      <c r="P1234" s="0" t="n">
        <v>0</v>
      </c>
      <c r="Q1234" s="0" t="str">
        <f aca="false">IF(OR(AND(M1234=0,P1234&gt;0),AND(M1234=1,P1234&lt;=0)),"Yes","No")</f>
        <v>No</v>
      </c>
      <c r="R1234" s="0" t="str">
        <f aca="false">IF(AND(M1234=1,P1234&gt;calc_helpers!$B$5),"Yes","No")</f>
        <v>No</v>
      </c>
      <c r="S1234" s="0" t="n">
        <v>0</v>
      </c>
      <c r="T1234" s="0" t="str">
        <f aca="false">IF(S1234&gt;0,"Yes","No")</f>
        <v>No</v>
      </c>
      <c r="U1234" s="0" t="n">
        <v>0</v>
      </c>
      <c r="W1234" s="0" t="str">
        <f aca="false">IF(OR(AND(M1234=1,ISBLANK(V1234)),AND(M1234=0,NOT(ISBLANK(V1234)))),"Yes","No")</f>
        <v>No</v>
      </c>
      <c r="X1234" s="0" t="n">
        <v>62.3</v>
      </c>
      <c r="Y1234" s="3" t="s">
        <v>30</v>
      </c>
      <c r="Z1234" s="0" t="str">
        <f aca="false">IF(M1234=1,P1234,"")</f>
        <v/>
      </c>
    </row>
    <row r="1235" customFormat="false" ht="15" hidden="false" customHeight="false" outlineLevel="0" collapsed="false">
      <c r="A1235" s="0" t="s">
        <v>1279</v>
      </c>
      <c r="B1235" s="2" t="n">
        <v>45717</v>
      </c>
      <c r="C1235" s="3" t="s">
        <v>736</v>
      </c>
      <c r="D1235" s="3" t="s">
        <v>39</v>
      </c>
      <c r="E1235" s="3" t="s">
        <v>29</v>
      </c>
      <c r="F1235" s="3" t="s">
        <v>30</v>
      </c>
      <c r="G1235" s="3" t="s">
        <v>52</v>
      </c>
      <c r="H1235" s="3" t="s">
        <v>30</v>
      </c>
      <c r="I1235" s="3" t="s">
        <v>37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str">
        <f aca="false">IF(OR(NOT(OR(J1235=0,J1235=1)),NOT(OR(K1235=0,K1235=1)),NOT(OR(L1235=0,L1235=1)),NOT(OR(M1235=0,M1235=1)),NOT(OR(U1235=0,U1235=1))),"Yes","No")</f>
        <v>No</v>
      </c>
      <c r="O1235" s="0" t="str">
        <f aca="false">IF(OR(AND(M1235=1,L1235=0),AND(L1235=1,K1235=0),AND(K1235=1,J1235=0)),"Yes","No")</f>
        <v>No</v>
      </c>
      <c r="P1235" s="0" t="n">
        <v>0</v>
      </c>
      <c r="Q1235" s="0" t="str">
        <f aca="false">IF(OR(AND(M1235=0,P1235&gt;0),AND(M1235=1,P1235&lt;=0)),"Yes","No")</f>
        <v>No</v>
      </c>
      <c r="R1235" s="0" t="str">
        <f aca="false">IF(AND(M1235=1,P1235&gt;calc_helpers!$B$5),"Yes","No")</f>
        <v>No</v>
      </c>
      <c r="S1235" s="0" t="n">
        <v>0</v>
      </c>
      <c r="T1235" s="0" t="str">
        <f aca="false">IF(S1235&gt;0,"Yes","No")</f>
        <v>No</v>
      </c>
      <c r="U1235" s="0" t="n">
        <v>0</v>
      </c>
      <c r="W1235" s="0" t="str">
        <f aca="false">IF(OR(AND(M1235=1,ISBLANK(V1235)),AND(M1235=0,NOT(ISBLANK(V1235)))),"Yes","No")</f>
        <v>No</v>
      </c>
      <c r="X1235" s="0" t="n">
        <v>62.7</v>
      </c>
      <c r="Y1235" s="3" t="s">
        <v>30</v>
      </c>
      <c r="Z1235" s="0" t="str">
        <f aca="false">IF(M1235=1,P1235,"")</f>
        <v/>
      </c>
    </row>
    <row r="1236" customFormat="false" ht="15" hidden="false" customHeight="false" outlineLevel="0" collapsed="false">
      <c r="A1236" s="0" t="s">
        <v>1280</v>
      </c>
      <c r="B1236" s="2" t="n">
        <v>45804</v>
      </c>
      <c r="C1236" s="3" t="s">
        <v>736</v>
      </c>
      <c r="D1236" s="3" t="s">
        <v>28</v>
      </c>
      <c r="E1236" s="3" t="s">
        <v>35</v>
      </c>
      <c r="F1236" s="3" t="s">
        <v>30</v>
      </c>
      <c r="G1236" s="3" t="s">
        <v>40</v>
      </c>
      <c r="H1236" s="3" t="s">
        <v>30</v>
      </c>
      <c r="I1236" s="3" t="s">
        <v>32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str">
        <f aca="false">IF(OR(NOT(OR(J1236=0,J1236=1)),NOT(OR(K1236=0,K1236=1)),NOT(OR(L1236=0,L1236=1)),NOT(OR(M1236=0,M1236=1)),NOT(OR(U1236=0,U1236=1))),"Yes","No")</f>
        <v>No</v>
      </c>
      <c r="O1236" s="0" t="str">
        <f aca="false">IF(OR(AND(M1236=1,L1236=0),AND(L1236=1,K1236=0),AND(K1236=1,J1236=0)),"Yes","No")</f>
        <v>No</v>
      </c>
      <c r="P1236" s="0" t="n">
        <v>0</v>
      </c>
      <c r="Q1236" s="0" t="str">
        <f aca="false">IF(OR(AND(M1236=0,P1236&gt;0),AND(M1236=1,P1236&lt;=0)),"Yes","No")</f>
        <v>No</v>
      </c>
      <c r="R1236" s="0" t="str">
        <f aca="false">IF(AND(M1236=1,P1236&gt;calc_helpers!$B$5),"Yes","No")</f>
        <v>No</v>
      </c>
      <c r="S1236" s="0" t="n">
        <v>0</v>
      </c>
      <c r="T1236" s="0" t="str">
        <f aca="false">IF(S1236&gt;0,"Yes","No")</f>
        <v>No</v>
      </c>
      <c r="U1236" s="0" t="n">
        <v>0</v>
      </c>
      <c r="W1236" s="0" t="str">
        <f aca="false">IF(OR(AND(M1236=1,ISBLANK(V1236)),AND(M1236=0,NOT(ISBLANK(V1236)))),"Yes","No")</f>
        <v>No</v>
      </c>
      <c r="X1236" s="0" t="n">
        <v>82.4</v>
      </c>
      <c r="Y1236" s="3" t="s">
        <v>30</v>
      </c>
      <c r="Z1236" s="0" t="str">
        <f aca="false">IF(M1236=1,P1236,"")</f>
        <v/>
      </c>
    </row>
    <row r="1237" customFormat="false" ht="15" hidden="false" customHeight="false" outlineLevel="0" collapsed="false">
      <c r="A1237" s="0" t="s">
        <v>1281</v>
      </c>
      <c r="B1237" s="2" t="n">
        <v>45693</v>
      </c>
      <c r="C1237" s="3" t="s">
        <v>736</v>
      </c>
      <c r="D1237" s="3" t="s">
        <v>34</v>
      </c>
      <c r="E1237" s="3" t="s">
        <v>35</v>
      </c>
      <c r="F1237" s="3" t="s">
        <v>30</v>
      </c>
      <c r="G1237" s="3" t="s">
        <v>167</v>
      </c>
      <c r="H1237" s="3" t="s">
        <v>168</v>
      </c>
      <c r="I1237" s="3" t="s">
        <v>41</v>
      </c>
      <c r="J1237" s="0" t="n">
        <v>1</v>
      </c>
      <c r="K1237" s="0" t="n">
        <v>0</v>
      </c>
      <c r="L1237" s="0" t="n">
        <v>0</v>
      </c>
      <c r="M1237" s="0" t="n">
        <v>0</v>
      </c>
      <c r="N1237" s="0" t="str">
        <f aca="false">IF(OR(NOT(OR(J1237=0,J1237=1)),NOT(OR(K1237=0,K1237=1)),NOT(OR(L1237=0,L1237=1)),NOT(OR(M1237=0,M1237=1)),NOT(OR(U1237=0,U1237=1))),"Yes","No")</f>
        <v>No</v>
      </c>
      <c r="O1237" s="0" t="str">
        <f aca="false">IF(OR(AND(M1237=1,L1237=0),AND(L1237=1,K1237=0),AND(K1237=1,J1237=0)),"Yes","No")</f>
        <v>No</v>
      </c>
      <c r="P1237" s="0" t="n">
        <v>0</v>
      </c>
      <c r="Q1237" s="0" t="str">
        <f aca="false">IF(OR(AND(M1237=0,P1237&gt;0),AND(M1237=1,P1237&lt;=0)),"Yes","No")</f>
        <v>No</v>
      </c>
      <c r="R1237" s="0" t="str">
        <f aca="false">IF(AND(M1237=1,P1237&gt;calc_helpers!$B$5),"Yes","No")</f>
        <v>No</v>
      </c>
      <c r="S1237" s="0" t="n">
        <v>0</v>
      </c>
      <c r="T1237" s="0" t="str">
        <f aca="false">IF(S1237&gt;0,"Yes","No")</f>
        <v>No</v>
      </c>
      <c r="U1237" s="0" t="n">
        <v>0</v>
      </c>
      <c r="W1237" s="0" t="str">
        <f aca="false">IF(OR(AND(M1237=1,ISBLANK(V1237)),AND(M1237=0,NOT(ISBLANK(V1237)))),"Yes","No")</f>
        <v>No</v>
      </c>
      <c r="X1237" s="0" t="n">
        <v>78.9</v>
      </c>
      <c r="Y1237" s="3" t="s">
        <v>30</v>
      </c>
      <c r="Z1237" s="0" t="str">
        <f aca="false">IF(M1237=1,P1237,"")</f>
        <v/>
      </c>
    </row>
    <row r="1238" customFormat="false" ht="15" hidden="false" customHeight="false" outlineLevel="0" collapsed="false">
      <c r="A1238" s="0" t="s">
        <v>1282</v>
      </c>
      <c r="B1238" s="2" t="n">
        <v>45682</v>
      </c>
      <c r="C1238" s="3" t="s">
        <v>736</v>
      </c>
      <c r="D1238" s="3" t="s">
        <v>34</v>
      </c>
      <c r="E1238" s="3" t="s">
        <v>29</v>
      </c>
      <c r="F1238" s="3" t="s">
        <v>30</v>
      </c>
      <c r="G1238" s="3" t="s">
        <v>31</v>
      </c>
      <c r="H1238" s="3" t="s">
        <v>30</v>
      </c>
      <c r="I1238" s="3" t="s">
        <v>37</v>
      </c>
      <c r="J1238" s="0" t="n">
        <v>1</v>
      </c>
      <c r="K1238" s="0" t="n">
        <v>1</v>
      </c>
      <c r="L1238" s="0" t="n">
        <v>1</v>
      </c>
      <c r="M1238" s="0" t="n">
        <v>1</v>
      </c>
      <c r="N1238" s="0" t="str">
        <f aca="false">IF(OR(NOT(OR(J1238=0,J1238=1)),NOT(OR(K1238=0,K1238=1)),NOT(OR(L1238=0,L1238=1)),NOT(OR(M1238=0,M1238=1)),NOT(OR(U1238=0,U1238=1))),"Yes","No")</f>
        <v>No</v>
      </c>
      <c r="O1238" s="0" t="str">
        <f aca="false">IF(OR(AND(M1238=1,L1238=0),AND(L1238=1,K1238=0),AND(K1238=1,J1238=0)),"Yes","No")</f>
        <v>No</v>
      </c>
      <c r="P1238" s="0" t="n">
        <v>618.91</v>
      </c>
      <c r="Q1238" s="0" t="str">
        <f aca="false">IF(OR(AND(M1238=0,P1238&gt;0),AND(M1238=1,P1238&lt;=0)),"Yes","No")</f>
        <v>No</v>
      </c>
      <c r="R1238" s="0" t="str">
        <f aca="false">IF(AND(M1238=1,P1238&gt;calc_helpers!$B$5),"Yes","No")</f>
        <v>No</v>
      </c>
      <c r="S1238" s="0" t="n">
        <v>0</v>
      </c>
      <c r="T1238" s="0" t="str">
        <f aca="false">IF(S1238&gt;0,"Yes","No")</f>
        <v>No</v>
      </c>
      <c r="U1238" s="0" t="n">
        <v>0</v>
      </c>
      <c r="V1238" s="0" t="n">
        <v>4</v>
      </c>
      <c r="W1238" s="0" t="str">
        <f aca="false">IF(OR(AND(M1238=1,ISBLANK(V1238)),AND(M1238=0,NOT(ISBLANK(V1238)))),"Yes","No")</f>
        <v>No</v>
      </c>
      <c r="X1238" s="0" t="n">
        <v>67.8</v>
      </c>
      <c r="Y1238" s="3" t="s">
        <v>30</v>
      </c>
      <c r="Z1238" s="3" t="n">
        <f aca="false">IF(M1238=1,P1238,"")</f>
        <v>618.91</v>
      </c>
    </row>
    <row r="1239" customFormat="false" ht="15" hidden="false" customHeight="false" outlineLevel="0" collapsed="false">
      <c r="A1239" s="0" t="s">
        <v>1283</v>
      </c>
      <c r="B1239" s="2" t="n">
        <v>45757</v>
      </c>
      <c r="C1239" s="3" t="s">
        <v>736</v>
      </c>
      <c r="D1239" s="3" t="s">
        <v>39</v>
      </c>
      <c r="E1239" s="3" t="s">
        <v>35</v>
      </c>
      <c r="F1239" s="3" t="s">
        <v>30</v>
      </c>
      <c r="G1239" s="3" t="s">
        <v>36</v>
      </c>
      <c r="H1239" s="3" t="s">
        <v>30</v>
      </c>
      <c r="I1239" s="3" t="s">
        <v>41</v>
      </c>
      <c r="J1239" s="0" t="n">
        <v>1</v>
      </c>
      <c r="K1239" s="0" t="n">
        <v>0</v>
      </c>
      <c r="L1239" s="0" t="n">
        <v>0</v>
      </c>
      <c r="M1239" s="0" t="n">
        <v>0</v>
      </c>
      <c r="N1239" s="0" t="str">
        <f aca="false">IF(OR(NOT(OR(J1239=0,J1239=1)),NOT(OR(K1239=0,K1239=1)),NOT(OR(L1239=0,L1239=1)),NOT(OR(M1239=0,M1239=1)),NOT(OR(U1239=0,U1239=1))),"Yes","No")</f>
        <v>No</v>
      </c>
      <c r="O1239" s="0" t="str">
        <f aca="false">IF(OR(AND(M1239=1,L1239=0),AND(L1239=1,K1239=0),AND(K1239=1,J1239=0)),"Yes","No")</f>
        <v>No</v>
      </c>
      <c r="P1239" s="0" t="n">
        <v>0</v>
      </c>
      <c r="Q1239" s="0" t="str">
        <f aca="false">IF(OR(AND(M1239=0,P1239&gt;0),AND(M1239=1,P1239&lt;=0)),"Yes","No")</f>
        <v>No</v>
      </c>
      <c r="R1239" s="0" t="str">
        <f aca="false">IF(AND(M1239=1,P1239&gt;calc_helpers!$B$5),"Yes","No")</f>
        <v>No</v>
      </c>
      <c r="S1239" s="0" t="n">
        <v>0</v>
      </c>
      <c r="T1239" s="0" t="str">
        <f aca="false">IF(S1239&gt;0,"Yes","No")</f>
        <v>No</v>
      </c>
      <c r="U1239" s="0" t="n">
        <v>0</v>
      </c>
      <c r="W1239" s="0" t="str">
        <f aca="false">IF(OR(AND(M1239=1,ISBLANK(V1239)),AND(M1239=0,NOT(ISBLANK(V1239)))),"Yes","No")</f>
        <v>No</v>
      </c>
      <c r="X1239" s="0" t="n">
        <v>68.8</v>
      </c>
      <c r="Y1239" s="3" t="s">
        <v>30</v>
      </c>
      <c r="Z1239" s="0" t="str">
        <f aca="false">IF(M1239=1,P1239,"")</f>
        <v/>
      </c>
    </row>
    <row r="1240" customFormat="false" ht="15" hidden="false" customHeight="false" outlineLevel="0" collapsed="false">
      <c r="A1240" s="0" t="s">
        <v>1284</v>
      </c>
      <c r="B1240" s="2" t="n">
        <v>45667</v>
      </c>
      <c r="C1240" s="3" t="s">
        <v>736</v>
      </c>
      <c r="D1240" s="3" t="s">
        <v>39</v>
      </c>
      <c r="E1240" s="3" t="s">
        <v>35</v>
      </c>
      <c r="F1240" s="3" t="s">
        <v>30</v>
      </c>
      <c r="G1240" s="3" t="s">
        <v>36</v>
      </c>
      <c r="H1240" s="3" t="s">
        <v>30</v>
      </c>
      <c r="I1240" s="3" t="s">
        <v>41</v>
      </c>
      <c r="J1240" s="0" t="n">
        <v>1</v>
      </c>
      <c r="K1240" s="0" t="n">
        <v>0</v>
      </c>
      <c r="L1240" s="0" t="n">
        <v>0</v>
      </c>
      <c r="M1240" s="0" t="n">
        <v>0</v>
      </c>
      <c r="N1240" s="0" t="str">
        <f aca="false">IF(OR(NOT(OR(J1240=0,J1240=1)),NOT(OR(K1240=0,K1240=1)),NOT(OR(L1240=0,L1240=1)),NOT(OR(M1240=0,M1240=1)),NOT(OR(U1240=0,U1240=1))),"Yes","No")</f>
        <v>No</v>
      </c>
      <c r="O1240" s="0" t="str">
        <f aca="false">IF(OR(AND(M1240=1,L1240=0),AND(L1240=1,K1240=0),AND(K1240=1,J1240=0)),"Yes","No")</f>
        <v>No</v>
      </c>
      <c r="P1240" s="0" t="n">
        <v>0</v>
      </c>
      <c r="Q1240" s="0" t="str">
        <f aca="false">IF(OR(AND(M1240=0,P1240&gt;0),AND(M1240=1,P1240&lt;=0)),"Yes","No")</f>
        <v>No</v>
      </c>
      <c r="R1240" s="0" t="str">
        <f aca="false">IF(AND(M1240=1,P1240&gt;calc_helpers!$B$5),"Yes","No")</f>
        <v>No</v>
      </c>
      <c r="S1240" s="0" t="n">
        <v>0</v>
      </c>
      <c r="T1240" s="0" t="str">
        <f aca="false">IF(S1240&gt;0,"Yes","No")</f>
        <v>No</v>
      </c>
      <c r="U1240" s="0" t="n">
        <v>0</v>
      </c>
      <c r="W1240" s="0" t="str">
        <f aca="false">IF(OR(AND(M1240=1,ISBLANK(V1240)),AND(M1240=0,NOT(ISBLANK(V1240)))),"Yes","No")</f>
        <v>No</v>
      </c>
      <c r="X1240" s="0" t="n">
        <v>67.7</v>
      </c>
      <c r="Y1240" s="3" t="s">
        <v>30</v>
      </c>
      <c r="Z1240" s="0" t="str">
        <f aca="false">IF(M1240=1,P1240,"")</f>
        <v/>
      </c>
    </row>
    <row r="1241" customFormat="false" ht="15" hidden="false" customHeight="false" outlineLevel="0" collapsed="false">
      <c r="A1241" s="0" t="s">
        <v>1285</v>
      </c>
      <c r="B1241" s="2" t="n">
        <v>45711</v>
      </c>
      <c r="C1241" s="3" t="s">
        <v>736</v>
      </c>
      <c r="D1241" s="3" t="s">
        <v>39</v>
      </c>
      <c r="E1241" s="3" t="s">
        <v>35</v>
      </c>
      <c r="F1241" s="3" t="s">
        <v>30</v>
      </c>
      <c r="G1241" s="3" t="s">
        <v>167</v>
      </c>
      <c r="H1241" s="3" t="s">
        <v>168</v>
      </c>
      <c r="I1241" s="3" t="s">
        <v>37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str">
        <f aca="false">IF(OR(NOT(OR(J1241=0,J1241=1)),NOT(OR(K1241=0,K1241=1)),NOT(OR(L1241=0,L1241=1)),NOT(OR(M1241=0,M1241=1)),NOT(OR(U1241=0,U1241=1))),"Yes","No")</f>
        <v>No</v>
      </c>
      <c r="O1241" s="0" t="str">
        <f aca="false">IF(OR(AND(M1241=1,L1241=0),AND(L1241=1,K1241=0),AND(K1241=1,J1241=0)),"Yes","No")</f>
        <v>No</v>
      </c>
      <c r="P1241" s="0" t="n">
        <v>0</v>
      </c>
      <c r="Q1241" s="0" t="str">
        <f aca="false">IF(OR(AND(M1241=0,P1241&gt;0),AND(M1241=1,P1241&lt;=0)),"Yes","No")</f>
        <v>No</v>
      </c>
      <c r="R1241" s="0" t="str">
        <f aca="false">IF(AND(M1241=1,P1241&gt;calc_helpers!$B$5),"Yes","No")</f>
        <v>No</v>
      </c>
      <c r="S1241" s="0" t="n">
        <v>0</v>
      </c>
      <c r="T1241" s="0" t="str">
        <f aca="false">IF(S1241&gt;0,"Yes","No")</f>
        <v>No</v>
      </c>
      <c r="U1241" s="0" t="n">
        <v>0</v>
      </c>
      <c r="W1241" s="0" t="str">
        <f aca="false">IF(OR(AND(M1241=1,ISBLANK(V1241)),AND(M1241=0,NOT(ISBLANK(V1241)))),"Yes","No")</f>
        <v>No</v>
      </c>
      <c r="X1241" s="0" t="n">
        <v>88</v>
      </c>
      <c r="Y1241" s="3" t="s">
        <v>30</v>
      </c>
      <c r="Z1241" s="0" t="str">
        <f aca="false">IF(M1241=1,P1241,"")</f>
        <v/>
      </c>
    </row>
    <row r="1242" customFormat="false" ht="15" hidden="false" customHeight="false" outlineLevel="0" collapsed="false">
      <c r="A1242" s="0" t="s">
        <v>1286</v>
      </c>
      <c r="B1242" s="2" t="n">
        <v>45800</v>
      </c>
      <c r="C1242" s="3" t="s">
        <v>736</v>
      </c>
      <c r="D1242" s="3" t="s">
        <v>34</v>
      </c>
      <c r="E1242" s="3" t="s">
        <v>29</v>
      </c>
      <c r="F1242" s="3" t="s">
        <v>30</v>
      </c>
      <c r="G1242" s="3" t="s">
        <v>36</v>
      </c>
      <c r="H1242" s="3" t="s">
        <v>30</v>
      </c>
      <c r="I1242" s="3" t="s">
        <v>32</v>
      </c>
      <c r="J1242" s="0" t="n">
        <v>1</v>
      </c>
      <c r="K1242" s="0" t="n">
        <v>1</v>
      </c>
      <c r="L1242" s="0" t="n">
        <v>0</v>
      </c>
      <c r="M1242" s="0" t="n">
        <v>0</v>
      </c>
      <c r="N1242" s="0" t="str">
        <f aca="false">IF(OR(NOT(OR(J1242=0,J1242=1)),NOT(OR(K1242=0,K1242=1)),NOT(OR(L1242=0,L1242=1)),NOT(OR(M1242=0,M1242=1)),NOT(OR(U1242=0,U1242=1))),"Yes","No")</f>
        <v>No</v>
      </c>
      <c r="O1242" s="0" t="str">
        <f aca="false">IF(OR(AND(M1242=1,L1242=0),AND(L1242=1,K1242=0),AND(K1242=1,J1242=0)),"Yes","No")</f>
        <v>No</v>
      </c>
      <c r="P1242" s="0" t="n">
        <v>0</v>
      </c>
      <c r="Q1242" s="0" t="str">
        <f aca="false">IF(OR(AND(M1242=0,P1242&gt;0),AND(M1242=1,P1242&lt;=0)),"Yes","No")</f>
        <v>No</v>
      </c>
      <c r="R1242" s="0" t="str">
        <f aca="false">IF(AND(M1242=1,P1242&gt;calc_helpers!$B$5),"Yes","No")</f>
        <v>No</v>
      </c>
      <c r="S1242" s="0" t="n">
        <v>0</v>
      </c>
      <c r="T1242" s="0" t="str">
        <f aca="false">IF(S1242&gt;0,"Yes","No")</f>
        <v>No</v>
      </c>
      <c r="U1242" s="0" t="n">
        <v>0</v>
      </c>
      <c r="W1242" s="0" t="str">
        <f aca="false">IF(OR(AND(M1242=1,ISBLANK(V1242)),AND(M1242=0,NOT(ISBLANK(V1242)))),"Yes","No")</f>
        <v>No</v>
      </c>
      <c r="X1242" s="0" t="n">
        <v>80.1</v>
      </c>
      <c r="Y1242" s="3" t="s">
        <v>30</v>
      </c>
      <c r="Z1242" s="0" t="str">
        <f aca="false">IF(M1242=1,P1242,"")</f>
        <v/>
      </c>
    </row>
    <row r="1243" customFormat="false" ht="15" hidden="false" customHeight="false" outlineLevel="0" collapsed="false">
      <c r="A1243" s="0" t="s">
        <v>1287</v>
      </c>
      <c r="B1243" s="2" t="n">
        <v>45724</v>
      </c>
      <c r="C1243" s="3" t="s">
        <v>736</v>
      </c>
      <c r="D1243" s="3" t="s">
        <v>28</v>
      </c>
      <c r="E1243" s="3" t="s">
        <v>45</v>
      </c>
      <c r="F1243" s="3" t="s">
        <v>30</v>
      </c>
      <c r="G1243" s="3" t="s">
        <v>31</v>
      </c>
      <c r="H1243" s="3" t="s">
        <v>30</v>
      </c>
      <c r="I1243" s="3" t="s">
        <v>32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str">
        <f aca="false">IF(OR(NOT(OR(J1243=0,J1243=1)),NOT(OR(K1243=0,K1243=1)),NOT(OR(L1243=0,L1243=1)),NOT(OR(M1243=0,M1243=1)),NOT(OR(U1243=0,U1243=1))),"Yes","No")</f>
        <v>No</v>
      </c>
      <c r="O1243" s="0" t="str">
        <f aca="false">IF(OR(AND(M1243=1,L1243=0),AND(L1243=1,K1243=0),AND(K1243=1,J1243=0)),"Yes","No")</f>
        <v>No</v>
      </c>
      <c r="P1243" s="0" t="n">
        <v>0</v>
      </c>
      <c r="Q1243" s="0" t="str">
        <f aca="false">IF(OR(AND(M1243=0,P1243&gt;0),AND(M1243=1,P1243&lt;=0)),"Yes","No")</f>
        <v>No</v>
      </c>
      <c r="R1243" s="0" t="str">
        <f aca="false">IF(AND(M1243=1,P1243&gt;calc_helpers!$B$5),"Yes","No")</f>
        <v>No</v>
      </c>
      <c r="S1243" s="0" t="n">
        <v>1</v>
      </c>
      <c r="T1243" s="0" t="str">
        <f aca="false">IF(S1243&gt;0,"Yes","No")</f>
        <v>Yes</v>
      </c>
      <c r="U1243" s="0" t="n">
        <v>0</v>
      </c>
      <c r="W1243" s="0" t="str">
        <f aca="false">IF(OR(AND(M1243=1,ISBLANK(V1243)),AND(M1243=0,NOT(ISBLANK(V1243)))),"Yes","No")</f>
        <v>No</v>
      </c>
      <c r="X1243" s="0" t="n">
        <v>48.2</v>
      </c>
      <c r="Y1243" s="3" t="s">
        <v>30</v>
      </c>
      <c r="Z1243" s="0" t="str">
        <f aca="false">IF(M1243=1,P1243,"")</f>
        <v/>
      </c>
    </row>
    <row r="1244" customFormat="false" ht="15" hidden="false" customHeight="false" outlineLevel="0" collapsed="false">
      <c r="A1244" s="0" t="s">
        <v>1288</v>
      </c>
      <c r="B1244" s="2" t="n">
        <v>45798</v>
      </c>
      <c r="C1244" s="3" t="s">
        <v>736</v>
      </c>
      <c r="D1244" s="3" t="s">
        <v>39</v>
      </c>
      <c r="E1244" s="3" t="s">
        <v>35</v>
      </c>
      <c r="F1244" s="3" t="s">
        <v>30</v>
      </c>
      <c r="G1244" s="3" t="s">
        <v>36</v>
      </c>
      <c r="H1244" s="3" t="s">
        <v>30</v>
      </c>
      <c r="I1244" s="3" t="s">
        <v>32</v>
      </c>
      <c r="J1244" s="0" t="n">
        <v>1</v>
      </c>
      <c r="K1244" s="0" t="n">
        <v>0</v>
      </c>
      <c r="L1244" s="0" t="n">
        <v>0</v>
      </c>
      <c r="M1244" s="0" t="n">
        <v>0</v>
      </c>
      <c r="N1244" s="0" t="str">
        <f aca="false">IF(OR(NOT(OR(J1244=0,J1244=1)),NOT(OR(K1244=0,K1244=1)),NOT(OR(L1244=0,L1244=1)),NOT(OR(M1244=0,M1244=1)),NOT(OR(U1244=0,U1244=1))),"Yes","No")</f>
        <v>No</v>
      </c>
      <c r="O1244" s="0" t="str">
        <f aca="false">IF(OR(AND(M1244=1,L1244=0),AND(L1244=1,K1244=0),AND(K1244=1,J1244=0)),"Yes","No")</f>
        <v>No</v>
      </c>
      <c r="P1244" s="0" t="n">
        <v>0</v>
      </c>
      <c r="Q1244" s="0" t="str">
        <f aca="false">IF(OR(AND(M1244=0,P1244&gt;0),AND(M1244=1,P1244&lt;=0)),"Yes","No")</f>
        <v>No</v>
      </c>
      <c r="R1244" s="0" t="str">
        <f aca="false">IF(AND(M1244=1,P1244&gt;calc_helpers!$B$5),"Yes","No")</f>
        <v>No</v>
      </c>
      <c r="S1244" s="0" t="n">
        <v>0</v>
      </c>
      <c r="T1244" s="0" t="str">
        <f aca="false">IF(S1244&gt;0,"Yes","No")</f>
        <v>No</v>
      </c>
      <c r="U1244" s="0" t="n">
        <v>0</v>
      </c>
      <c r="W1244" s="0" t="str">
        <f aca="false">IF(OR(AND(M1244=1,ISBLANK(V1244)),AND(M1244=0,NOT(ISBLANK(V1244)))),"Yes","No")</f>
        <v>No</v>
      </c>
      <c r="X1244" s="0" t="n">
        <v>52.7</v>
      </c>
      <c r="Y1244" s="3" t="s">
        <v>30</v>
      </c>
      <c r="Z1244" s="0" t="str">
        <f aca="false">IF(M1244=1,P1244,"")</f>
        <v/>
      </c>
    </row>
    <row r="1245" customFormat="false" ht="15" hidden="false" customHeight="false" outlineLevel="0" collapsed="false">
      <c r="A1245" s="0" t="s">
        <v>1289</v>
      </c>
      <c r="B1245" s="2" t="n">
        <v>45769</v>
      </c>
      <c r="C1245" s="3" t="s">
        <v>736</v>
      </c>
      <c r="D1245" s="3" t="s">
        <v>28</v>
      </c>
      <c r="E1245" s="3" t="s">
        <v>35</v>
      </c>
      <c r="F1245" s="3" t="s">
        <v>30</v>
      </c>
      <c r="G1245" s="3" t="s">
        <v>31</v>
      </c>
      <c r="H1245" s="3" t="s">
        <v>30</v>
      </c>
      <c r="I1245" s="3" t="s">
        <v>32</v>
      </c>
      <c r="J1245" s="0" t="n">
        <v>1</v>
      </c>
      <c r="K1245" s="0" t="n">
        <v>1</v>
      </c>
      <c r="L1245" s="0" t="n">
        <v>0</v>
      </c>
      <c r="M1245" s="0" t="n">
        <v>0</v>
      </c>
      <c r="N1245" s="0" t="str">
        <f aca="false">IF(OR(NOT(OR(J1245=0,J1245=1)),NOT(OR(K1245=0,K1245=1)),NOT(OR(L1245=0,L1245=1)),NOT(OR(M1245=0,M1245=1)),NOT(OR(U1245=0,U1245=1))),"Yes","No")</f>
        <v>No</v>
      </c>
      <c r="O1245" s="0" t="str">
        <f aca="false">IF(OR(AND(M1245=1,L1245=0),AND(L1245=1,K1245=0),AND(K1245=1,J1245=0)),"Yes","No")</f>
        <v>No</v>
      </c>
      <c r="P1245" s="0" t="n">
        <v>0</v>
      </c>
      <c r="Q1245" s="0" t="str">
        <f aca="false">IF(OR(AND(M1245=0,P1245&gt;0),AND(M1245=1,P1245&lt;=0)),"Yes","No")</f>
        <v>No</v>
      </c>
      <c r="R1245" s="0" t="str">
        <f aca="false">IF(AND(M1245=1,P1245&gt;calc_helpers!$B$5),"Yes","No")</f>
        <v>No</v>
      </c>
      <c r="S1245" s="0" t="n">
        <v>0</v>
      </c>
      <c r="T1245" s="0" t="str">
        <f aca="false">IF(S1245&gt;0,"Yes","No")</f>
        <v>No</v>
      </c>
      <c r="U1245" s="0" t="n">
        <v>0</v>
      </c>
      <c r="W1245" s="0" t="str">
        <f aca="false">IF(OR(AND(M1245=1,ISBLANK(V1245)),AND(M1245=0,NOT(ISBLANK(V1245)))),"Yes","No")</f>
        <v>No</v>
      </c>
      <c r="X1245" s="0" t="n">
        <v>59.9</v>
      </c>
      <c r="Y1245" s="3" t="s">
        <v>30</v>
      </c>
      <c r="Z1245" s="0" t="str">
        <f aca="false">IF(M1245=1,P1245,"")</f>
        <v/>
      </c>
    </row>
    <row r="1246" customFormat="false" ht="15" hidden="false" customHeight="false" outlineLevel="0" collapsed="false">
      <c r="A1246" s="0" t="s">
        <v>1290</v>
      </c>
      <c r="B1246" s="2" t="n">
        <v>45763</v>
      </c>
      <c r="C1246" s="3" t="s">
        <v>736</v>
      </c>
      <c r="D1246" s="3" t="s">
        <v>28</v>
      </c>
      <c r="E1246" s="3" t="s">
        <v>35</v>
      </c>
      <c r="F1246" s="3" t="s">
        <v>30</v>
      </c>
      <c r="G1246" s="3" t="s">
        <v>31</v>
      </c>
      <c r="H1246" s="3" t="s">
        <v>30</v>
      </c>
      <c r="I1246" s="3" t="s">
        <v>41</v>
      </c>
      <c r="J1246" s="0" t="n">
        <v>1</v>
      </c>
      <c r="K1246" s="0" t="n">
        <v>0</v>
      </c>
      <c r="L1246" s="0" t="n">
        <v>0</v>
      </c>
      <c r="M1246" s="0" t="n">
        <v>0</v>
      </c>
      <c r="N1246" s="0" t="str">
        <f aca="false">IF(OR(NOT(OR(J1246=0,J1246=1)),NOT(OR(K1246=0,K1246=1)),NOT(OR(L1246=0,L1246=1)),NOT(OR(M1246=0,M1246=1)),NOT(OR(U1246=0,U1246=1))),"Yes","No")</f>
        <v>No</v>
      </c>
      <c r="O1246" s="0" t="str">
        <f aca="false">IF(OR(AND(M1246=1,L1246=0),AND(L1246=1,K1246=0),AND(K1246=1,J1246=0)),"Yes","No")</f>
        <v>No</v>
      </c>
      <c r="P1246" s="0" t="n">
        <v>0</v>
      </c>
      <c r="Q1246" s="0" t="str">
        <f aca="false">IF(OR(AND(M1246=0,P1246&gt;0),AND(M1246=1,P1246&lt;=0)),"Yes","No")</f>
        <v>No</v>
      </c>
      <c r="R1246" s="0" t="str">
        <f aca="false">IF(AND(M1246=1,P1246&gt;calc_helpers!$B$5),"Yes","No")</f>
        <v>No</v>
      </c>
      <c r="S1246" s="0" t="n">
        <v>0</v>
      </c>
      <c r="T1246" s="0" t="str">
        <f aca="false">IF(S1246&gt;0,"Yes","No")</f>
        <v>No</v>
      </c>
      <c r="U1246" s="0" t="n">
        <v>0</v>
      </c>
      <c r="W1246" s="0" t="str">
        <f aca="false">IF(OR(AND(M1246=1,ISBLANK(V1246)),AND(M1246=0,NOT(ISBLANK(V1246)))),"Yes","No")</f>
        <v>No</v>
      </c>
      <c r="X1246" s="0" t="n">
        <v>49.5</v>
      </c>
      <c r="Y1246" s="3" t="s">
        <v>30</v>
      </c>
      <c r="Z1246" s="0" t="str">
        <f aca="false">IF(M1246=1,P1246,"")</f>
        <v/>
      </c>
    </row>
    <row r="1247" customFormat="false" ht="15" hidden="false" customHeight="false" outlineLevel="0" collapsed="false">
      <c r="A1247" s="0" t="s">
        <v>1291</v>
      </c>
      <c r="B1247" s="2" t="n">
        <v>45785</v>
      </c>
      <c r="C1247" s="3" t="s">
        <v>736</v>
      </c>
      <c r="D1247" s="3" t="s">
        <v>28</v>
      </c>
      <c r="E1247" s="3" t="s">
        <v>45</v>
      </c>
      <c r="F1247" s="3" t="s">
        <v>30</v>
      </c>
      <c r="G1247" s="3" t="s">
        <v>36</v>
      </c>
      <c r="H1247" s="3" t="s">
        <v>30</v>
      </c>
      <c r="I1247" s="3" t="s">
        <v>37</v>
      </c>
      <c r="J1247" s="0" t="n">
        <v>1</v>
      </c>
      <c r="K1247" s="0" t="n">
        <v>0</v>
      </c>
      <c r="L1247" s="0" t="n">
        <v>0</v>
      </c>
      <c r="M1247" s="0" t="n">
        <v>0</v>
      </c>
      <c r="N1247" s="0" t="str">
        <f aca="false">IF(OR(NOT(OR(J1247=0,J1247=1)),NOT(OR(K1247=0,K1247=1)),NOT(OR(L1247=0,L1247=1)),NOT(OR(M1247=0,M1247=1)),NOT(OR(U1247=0,U1247=1))),"Yes","No")</f>
        <v>No</v>
      </c>
      <c r="O1247" s="0" t="str">
        <f aca="false">IF(OR(AND(M1247=1,L1247=0),AND(L1247=1,K1247=0),AND(K1247=1,J1247=0)),"Yes","No")</f>
        <v>No</v>
      </c>
      <c r="P1247" s="0" t="n">
        <v>0</v>
      </c>
      <c r="Q1247" s="0" t="str">
        <f aca="false">IF(OR(AND(M1247=0,P1247&gt;0),AND(M1247=1,P1247&lt;=0)),"Yes","No")</f>
        <v>No</v>
      </c>
      <c r="R1247" s="0" t="str">
        <f aca="false">IF(AND(M1247=1,P1247&gt;calc_helpers!$B$5),"Yes","No")</f>
        <v>No</v>
      </c>
      <c r="S1247" s="0" t="n">
        <v>0</v>
      </c>
      <c r="T1247" s="0" t="str">
        <f aca="false">IF(S1247&gt;0,"Yes","No")</f>
        <v>No</v>
      </c>
      <c r="U1247" s="0" t="n">
        <v>0</v>
      </c>
      <c r="W1247" s="0" t="str">
        <f aca="false">IF(OR(AND(M1247=1,ISBLANK(V1247)),AND(M1247=0,NOT(ISBLANK(V1247)))),"Yes","No")</f>
        <v>No</v>
      </c>
      <c r="X1247" s="0" t="n">
        <v>41.5</v>
      </c>
      <c r="Y1247" s="3" t="s">
        <v>30</v>
      </c>
      <c r="Z1247" s="0" t="str">
        <f aca="false">IF(M1247=1,P1247,"")</f>
        <v/>
      </c>
    </row>
    <row r="1248" customFormat="false" ht="15" hidden="false" customHeight="false" outlineLevel="0" collapsed="false">
      <c r="A1248" s="0" t="s">
        <v>1292</v>
      </c>
      <c r="B1248" s="2" t="n">
        <v>45799</v>
      </c>
      <c r="C1248" s="3" t="s">
        <v>736</v>
      </c>
      <c r="D1248" s="3" t="s">
        <v>28</v>
      </c>
      <c r="E1248" s="3" t="s">
        <v>35</v>
      </c>
      <c r="F1248" s="3" t="s">
        <v>30</v>
      </c>
      <c r="G1248" s="3" t="s">
        <v>40</v>
      </c>
      <c r="H1248" s="3" t="s">
        <v>30</v>
      </c>
      <c r="I1248" s="3" t="s">
        <v>32</v>
      </c>
      <c r="J1248" s="0" t="n">
        <v>1</v>
      </c>
      <c r="K1248" s="0" t="n">
        <v>0</v>
      </c>
      <c r="L1248" s="0" t="n">
        <v>0</v>
      </c>
      <c r="M1248" s="0" t="n">
        <v>0</v>
      </c>
      <c r="N1248" s="0" t="str">
        <f aca="false">IF(OR(NOT(OR(J1248=0,J1248=1)),NOT(OR(K1248=0,K1248=1)),NOT(OR(L1248=0,L1248=1)),NOT(OR(M1248=0,M1248=1)),NOT(OR(U1248=0,U1248=1))),"Yes","No")</f>
        <v>No</v>
      </c>
      <c r="O1248" s="0" t="str">
        <f aca="false">IF(OR(AND(M1248=1,L1248=0),AND(L1248=1,K1248=0),AND(K1248=1,J1248=0)),"Yes","No")</f>
        <v>No</v>
      </c>
      <c r="P1248" s="0" t="n">
        <v>0</v>
      </c>
      <c r="Q1248" s="0" t="str">
        <f aca="false">IF(OR(AND(M1248=0,P1248&gt;0),AND(M1248=1,P1248&lt;=0)),"Yes","No")</f>
        <v>No</v>
      </c>
      <c r="R1248" s="0" t="str">
        <f aca="false">IF(AND(M1248=1,P1248&gt;calc_helpers!$B$5),"Yes","No")</f>
        <v>No</v>
      </c>
      <c r="S1248" s="0" t="n">
        <v>0</v>
      </c>
      <c r="T1248" s="0" t="str">
        <f aca="false">IF(S1248&gt;0,"Yes","No")</f>
        <v>No</v>
      </c>
      <c r="U1248" s="0" t="n">
        <v>0</v>
      </c>
      <c r="W1248" s="0" t="str">
        <f aca="false">IF(OR(AND(M1248=1,ISBLANK(V1248)),AND(M1248=0,NOT(ISBLANK(V1248)))),"Yes","No")</f>
        <v>No</v>
      </c>
      <c r="X1248" s="0" t="n">
        <v>71.2</v>
      </c>
      <c r="Y1248" s="3" t="s">
        <v>30</v>
      </c>
      <c r="Z1248" s="0" t="str">
        <f aca="false">IF(M1248=1,P1248,"")</f>
        <v/>
      </c>
    </row>
    <row r="1249" customFormat="false" ht="15" hidden="false" customHeight="false" outlineLevel="0" collapsed="false">
      <c r="A1249" s="0" t="s">
        <v>1293</v>
      </c>
      <c r="B1249" s="2" t="n">
        <v>45737</v>
      </c>
      <c r="C1249" s="3" t="s">
        <v>736</v>
      </c>
      <c r="D1249" s="3" t="s">
        <v>28</v>
      </c>
      <c r="E1249" s="3" t="s">
        <v>35</v>
      </c>
      <c r="F1249" s="3" t="s">
        <v>30</v>
      </c>
      <c r="G1249" s="3" t="s">
        <v>50</v>
      </c>
      <c r="H1249" s="3" t="s">
        <v>30</v>
      </c>
      <c r="I1249" s="3" t="s">
        <v>32</v>
      </c>
      <c r="J1249" s="0" t="n">
        <v>1</v>
      </c>
      <c r="K1249" s="0" t="n">
        <v>1</v>
      </c>
      <c r="L1249" s="0" t="n">
        <v>1</v>
      </c>
      <c r="M1249" s="0" t="n">
        <v>0</v>
      </c>
      <c r="N1249" s="0" t="str">
        <f aca="false">IF(OR(NOT(OR(J1249=0,J1249=1)),NOT(OR(K1249=0,K1249=1)),NOT(OR(L1249=0,L1249=1)),NOT(OR(M1249=0,M1249=1)),NOT(OR(U1249=0,U1249=1))),"Yes","No")</f>
        <v>No</v>
      </c>
      <c r="O1249" s="0" t="str">
        <f aca="false">IF(OR(AND(M1249=1,L1249=0),AND(L1249=1,K1249=0),AND(K1249=1,J1249=0)),"Yes","No")</f>
        <v>No</v>
      </c>
      <c r="P1249" s="0" t="n">
        <v>0</v>
      </c>
      <c r="Q1249" s="0" t="str">
        <f aca="false">IF(OR(AND(M1249=0,P1249&gt;0),AND(M1249=1,P1249&lt;=0)),"Yes","No")</f>
        <v>No</v>
      </c>
      <c r="R1249" s="0" t="str">
        <f aca="false">IF(AND(M1249=1,P1249&gt;calc_helpers!$B$5),"Yes","No")</f>
        <v>No</v>
      </c>
      <c r="S1249" s="0" t="n">
        <v>0</v>
      </c>
      <c r="T1249" s="0" t="str">
        <f aca="false">IF(S1249&gt;0,"Yes","No")</f>
        <v>No</v>
      </c>
      <c r="U1249" s="0" t="n">
        <v>0</v>
      </c>
      <c r="W1249" s="0" t="str">
        <f aca="false">IF(OR(AND(M1249=1,ISBLANK(V1249)),AND(M1249=0,NOT(ISBLANK(V1249)))),"Yes","No")</f>
        <v>No</v>
      </c>
      <c r="X1249" s="0" t="n">
        <v>65.8</v>
      </c>
      <c r="Y1249" s="3" t="s">
        <v>30</v>
      </c>
      <c r="Z1249" s="0" t="str">
        <f aca="false">IF(M1249=1,P1249,"")</f>
        <v/>
      </c>
    </row>
    <row r="1250" customFormat="false" ht="15" hidden="false" customHeight="false" outlineLevel="0" collapsed="false">
      <c r="A1250" s="0" t="s">
        <v>1294</v>
      </c>
      <c r="B1250" s="2" t="n">
        <v>45738</v>
      </c>
      <c r="C1250" s="3" t="s">
        <v>736</v>
      </c>
      <c r="D1250" s="3" t="s">
        <v>39</v>
      </c>
      <c r="E1250" s="3" t="s">
        <v>35</v>
      </c>
      <c r="F1250" s="3" t="s">
        <v>30</v>
      </c>
      <c r="G1250" s="3" t="s">
        <v>36</v>
      </c>
      <c r="H1250" s="3" t="s">
        <v>30</v>
      </c>
      <c r="I1250" s="3" t="s">
        <v>32</v>
      </c>
      <c r="J1250" s="0" t="n">
        <v>1</v>
      </c>
      <c r="K1250" s="0" t="n">
        <v>0</v>
      </c>
      <c r="L1250" s="0" t="n">
        <v>0</v>
      </c>
      <c r="M1250" s="0" t="n">
        <v>0</v>
      </c>
      <c r="N1250" s="0" t="str">
        <f aca="false">IF(OR(NOT(OR(J1250=0,J1250=1)),NOT(OR(K1250=0,K1250=1)),NOT(OR(L1250=0,L1250=1)),NOT(OR(M1250=0,M1250=1)),NOT(OR(U1250=0,U1250=1))),"Yes","No")</f>
        <v>No</v>
      </c>
      <c r="O1250" s="0" t="str">
        <f aca="false">IF(OR(AND(M1250=1,L1250=0),AND(L1250=1,K1250=0),AND(K1250=1,J1250=0)),"Yes","No")</f>
        <v>No</v>
      </c>
      <c r="P1250" s="0" t="n">
        <v>0</v>
      </c>
      <c r="Q1250" s="0" t="str">
        <f aca="false">IF(OR(AND(M1250=0,P1250&gt;0),AND(M1250=1,P1250&lt;=0)),"Yes","No")</f>
        <v>No</v>
      </c>
      <c r="R1250" s="0" t="str">
        <f aca="false">IF(AND(M1250=1,P1250&gt;calc_helpers!$B$5),"Yes","No")</f>
        <v>No</v>
      </c>
      <c r="S1250" s="0" t="n">
        <v>1</v>
      </c>
      <c r="T1250" s="0" t="str">
        <f aca="false">IF(S1250&gt;0,"Yes","No")</f>
        <v>Yes</v>
      </c>
      <c r="U1250" s="0" t="n">
        <v>0</v>
      </c>
      <c r="W1250" s="0" t="str">
        <f aca="false">IF(OR(AND(M1250=1,ISBLANK(V1250)),AND(M1250=0,NOT(ISBLANK(V1250)))),"Yes","No")</f>
        <v>No</v>
      </c>
      <c r="X1250" s="0" t="n">
        <v>55.1</v>
      </c>
      <c r="Y1250" s="3" t="s">
        <v>30</v>
      </c>
      <c r="Z1250" s="0" t="str">
        <f aca="false">IF(M1250=1,P1250,"")</f>
        <v/>
      </c>
    </row>
    <row r="1251" customFormat="false" ht="15" hidden="false" customHeight="false" outlineLevel="0" collapsed="false">
      <c r="A1251" s="0" t="s">
        <v>1295</v>
      </c>
      <c r="B1251" s="2" t="n">
        <v>45667</v>
      </c>
      <c r="C1251" s="3" t="s">
        <v>736</v>
      </c>
      <c r="D1251" s="3" t="s">
        <v>34</v>
      </c>
      <c r="E1251" s="3" t="s">
        <v>29</v>
      </c>
      <c r="F1251" s="3" t="s">
        <v>30</v>
      </c>
      <c r="G1251" s="3" t="s">
        <v>52</v>
      </c>
      <c r="H1251" s="3" t="s">
        <v>30</v>
      </c>
      <c r="I1251" s="3" t="s">
        <v>37</v>
      </c>
      <c r="J1251" s="0" t="n">
        <v>1</v>
      </c>
      <c r="K1251" s="0" t="n">
        <v>0</v>
      </c>
      <c r="L1251" s="0" t="n">
        <v>0</v>
      </c>
      <c r="M1251" s="0" t="n">
        <v>0</v>
      </c>
      <c r="N1251" s="0" t="str">
        <f aca="false">IF(OR(NOT(OR(J1251=0,J1251=1)),NOT(OR(K1251=0,K1251=1)),NOT(OR(L1251=0,L1251=1)),NOT(OR(M1251=0,M1251=1)),NOT(OR(U1251=0,U1251=1))),"Yes","No")</f>
        <v>No</v>
      </c>
      <c r="O1251" s="0" t="str">
        <f aca="false">IF(OR(AND(M1251=1,L1251=0),AND(L1251=1,K1251=0),AND(K1251=1,J1251=0)),"Yes","No")</f>
        <v>No</v>
      </c>
      <c r="P1251" s="0" t="n">
        <v>0</v>
      </c>
      <c r="Q1251" s="0" t="str">
        <f aca="false">IF(OR(AND(M1251=0,P1251&gt;0),AND(M1251=1,P1251&lt;=0)),"Yes","No")</f>
        <v>No</v>
      </c>
      <c r="R1251" s="0" t="str">
        <f aca="false">IF(AND(M1251=1,P1251&gt;calc_helpers!$B$5),"Yes","No")</f>
        <v>No</v>
      </c>
      <c r="S1251" s="0" t="n">
        <v>0</v>
      </c>
      <c r="T1251" s="0" t="str">
        <f aca="false">IF(S1251&gt;0,"Yes","No")</f>
        <v>No</v>
      </c>
      <c r="U1251" s="0" t="n">
        <v>0</v>
      </c>
      <c r="W1251" s="0" t="str">
        <f aca="false">IF(OR(AND(M1251=1,ISBLANK(V1251)),AND(M1251=0,NOT(ISBLANK(V1251)))),"Yes","No")</f>
        <v>No</v>
      </c>
      <c r="X1251" s="0" t="n">
        <v>54.6</v>
      </c>
      <c r="Y1251" s="3" t="s">
        <v>30</v>
      </c>
      <c r="Z1251" s="0" t="str">
        <f aca="false">IF(M1251=1,P1251,"")</f>
        <v/>
      </c>
    </row>
    <row r="1252" customFormat="false" ht="15" hidden="false" customHeight="false" outlineLevel="0" collapsed="false">
      <c r="A1252" s="0" t="s">
        <v>1296</v>
      </c>
      <c r="B1252" s="2" t="n">
        <v>45689</v>
      </c>
      <c r="C1252" s="3" t="s">
        <v>736</v>
      </c>
      <c r="D1252" s="3" t="s">
        <v>39</v>
      </c>
      <c r="E1252" s="3" t="s">
        <v>35</v>
      </c>
      <c r="F1252" s="3" t="s">
        <v>30</v>
      </c>
      <c r="G1252" s="3" t="s">
        <v>36</v>
      </c>
      <c r="H1252" s="3" t="s">
        <v>30</v>
      </c>
      <c r="I1252" s="3" t="s">
        <v>32</v>
      </c>
      <c r="J1252" s="0" t="n">
        <v>1</v>
      </c>
      <c r="K1252" s="0" t="n">
        <v>1</v>
      </c>
      <c r="L1252" s="0" t="n">
        <v>1</v>
      </c>
      <c r="M1252" s="0" t="n">
        <v>1</v>
      </c>
      <c r="N1252" s="0" t="str">
        <f aca="false">IF(OR(NOT(OR(J1252=0,J1252=1)),NOT(OR(K1252=0,K1252=1)),NOT(OR(L1252=0,L1252=1)),NOT(OR(M1252=0,M1252=1)),NOT(OR(U1252=0,U1252=1))),"Yes","No")</f>
        <v>No</v>
      </c>
      <c r="O1252" s="0" t="str">
        <f aca="false">IF(OR(AND(M1252=1,L1252=0),AND(L1252=1,K1252=0),AND(K1252=1,J1252=0)),"Yes","No")</f>
        <v>No</v>
      </c>
      <c r="P1252" s="0" t="n">
        <v>923.67</v>
      </c>
      <c r="Q1252" s="0" t="str">
        <f aca="false">IF(OR(AND(M1252=0,P1252&gt;0),AND(M1252=1,P1252&lt;=0)),"Yes","No")</f>
        <v>No</v>
      </c>
      <c r="R1252" s="0" t="str">
        <f aca="false">IF(AND(M1252=1,P1252&gt;calc_helpers!$B$5),"Yes","No")</f>
        <v>No</v>
      </c>
      <c r="S1252" s="0" t="n">
        <v>0</v>
      </c>
      <c r="T1252" s="0" t="str">
        <f aca="false">IF(S1252&gt;0,"Yes","No")</f>
        <v>No</v>
      </c>
      <c r="U1252" s="0" t="n">
        <v>0</v>
      </c>
      <c r="V1252" s="0" t="n">
        <v>4</v>
      </c>
      <c r="W1252" s="0" t="str">
        <f aca="false">IF(OR(AND(M1252=1,ISBLANK(V1252)),AND(M1252=0,NOT(ISBLANK(V1252)))),"Yes","No")</f>
        <v>No</v>
      </c>
      <c r="X1252" s="0" t="n">
        <v>81.9</v>
      </c>
      <c r="Y1252" s="3" t="s">
        <v>30</v>
      </c>
      <c r="Z1252" s="3" t="n">
        <f aca="false">IF(M1252=1,P1252,"")</f>
        <v>923.67</v>
      </c>
    </row>
    <row r="1253" customFormat="false" ht="15" hidden="false" customHeight="false" outlineLevel="0" collapsed="false">
      <c r="A1253" s="0" t="s">
        <v>1297</v>
      </c>
      <c r="B1253" s="2" t="n">
        <v>45747</v>
      </c>
      <c r="C1253" s="3" t="s">
        <v>736</v>
      </c>
      <c r="D1253" s="3" t="s">
        <v>43</v>
      </c>
      <c r="E1253" s="3" t="s">
        <v>35</v>
      </c>
      <c r="F1253" s="3" t="s">
        <v>30</v>
      </c>
      <c r="G1253" s="3" t="s">
        <v>40</v>
      </c>
      <c r="H1253" s="3" t="s">
        <v>30</v>
      </c>
      <c r="I1253" s="3" t="s">
        <v>32</v>
      </c>
      <c r="J1253" s="0" t="n">
        <v>1</v>
      </c>
      <c r="K1253" s="0" t="n">
        <v>1</v>
      </c>
      <c r="L1253" s="0" t="n">
        <v>0</v>
      </c>
      <c r="M1253" s="0" t="n">
        <v>0</v>
      </c>
      <c r="N1253" s="0" t="str">
        <f aca="false">IF(OR(NOT(OR(J1253=0,J1253=1)),NOT(OR(K1253=0,K1253=1)),NOT(OR(L1253=0,L1253=1)),NOT(OR(M1253=0,M1253=1)),NOT(OR(U1253=0,U1253=1))),"Yes","No")</f>
        <v>No</v>
      </c>
      <c r="O1253" s="0" t="str">
        <f aca="false">IF(OR(AND(M1253=1,L1253=0),AND(L1253=1,K1253=0),AND(K1253=1,J1253=0)),"Yes","No")</f>
        <v>No</v>
      </c>
      <c r="P1253" s="0" t="n">
        <v>0</v>
      </c>
      <c r="Q1253" s="0" t="str">
        <f aca="false">IF(OR(AND(M1253=0,P1253&gt;0),AND(M1253=1,P1253&lt;=0)),"Yes","No")</f>
        <v>No</v>
      </c>
      <c r="R1253" s="0" t="str">
        <f aca="false">IF(AND(M1253=1,P1253&gt;calc_helpers!$B$5),"Yes","No")</f>
        <v>No</v>
      </c>
      <c r="S1253" s="0" t="n">
        <v>3</v>
      </c>
      <c r="T1253" s="0" t="str">
        <f aca="false">IF(S1253&gt;0,"Yes","No")</f>
        <v>Yes</v>
      </c>
      <c r="U1253" s="0" t="n">
        <v>0</v>
      </c>
      <c r="W1253" s="0" t="str">
        <f aca="false">IF(OR(AND(M1253=1,ISBLANK(V1253)),AND(M1253=0,NOT(ISBLANK(V1253)))),"Yes","No")</f>
        <v>No</v>
      </c>
      <c r="X1253" s="0" t="n">
        <v>63.2</v>
      </c>
      <c r="Y1253" s="3" t="s">
        <v>30</v>
      </c>
      <c r="Z1253" s="0" t="str">
        <f aca="false">IF(M1253=1,P1253,"")</f>
        <v/>
      </c>
    </row>
    <row r="1254" customFormat="false" ht="15" hidden="false" customHeight="false" outlineLevel="0" collapsed="false">
      <c r="A1254" s="0" t="s">
        <v>1298</v>
      </c>
      <c r="B1254" s="2" t="n">
        <v>45772</v>
      </c>
      <c r="C1254" s="3" t="s">
        <v>736</v>
      </c>
      <c r="D1254" s="3" t="s">
        <v>28</v>
      </c>
      <c r="E1254" s="3" t="s">
        <v>35</v>
      </c>
      <c r="F1254" s="3" t="s">
        <v>30</v>
      </c>
      <c r="G1254" s="3" t="s">
        <v>40</v>
      </c>
      <c r="H1254" s="3" t="s">
        <v>30</v>
      </c>
      <c r="I1254" s="3" t="s">
        <v>37</v>
      </c>
      <c r="J1254" s="0" t="n">
        <v>1</v>
      </c>
      <c r="K1254" s="0" t="n">
        <v>0</v>
      </c>
      <c r="L1254" s="0" t="n">
        <v>0</v>
      </c>
      <c r="M1254" s="0" t="n">
        <v>0</v>
      </c>
      <c r="N1254" s="0" t="str">
        <f aca="false">IF(OR(NOT(OR(J1254=0,J1254=1)),NOT(OR(K1254=0,K1254=1)),NOT(OR(L1254=0,L1254=1)),NOT(OR(M1254=0,M1254=1)),NOT(OR(U1254=0,U1254=1))),"Yes","No")</f>
        <v>No</v>
      </c>
      <c r="O1254" s="0" t="str">
        <f aca="false">IF(OR(AND(M1254=1,L1254=0),AND(L1254=1,K1254=0),AND(K1254=1,J1254=0)),"Yes","No")</f>
        <v>No</v>
      </c>
      <c r="P1254" s="0" t="n">
        <v>0</v>
      </c>
      <c r="Q1254" s="0" t="str">
        <f aca="false">IF(OR(AND(M1254=0,P1254&gt;0),AND(M1254=1,P1254&lt;=0)),"Yes","No")</f>
        <v>No</v>
      </c>
      <c r="R1254" s="0" t="str">
        <f aca="false">IF(AND(M1254=1,P1254&gt;calc_helpers!$B$5),"Yes","No")</f>
        <v>No</v>
      </c>
      <c r="S1254" s="0" t="n">
        <v>0</v>
      </c>
      <c r="T1254" s="0" t="str">
        <f aca="false">IF(S1254&gt;0,"Yes","No")</f>
        <v>No</v>
      </c>
      <c r="U1254" s="0" t="n">
        <v>0</v>
      </c>
      <c r="W1254" s="0" t="str">
        <f aca="false">IF(OR(AND(M1254=1,ISBLANK(V1254)),AND(M1254=0,NOT(ISBLANK(V1254)))),"Yes","No")</f>
        <v>No</v>
      </c>
      <c r="X1254" s="0" t="n">
        <v>55.4</v>
      </c>
      <c r="Y1254" s="3" t="s">
        <v>30</v>
      </c>
      <c r="Z1254" s="0" t="str">
        <f aca="false">IF(M1254=1,P1254,"")</f>
        <v/>
      </c>
    </row>
    <row r="1255" customFormat="false" ht="15" hidden="false" customHeight="false" outlineLevel="0" collapsed="false">
      <c r="A1255" s="0" t="s">
        <v>1299</v>
      </c>
      <c r="B1255" s="2" t="n">
        <v>45779</v>
      </c>
      <c r="C1255" s="3" t="s">
        <v>736</v>
      </c>
      <c r="D1255" s="3" t="s">
        <v>34</v>
      </c>
      <c r="E1255" s="3" t="s">
        <v>35</v>
      </c>
      <c r="F1255" s="3" t="s">
        <v>30</v>
      </c>
      <c r="G1255" s="3" t="s">
        <v>52</v>
      </c>
      <c r="H1255" s="3" t="s">
        <v>30</v>
      </c>
      <c r="I1255" s="3" t="s">
        <v>32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str">
        <f aca="false">IF(OR(NOT(OR(J1255=0,J1255=1)),NOT(OR(K1255=0,K1255=1)),NOT(OR(L1255=0,L1255=1)),NOT(OR(M1255=0,M1255=1)),NOT(OR(U1255=0,U1255=1))),"Yes","No")</f>
        <v>No</v>
      </c>
      <c r="O1255" s="0" t="str">
        <f aca="false">IF(OR(AND(M1255=1,L1255=0),AND(L1255=1,K1255=0),AND(K1255=1,J1255=0)),"Yes","No")</f>
        <v>No</v>
      </c>
      <c r="P1255" s="0" t="n">
        <v>0</v>
      </c>
      <c r="Q1255" s="0" t="str">
        <f aca="false">IF(OR(AND(M1255=0,P1255&gt;0),AND(M1255=1,P1255&lt;=0)),"Yes","No")</f>
        <v>No</v>
      </c>
      <c r="R1255" s="0" t="str">
        <f aca="false">IF(AND(M1255=1,P1255&gt;calc_helpers!$B$5),"Yes","No")</f>
        <v>No</v>
      </c>
      <c r="S1255" s="0" t="n">
        <v>0</v>
      </c>
      <c r="T1255" s="0" t="str">
        <f aca="false">IF(S1255&gt;0,"Yes","No")</f>
        <v>No</v>
      </c>
      <c r="U1255" s="0" t="n">
        <v>0</v>
      </c>
      <c r="W1255" s="0" t="str">
        <f aca="false">IF(OR(AND(M1255=1,ISBLANK(V1255)),AND(M1255=0,NOT(ISBLANK(V1255)))),"Yes","No")</f>
        <v>No</v>
      </c>
      <c r="X1255" s="0" t="n">
        <v>87.5</v>
      </c>
      <c r="Y1255" s="3" t="s">
        <v>30</v>
      </c>
      <c r="Z1255" s="0" t="str">
        <f aca="false">IF(M1255=1,P1255,"")</f>
        <v/>
      </c>
    </row>
    <row r="1256" customFormat="false" ht="15" hidden="false" customHeight="false" outlineLevel="0" collapsed="false">
      <c r="A1256" s="0" t="s">
        <v>1300</v>
      </c>
      <c r="B1256" s="2" t="n">
        <v>45724</v>
      </c>
      <c r="C1256" s="3" t="s">
        <v>736</v>
      </c>
      <c r="D1256" s="3" t="s">
        <v>43</v>
      </c>
      <c r="E1256" s="3" t="s">
        <v>29</v>
      </c>
      <c r="F1256" s="3" t="s">
        <v>30</v>
      </c>
      <c r="G1256" s="3" t="s">
        <v>52</v>
      </c>
      <c r="H1256" s="3" t="s">
        <v>30</v>
      </c>
      <c r="I1256" s="3" t="s">
        <v>32</v>
      </c>
      <c r="J1256" s="0" t="n">
        <v>1</v>
      </c>
      <c r="K1256" s="0" t="n">
        <v>0</v>
      </c>
      <c r="L1256" s="0" t="n">
        <v>0</v>
      </c>
      <c r="M1256" s="0" t="n">
        <v>0</v>
      </c>
      <c r="N1256" s="0" t="str">
        <f aca="false">IF(OR(NOT(OR(J1256=0,J1256=1)),NOT(OR(K1256=0,K1256=1)),NOT(OR(L1256=0,L1256=1)),NOT(OR(M1256=0,M1256=1)),NOT(OR(U1256=0,U1256=1))),"Yes","No")</f>
        <v>No</v>
      </c>
      <c r="O1256" s="0" t="str">
        <f aca="false">IF(OR(AND(M1256=1,L1256=0),AND(L1256=1,K1256=0),AND(K1256=1,J1256=0)),"Yes","No")</f>
        <v>No</v>
      </c>
      <c r="P1256" s="0" t="n">
        <v>0</v>
      </c>
      <c r="Q1256" s="0" t="str">
        <f aca="false">IF(OR(AND(M1256=0,P1256&gt;0),AND(M1256=1,P1256&lt;=0)),"Yes","No")</f>
        <v>No</v>
      </c>
      <c r="R1256" s="0" t="str">
        <f aca="false">IF(AND(M1256=1,P1256&gt;calc_helpers!$B$5),"Yes","No")</f>
        <v>No</v>
      </c>
      <c r="S1256" s="0" t="n">
        <v>0</v>
      </c>
      <c r="T1256" s="0" t="str">
        <f aca="false">IF(S1256&gt;0,"Yes","No")</f>
        <v>No</v>
      </c>
      <c r="U1256" s="0" t="n">
        <v>0</v>
      </c>
      <c r="W1256" s="0" t="str">
        <f aca="false">IF(OR(AND(M1256=1,ISBLANK(V1256)),AND(M1256=0,NOT(ISBLANK(V1256)))),"Yes","No")</f>
        <v>No</v>
      </c>
      <c r="X1256" s="0" t="n">
        <v>48.5</v>
      </c>
      <c r="Y1256" s="3" t="s">
        <v>30</v>
      </c>
      <c r="Z1256" s="0" t="str">
        <f aca="false">IF(M1256=1,P1256,"")</f>
        <v/>
      </c>
    </row>
    <row r="1257" customFormat="false" ht="15" hidden="false" customHeight="false" outlineLevel="0" collapsed="false">
      <c r="A1257" s="0" t="s">
        <v>1301</v>
      </c>
      <c r="B1257" s="2" t="n">
        <v>45684</v>
      </c>
      <c r="C1257" s="3" t="s">
        <v>736</v>
      </c>
      <c r="D1257" s="3" t="s">
        <v>39</v>
      </c>
      <c r="E1257" s="3" t="s">
        <v>29</v>
      </c>
      <c r="F1257" s="3" t="s">
        <v>30</v>
      </c>
      <c r="G1257" s="3" t="s">
        <v>167</v>
      </c>
      <c r="H1257" s="3" t="s">
        <v>168</v>
      </c>
      <c r="I1257" s="3" t="s">
        <v>37</v>
      </c>
      <c r="J1257" s="0" t="n">
        <v>1</v>
      </c>
      <c r="K1257" s="0" t="n">
        <v>1</v>
      </c>
      <c r="L1257" s="0" t="n">
        <v>1</v>
      </c>
      <c r="M1257" s="0" t="n">
        <v>1</v>
      </c>
      <c r="N1257" s="0" t="str">
        <f aca="false">IF(OR(NOT(OR(J1257=0,J1257=1)),NOT(OR(K1257=0,K1257=1)),NOT(OR(L1257=0,L1257=1)),NOT(OR(M1257=0,M1257=1)),NOT(OR(U1257=0,U1257=1))),"Yes","No")</f>
        <v>No</v>
      </c>
      <c r="O1257" s="0" t="str">
        <f aca="false">IF(OR(AND(M1257=1,L1257=0),AND(L1257=1,K1257=0),AND(K1257=1,J1257=0)),"Yes","No")</f>
        <v>No</v>
      </c>
      <c r="P1257" s="0" t="n">
        <v>420.27</v>
      </c>
      <c r="Q1257" s="0" t="str">
        <f aca="false">IF(OR(AND(M1257=0,P1257&gt;0),AND(M1257=1,P1257&lt;=0)),"Yes","No")</f>
        <v>No</v>
      </c>
      <c r="R1257" s="0" t="str">
        <f aca="false">IF(AND(M1257=1,P1257&gt;calc_helpers!$B$5),"Yes","No")</f>
        <v>No</v>
      </c>
      <c r="S1257" s="0" t="n">
        <v>0</v>
      </c>
      <c r="T1257" s="0" t="str">
        <f aca="false">IF(S1257&gt;0,"Yes","No")</f>
        <v>No</v>
      </c>
      <c r="U1257" s="0" t="n">
        <v>0</v>
      </c>
      <c r="V1257" s="0" t="n">
        <v>6</v>
      </c>
      <c r="W1257" s="0" t="str">
        <f aca="false">IF(OR(AND(M1257=1,ISBLANK(V1257)),AND(M1257=0,NOT(ISBLANK(V1257)))),"Yes","No")</f>
        <v>No</v>
      </c>
      <c r="X1257" s="0" t="n">
        <v>58.4</v>
      </c>
      <c r="Y1257" s="3" t="s">
        <v>30</v>
      </c>
      <c r="Z1257" s="3" t="n">
        <f aca="false">IF(M1257=1,P1257,"")</f>
        <v>420.27</v>
      </c>
    </row>
    <row r="1258" customFormat="false" ht="15" hidden="false" customHeight="false" outlineLevel="0" collapsed="false">
      <c r="A1258" s="0" t="s">
        <v>1302</v>
      </c>
      <c r="B1258" s="2" t="n">
        <v>45774</v>
      </c>
      <c r="C1258" s="3" t="s">
        <v>736</v>
      </c>
      <c r="D1258" s="3" t="s">
        <v>34</v>
      </c>
      <c r="E1258" s="3" t="s">
        <v>35</v>
      </c>
      <c r="F1258" s="3" t="s">
        <v>30</v>
      </c>
      <c r="G1258" s="3" t="s">
        <v>40</v>
      </c>
      <c r="H1258" s="3" t="s">
        <v>30</v>
      </c>
      <c r="I1258" s="3" t="s">
        <v>37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str">
        <f aca="false">IF(OR(NOT(OR(J1258=0,J1258=1)),NOT(OR(K1258=0,K1258=1)),NOT(OR(L1258=0,L1258=1)),NOT(OR(M1258=0,M1258=1)),NOT(OR(U1258=0,U1258=1))),"Yes","No")</f>
        <v>No</v>
      </c>
      <c r="O1258" s="0" t="str">
        <f aca="false">IF(OR(AND(M1258=1,L1258=0),AND(L1258=1,K1258=0),AND(K1258=1,J1258=0)),"Yes","No")</f>
        <v>No</v>
      </c>
      <c r="P1258" s="0" t="n">
        <v>0</v>
      </c>
      <c r="Q1258" s="0" t="str">
        <f aca="false">IF(OR(AND(M1258=0,P1258&gt;0),AND(M1258=1,P1258&lt;=0)),"Yes","No")</f>
        <v>No</v>
      </c>
      <c r="R1258" s="0" t="str">
        <f aca="false">IF(AND(M1258=1,P1258&gt;calc_helpers!$B$5),"Yes","No")</f>
        <v>No</v>
      </c>
      <c r="S1258" s="0" t="n">
        <v>0</v>
      </c>
      <c r="T1258" s="0" t="str">
        <f aca="false">IF(S1258&gt;0,"Yes","No")</f>
        <v>No</v>
      </c>
      <c r="U1258" s="0" t="n">
        <v>0</v>
      </c>
      <c r="W1258" s="0" t="str">
        <f aca="false">IF(OR(AND(M1258=1,ISBLANK(V1258)),AND(M1258=0,NOT(ISBLANK(V1258)))),"Yes","No")</f>
        <v>No</v>
      </c>
      <c r="X1258" s="0" t="n">
        <v>59.5</v>
      </c>
      <c r="Y1258" s="3" t="s">
        <v>30</v>
      </c>
      <c r="Z1258" s="0" t="str">
        <f aca="false">IF(M1258=1,P1258,"")</f>
        <v/>
      </c>
    </row>
    <row r="1259" customFormat="false" ht="15" hidden="false" customHeight="false" outlineLevel="0" collapsed="false">
      <c r="A1259" s="0" t="s">
        <v>1303</v>
      </c>
      <c r="B1259" s="2" t="n">
        <v>45673</v>
      </c>
      <c r="C1259" s="3" t="s">
        <v>736</v>
      </c>
      <c r="D1259" s="3" t="s">
        <v>34</v>
      </c>
      <c r="E1259" s="3" t="s">
        <v>29</v>
      </c>
      <c r="F1259" s="3" t="s">
        <v>30</v>
      </c>
      <c r="G1259" s="3" t="s">
        <v>40</v>
      </c>
      <c r="H1259" s="3" t="s">
        <v>30</v>
      </c>
      <c r="I1259" s="3" t="s">
        <v>32</v>
      </c>
      <c r="J1259" s="0" t="n">
        <v>1</v>
      </c>
      <c r="K1259" s="0" t="n">
        <v>0</v>
      </c>
      <c r="L1259" s="0" t="n">
        <v>0</v>
      </c>
      <c r="M1259" s="0" t="n">
        <v>0</v>
      </c>
      <c r="N1259" s="0" t="str">
        <f aca="false">IF(OR(NOT(OR(J1259=0,J1259=1)),NOT(OR(K1259=0,K1259=1)),NOT(OR(L1259=0,L1259=1)),NOT(OR(M1259=0,M1259=1)),NOT(OR(U1259=0,U1259=1))),"Yes","No")</f>
        <v>No</v>
      </c>
      <c r="O1259" s="0" t="str">
        <f aca="false">IF(OR(AND(M1259=1,L1259=0),AND(L1259=1,K1259=0),AND(K1259=1,J1259=0)),"Yes","No")</f>
        <v>No</v>
      </c>
      <c r="P1259" s="0" t="n">
        <v>0</v>
      </c>
      <c r="Q1259" s="0" t="str">
        <f aca="false">IF(OR(AND(M1259=0,P1259&gt;0),AND(M1259=1,P1259&lt;=0)),"Yes","No")</f>
        <v>No</v>
      </c>
      <c r="R1259" s="0" t="str">
        <f aca="false">IF(AND(M1259=1,P1259&gt;calc_helpers!$B$5),"Yes","No")</f>
        <v>No</v>
      </c>
      <c r="S1259" s="0" t="n">
        <v>0</v>
      </c>
      <c r="T1259" s="0" t="str">
        <f aca="false">IF(S1259&gt;0,"Yes","No")</f>
        <v>No</v>
      </c>
      <c r="U1259" s="0" t="n">
        <v>0</v>
      </c>
      <c r="W1259" s="0" t="str">
        <f aca="false">IF(OR(AND(M1259=1,ISBLANK(V1259)),AND(M1259=0,NOT(ISBLANK(V1259)))),"Yes","No")</f>
        <v>No</v>
      </c>
      <c r="X1259" s="0" t="n">
        <v>93.2</v>
      </c>
      <c r="Y1259" s="3" t="s">
        <v>30</v>
      </c>
      <c r="Z1259" s="0" t="str">
        <f aca="false">IF(M1259=1,P1259,"")</f>
        <v/>
      </c>
    </row>
    <row r="1260" customFormat="false" ht="15" hidden="false" customHeight="false" outlineLevel="0" collapsed="false">
      <c r="A1260" s="0" t="s">
        <v>1304</v>
      </c>
      <c r="B1260" s="2" t="n">
        <v>45675</v>
      </c>
      <c r="C1260" s="3" t="s">
        <v>736</v>
      </c>
      <c r="D1260" s="3" t="s">
        <v>34</v>
      </c>
      <c r="E1260" s="3" t="s">
        <v>29</v>
      </c>
      <c r="F1260" s="3" t="s">
        <v>30</v>
      </c>
      <c r="G1260" s="3" t="s">
        <v>40</v>
      </c>
      <c r="H1260" s="3" t="s">
        <v>30</v>
      </c>
      <c r="I1260" s="3" t="s">
        <v>32</v>
      </c>
      <c r="J1260" s="0" t="n">
        <v>1</v>
      </c>
      <c r="K1260" s="0" t="n">
        <v>0</v>
      </c>
      <c r="L1260" s="0" t="n">
        <v>0</v>
      </c>
      <c r="M1260" s="0" t="n">
        <v>0</v>
      </c>
      <c r="N1260" s="0" t="str">
        <f aca="false">IF(OR(NOT(OR(J1260=0,J1260=1)),NOT(OR(K1260=0,K1260=1)),NOT(OR(L1260=0,L1260=1)),NOT(OR(M1260=0,M1260=1)),NOT(OR(U1260=0,U1260=1))),"Yes","No")</f>
        <v>No</v>
      </c>
      <c r="O1260" s="0" t="str">
        <f aca="false">IF(OR(AND(M1260=1,L1260=0),AND(L1260=1,K1260=0),AND(K1260=1,J1260=0)),"Yes","No")</f>
        <v>No</v>
      </c>
      <c r="P1260" s="0" t="n">
        <v>0</v>
      </c>
      <c r="Q1260" s="0" t="str">
        <f aca="false">IF(OR(AND(M1260=0,P1260&gt;0),AND(M1260=1,P1260&lt;=0)),"Yes","No")</f>
        <v>No</v>
      </c>
      <c r="R1260" s="0" t="str">
        <f aca="false">IF(AND(M1260=1,P1260&gt;calc_helpers!$B$5),"Yes","No")</f>
        <v>No</v>
      </c>
      <c r="S1260" s="0" t="n">
        <v>0</v>
      </c>
      <c r="T1260" s="0" t="str">
        <f aca="false">IF(S1260&gt;0,"Yes","No")</f>
        <v>No</v>
      </c>
      <c r="U1260" s="0" t="n">
        <v>0</v>
      </c>
      <c r="W1260" s="0" t="str">
        <f aca="false">IF(OR(AND(M1260=1,ISBLANK(V1260)),AND(M1260=0,NOT(ISBLANK(V1260)))),"Yes","No")</f>
        <v>No</v>
      </c>
      <c r="X1260" s="0" t="n">
        <v>59</v>
      </c>
      <c r="Y1260" s="3" t="s">
        <v>30</v>
      </c>
      <c r="Z1260" s="0" t="str">
        <f aca="false">IF(M1260=1,P1260,"")</f>
        <v/>
      </c>
    </row>
    <row r="1261" customFormat="false" ht="15" hidden="false" customHeight="false" outlineLevel="0" collapsed="false">
      <c r="A1261" s="0" t="s">
        <v>1305</v>
      </c>
      <c r="B1261" s="2" t="n">
        <v>45737</v>
      </c>
      <c r="C1261" s="3" t="s">
        <v>736</v>
      </c>
      <c r="D1261" s="3" t="s">
        <v>28</v>
      </c>
      <c r="E1261" s="3" t="s">
        <v>35</v>
      </c>
      <c r="F1261" s="3" t="s">
        <v>30</v>
      </c>
      <c r="G1261" s="3" t="s">
        <v>36</v>
      </c>
      <c r="H1261" s="3" t="s">
        <v>30</v>
      </c>
      <c r="I1261" s="3" t="s">
        <v>37</v>
      </c>
      <c r="J1261" s="0" t="n">
        <v>1</v>
      </c>
      <c r="K1261" s="0" t="n">
        <v>0</v>
      </c>
      <c r="L1261" s="0" t="n">
        <v>0</v>
      </c>
      <c r="M1261" s="0" t="n">
        <v>0</v>
      </c>
      <c r="N1261" s="0" t="str">
        <f aca="false">IF(OR(NOT(OR(J1261=0,J1261=1)),NOT(OR(K1261=0,K1261=1)),NOT(OR(L1261=0,L1261=1)),NOT(OR(M1261=0,M1261=1)),NOT(OR(U1261=0,U1261=1))),"Yes","No")</f>
        <v>No</v>
      </c>
      <c r="O1261" s="0" t="str">
        <f aca="false">IF(OR(AND(M1261=1,L1261=0),AND(L1261=1,K1261=0),AND(K1261=1,J1261=0)),"Yes","No")</f>
        <v>No</v>
      </c>
      <c r="P1261" s="0" t="n">
        <v>0</v>
      </c>
      <c r="Q1261" s="0" t="str">
        <f aca="false">IF(OR(AND(M1261=0,P1261&gt;0),AND(M1261=1,P1261&lt;=0)),"Yes","No")</f>
        <v>No</v>
      </c>
      <c r="R1261" s="0" t="str">
        <f aca="false">IF(AND(M1261=1,P1261&gt;calc_helpers!$B$5),"Yes","No")</f>
        <v>No</v>
      </c>
      <c r="S1261" s="0" t="n">
        <v>0</v>
      </c>
      <c r="T1261" s="0" t="str">
        <f aca="false">IF(S1261&gt;0,"Yes","No")</f>
        <v>No</v>
      </c>
      <c r="U1261" s="0" t="n">
        <v>0</v>
      </c>
      <c r="W1261" s="0" t="str">
        <f aca="false">IF(OR(AND(M1261=1,ISBLANK(V1261)),AND(M1261=0,NOT(ISBLANK(V1261)))),"Yes","No")</f>
        <v>No</v>
      </c>
      <c r="X1261" s="0" t="n">
        <v>37</v>
      </c>
      <c r="Y1261" s="3" t="s">
        <v>30</v>
      </c>
      <c r="Z1261" s="0" t="str">
        <f aca="false">IF(M1261=1,P1261,"")</f>
        <v/>
      </c>
    </row>
    <row r="1262" customFormat="false" ht="15" hidden="false" customHeight="false" outlineLevel="0" collapsed="false">
      <c r="A1262" s="0" t="s">
        <v>1306</v>
      </c>
      <c r="B1262" s="2" t="n">
        <v>45749</v>
      </c>
      <c r="C1262" s="3" t="s">
        <v>736</v>
      </c>
      <c r="D1262" s="3" t="s">
        <v>28</v>
      </c>
      <c r="E1262" s="3" t="s">
        <v>29</v>
      </c>
      <c r="F1262" s="3" t="s">
        <v>30</v>
      </c>
      <c r="G1262" s="3" t="s">
        <v>40</v>
      </c>
      <c r="H1262" s="3" t="s">
        <v>30</v>
      </c>
      <c r="I1262" s="3" t="s">
        <v>37</v>
      </c>
      <c r="J1262" s="0" t="n">
        <v>1</v>
      </c>
      <c r="K1262" s="0" t="n">
        <v>0</v>
      </c>
      <c r="L1262" s="0" t="n">
        <v>0</v>
      </c>
      <c r="M1262" s="0" t="n">
        <v>0</v>
      </c>
      <c r="N1262" s="0" t="str">
        <f aca="false">IF(OR(NOT(OR(J1262=0,J1262=1)),NOT(OR(K1262=0,K1262=1)),NOT(OR(L1262=0,L1262=1)),NOT(OR(M1262=0,M1262=1)),NOT(OR(U1262=0,U1262=1))),"Yes","No")</f>
        <v>No</v>
      </c>
      <c r="O1262" s="0" t="str">
        <f aca="false">IF(OR(AND(M1262=1,L1262=0),AND(L1262=1,K1262=0),AND(K1262=1,J1262=0)),"Yes","No")</f>
        <v>No</v>
      </c>
      <c r="P1262" s="0" t="n">
        <v>0</v>
      </c>
      <c r="Q1262" s="0" t="str">
        <f aca="false">IF(OR(AND(M1262=0,P1262&gt;0),AND(M1262=1,P1262&lt;=0)),"Yes","No")</f>
        <v>No</v>
      </c>
      <c r="R1262" s="0" t="str">
        <f aca="false">IF(AND(M1262=1,P1262&gt;calc_helpers!$B$5),"Yes","No")</f>
        <v>No</v>
      </c>
      <c r="S1262" s="0" t="n">
        <v>0</v>
      </c>
      <c r="T1262" s="0" t="str">
        <f aca="false">IF(S1262&gt;0,"Yes","No")</f>
        <v>No</v>
      </c>
      <c r="U1262" s="0" t="n">
        <v>0</v>
      </c>
      <c r="W1262" s="0" t="str">
        <f aca="false">IF(OR(AND(M1262=1,ISBLANK(V1262)),AND(M1262=0,NOT(ISBLANK(V1262)))),"Yes","No")</f>
        <v>No</v>
      </c>
      <c r="X1262" s="0" t="n">
        <v>47.5</v>
      </c>
      <c r="Y1262" s="3" t="s">
        <v>30</v>
      </c>
      <c r="Z1262" s="0" t="str">
        <f aca="false">IF(M1262=1,P1262,"")</f>
        <v/>
      </c>
    </row>
    <row r="1263" customFormat="false" ht="15" hidden="false" customHeight="false" outlineLevel="0" collapsed="false">
      <c r="A1263" s="0" t="s">
        <v>1307</v>
      </c>
      <c r="B1263" s="2" t="n">
        <v>45704</v>
      </c>
      <c r="C1263" s="3" t="s">
        <v>736</v>
      </c>
      <c r="D1263" s="3" t="s">
        <v>34</v>
      </c>
      <c r="E1263" s="3" t="s">
        <v>29</v>
      </c>
      <c r="F1263" s="3" t="s">
        <v>30</v>
      </c>
      <c r="G1263" s="3" t="s">
        <v>36</v>
      </c>
      <c r="H1263" s="3" t="s">
        <v>30</v>
      </c>
      <c r="I1263" s="3" t="s">
        <v>37</v>
      </c>
      <c r="J1263" s="0" t="n">
        <v>1</v>
      </c>
      <c r="K1263" s="0" t="n">
        <v>1</v>
      </c>
      <c r="L1263" s="0" t="n">
        <v>1</v>
      </c>
      <c r="M1263" s="0" t="n">
        <v>0</v>
      </c>
      <c r="N1263" s="0" t="str">
        <f aca="false">IF(OR(NOT(OR(J1263=0,J1263=1)),NOT(OR(K1263=0,K1263=1)),NOT(OR(L1263=0,L1263=1)),NOT(OR(M1263=0,M1263=1)),NOT(OR(U1263=0,U1263=1))),"Yes","No")</f>
        <v>No</v>
      </c>
      <c r="O1263" s="0" t="str">
        <f aca="false">IF(OR(AND(M1263=1,L1263=0),AND(L1263=1,K1263=0),AND(K1263=1,J1263=0)),"Yes","No")</f>
        <v>No</v>
      </c>
      <c r="P1263" s="0" t="n">
        <v>0</v>
      </c>
      <c r="Q1263" s="0" t="str">
        <f aca="false">IF(OR(AND(M1263=0,P1263&gt;0),AND(M1263=1,P1263&lt;=0)),"Yes","No")</f>
        <v>No</v>
      </c>
      <c r="R1263" s="0" t="str">
        <f aca="false">IF(AND(M1263=1,P1263&gt;calc_helpers!$B$5),"Yes","No")</f>
        <v>No</v>
      </c>
      <c r="S1263" s="0" t="n">
        <v>0</v>
      </c>
      <c r="T1263" s="0" t="str">
        <f aca="false">IF(S1263&gt;0,"Yes","No")</f>
        <v>No</v>
      </c>
      <c r="U1263" s="0" t="n">
        <v>0</v>
      </c>
      <c r="W1263" s="0" t="str">
        <f aca="false">IF(OR(AND(M1263=1,ISBLANK(V1263)),AND(M1263=0,NOT(ISBLANK(V1263)))),"Yes","No")</f>
        <v>No</v>
      </c>
      <c r="X1263" s="0" t="n">
        <v>78.7</v>
      </c>
      <c r="Y1263" s="3" t="s">
        <v>30</v>
      </c>
      <c r="Z1263" s="0" t="str">
        <f aca="false">IF(M1263=1,P1263,"")</f>
        <v/>
      </c>
    </row>
    <row r="1264" customFormat="false" ht="15" hidden="false" customHeight="false" outlineLevel="0" collapsed="false">
      <c r="A1264" s="0" t="s">
        <v>1308</v>
      </c>
      <c r="B1264" s="2" t="n">
        <v>45706</v>
      </c>
      <c r="C1264" s="3" t="s">
        <v>736</v>
      </c>
      <c r="D1264" s="3" t="s">
        <v>28</v>
      </c>
      <c r="E1264" s="3" t="s">
        <v>35</v>
      </c>
      <c r="F1264" s="3" t="s">
        <v>30</v>
      </c>
      <c r="G1264" s="3" t="s">
        <v>52</v>
      </c>
      <c r="H1264" s="3" t="s">
        <v>30</v>
      </c>
      <c r="I1264" s="3" t="s">
        <v>37</v>
      </c>
      <c r="J1264" s="0" t="n">
        <v>1</v>
      </c>
      <c r="K1264" s="0" t="n">
        <v>0</v>
      </c>
      <c r="L1264" s="0" t="n">
        <v>0</v>
      </c>
      <c r="M1264" s="0" t="n">
        <v>0</v>
      </c>
      <c r="N1264" s="0" t="str">
        <f aca="false">IF(OR(NOT(OR(J1264=0,J1264=1)),NOT(OR(K1264=0,K1264=1)),NOT(OR(L1264=0,L1264=1)),NOT(OR(M1264=0,M1264=1)),NOT(OR(U1264=0,U1264=1))),"Yes","No")</f>
        <v>No</v>
      </c>
      <c r="O1264" s="0" t="str">
        <f aca="false">IF(OR(AND(M1264=1,L1264=0),AND(L1264=1,K1264=0),AND(K1264=1,J1264=0)),"Yes","No")</f>
        <v>No</v>
      </c>
      <c r="P1264" s="0" t="n">
        <v>0</v>
      </c>
      <c r="Q1264" s="0" t="str">
        <f aca="false">IF(OR(AND(M1264=0,P1264&gt;0),AND(M1264=1,P1264&lt;=0)),"Yes","No")</f>
        <v>No</v>
      </c>
      <c r="R1264" s="0" t="str">
        <f aca="false">IF(AND(M1264=1,P1264&gt;calc_helpers!$B$5),"Yes","No")</f>
        <v>No</v>
      </c>
      <c r="S1264" s="0" t="n">
        <v>0</v>
      </c>
      <c r="T1264" s="0" t="str">
        <f aca="false">IF(S1264&gt;0,"Yes","No")</f>
        <v>No</v>
      </c>
      <c r="U1264" s="0" t="n">
        <v>0</v>
      </c>
      <c r="W1264" s="0" t="str">
        <f aca="false">IF(OR(AND(M1264=1,ISBLANK(V1264)),AND(M1264=0,NOT(ISBLANK(V1264)))),"Yes","No")</f>
        <v>No</v>
      </c>
      <c r="X1264" s="0" t="n">
        <v>49.6</v>
      </c>
      <c r="Y1264" s="3" t="s">
        <v>30</v>
      </c>
      <c r="Z1264" s="0" t="str">
        <f aca="false">IF(M1264=1,P1264,"")</f>
        <v/>
      </c>
    </row>
    <row r="1265" customFormat="false" ht="15" hidden="false" customHeight="false" outlineLevel="0" collapsed="false">
      <c r="A1265" s="0" t="s">
        <v>1309</v>
      </c>
      <c r="B1265" s="2" t="n">
        <v>45666</v>
      </c>
      <c r="C1265" s="3" t="s">
        <v>736</v>
      </c>
      <c r="D1265" s="3" t="s">
        <v>39</v>
      </c>
      <c r="E1265" s="3" t="s">
        <v>35</v>
      </c>
      <c r="F1265" s="3" t="s">
        <v>30</v>
      </c>
      <c r="G1265" s="3" t="s">
        <v>36</v>
      </c>
      <c r="H1265" s="3" t="s">
        <v>30</v>
      </c>
      <c r="I1265" s="3" t="s">
        <v>37</v>
      </c>
      <c r="J1265" s="0" t="n">
        <v>1</v>
      </c>
      <c r="K1265" s="0" t="n">
        <v>0</v>
      </c>
      <c r="L1265" s="0" t="n">
        <v>0</v>
      </c>
      <c r="M1265" s="0" t="n">
        <v>0</v>
      </c>
      <c r="N1265" s="0" t="str">
        <f aca="false">IF(OR(NOT(OR(J1265=0,J1265=1)),NOT(OR(K1265=0,K1265=1)),NOT(OR(L1265=0,L1265=1)),NOT(OR(M1265=0,M1265=1)),NOT(OR(U1265=0,U1265=1))),"Yes","No")</f>
        <v>No</v>
      </c>
      <c r="O1265" s="0" t="str">
        <f aca="false">IF(OR(AND(M1265=1,L1265=0),AND(L1265=1,K1265=0),AND(K1265=1,J1265=0)),"Yes","No")</f>
        <v>No</v>
      </c>
      <c r="P1265" s="0" t="n">
        <v>0</v>
      </c>
      <c r="Q1265" s="0" t="str">
        <f aca="false">IF(OR(AND(M1265=0,P1265&gt;0),AND(M1265=1,P1265&lt;=0)),"Yes","No")</f>
        <v>No</v>
      </c>
      <c r="R1265" s="0" t="str">
        <f aca="false">IF(AND(M1265=1,P1265&gt;calc_helpers!$B$5),"Yes","No")</f>
        <v>No</v>
      </c>
      <c r="S1265" s="0" t="n">
        <v>0</v>
      </c>
      <c r="T1265" s="0" t="str">
        <f aca="false">IF(S1265&gt;0,"Yes","No")</f>
        <v>No</v>
      </c>
      <c r="U1265" s="0" t="n">
        <v>0</v>
      </c>
      <c r="W1265" s="0" t="str">
        <f aca="false">IF(OR(AND(M1265=1,ISBLANK(V1265)),AND(M1265=0,NOT(ISBLANK(V1265)))),"Yes","No")</f>
        <v>No</v>
      </c>
      <c r="X1265" s="0" t="n">
        <v>58</v>
      </c>
      <c r="Y1265" s="3" t="s">
        <v>30</v>
      </c>
      <c r="Z1265" s="0" t="str">
        <f aca="false">IF(M1265=1,P1265,"")</f>
        <v/>
      </c>
    </row>
    <row r="1266" customFormat="false" ht="15" hidden="false" customHeight="false" outlineLevel="0" collapsed="false">
      <c r="A1266" s="0" t="s">
        <v>1310</v>
      </c>
      <c r="B1266" s="2" t="n">
        <v>45706</v>
      </c>
      <c r="C1266" s="3" t="s">
        <v>736</v>
      </c>
      <c r="D1266" s="3" t="s">
        <v>28</v>
      </c>
      <c r="E1266" s="3" t="s">
        <v>29</v>
      </c>
      <c r="F1266" s="3" t="s">
        <v>30</v>
      </c>
      <c r="G1266" s="3" t="s">
        <v>40</v>
      </c>
      <c r="H1266" s="3" t="s">
        <v>30</v>
      </c>
      <c r="I1266" s="3" t="s">
        <v>37</v>
      </c>
      <c r="J1266" s="0" t="n">
        <v>1</v>
      </c>
      <c r="K1266" s="0" t="n">
        <v>0</v>
      </c>
      <c r="L1266" s="0" t="n">
        <v>0</v>
      </c>
      <c r="M1266" s="0" t="n">
        <v>0</v>
      </c>
      <c r="N1266" s="0" t="str">
        <f aca="false">IF(OR(NOT(OR(J1266=0,J1266=1)),NOT(OR(K1266=0,K1266=1)),NOT(OR(L1266=0,L1266=1)),NOT(OR(M1266=0,M1266=1)),NOT(OR(U1266=0,U1266=1))),"Yes","No")</f>
        <v>No</v>
      </c>
      <c r="O1266" s="0" t="str">
        <f aca="false">IF(OR(AND(M1266=1,L1266=0),AND(L1266=1,K1266=0),AND(K1266=1,J1266=0)),"Yes","No")</f>
        <v>No</v>
      </c>
      <c r="P1266" s="0" t="n">
        <v>0</v>
      </c>
      <c r="Q1266" s="0" t="str">
        <f aca="false">IF(OR(AND(M1266=0,P1266&gt;0),AND(M1266=1,P1266&lt;=0)),"Yes","No")</f>
        <v>No</v>
      </c>
      <c r="R1266" s="0" t="str">
        <f aca="false">IF(AND(M1266=1,P1266&gt;calc_helpers!$B$5),"Yes","No")</f>
        <v>No</v>
      </c>
      <c r="S1266" s="0" t="n">
        <v>1</v>
      </c>
      <c r="T1266" s="0" t="str">
        <f aca="false">IF(S1266&gt;0,"Yes","No")</f>
        <v>Yes</v>
      </c>
      <c r="U1266" s="0" t="n">
        <v>0</v>
      </c>
      <c r="W1266" s="0" t="str">
        <f aca="false">IF(OR(AND(M1266=1,ISBLANK(V1266)),AND(M1266=0,NOT(ISBLANK(V1266)))),"Yes","No")</f>
        <v>No</v>
      </c>
      <c r="X1266" s="0" t="n">
        <v>54.4</v>
      </c>
      <c r="Y1266" s="3" t="s">
        <v>30</v>
      </c>
      <c r="Z1266" s="0" t="str">
        <f aca="false">IF(M1266=1,P1266,"")</f>
        <v/>
      </c>
    </row>
    <row r="1267" customFormat="false" ht="15" hidden="false" customHeight="false" outlineLevel="0" collapsed="false">
      <c r="A1267" s="0" t="s">
        <v>1311</v>
      </c>
      <c r="B1267" s="2" t="n">
        <v>45667</v>
      </c>
      <c r="C1267" s="3" t="s">
        <v>736</v>
      </c>
      <c r="D1267" s="3" t="s">
        <v>39</v>
      </c>
      <c r="E1267" s="3" t="s">
        <v>35</v>
      </c>
      <c r="F1267" s="3" t="s">
        <v>30</v>
      </c>
      <c r="G1267" s="3" t="s">
        <v>50</v>
      </c>
      <c r="H1267" s="3" t="s">
        <v>30</v>
      </c>
      <c r="I1267" s="3" t="s">
        <v>37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str">
        <f aca="false">IF(OR(NOT(OR(J1267=0,J1267=1)),NOT(OR(K1267=0,K1267=1)),NOT(OR(L1267=0,L1267=1)),NOT(OR(M1267=0,M1267=1)),NOT(OR(U1267=0,U1267=1))),"Yes","No")</f>
        <v>No</v>
      </c>
      <c r="O1267" s="0" t="str">
        <f aca="false">IF(OR(AND(M1267=1,L1267=0),AND(L1267=1,K1267=0),AND(K1267=1,J1267=0)),"Yes","No")</f>
        <v>No</v>
      </c>
      <c r="P1267" s="0" t="n">
        <v>0</v>
      </c>
      <c r="Q1267" s="0" t="str">
        <f aca="false">IF(OR(AND(M1267=0,P1267&gt;0),AND(M1267=1,P1267&lt;=0)),"Yes","No")</f>
        <v>No</v>
      </c>
      <c r="R1267" s="0" t="str">
        <f aca="false">IF(AND(M1267=1,P1267&gt;calc_helpers!$B$5),"Yes","No")</f>
        <v>No</v>
      </c>
      <c r="S1267" s="0" t="n">
        <v>0</v>
      </c>
      <c r="T1267" s="0" t="str">
        <f aca="false">IF(S1267&gt;0,"Yes","No")</f>
        <v>No</v>
      </c>
      <c r="U1267" s="0" t="n">
        <v>0</v>
      </c>
      <c r="W1267" s="0" t="str">
        <f aca="false">IF(OR(AND(M1267=1,ISBLANK(V1267)),AND(M1267=0,NOT(ISBLANK(V1267)))),"Yes","No")</f>
        <v>No</v>
      </c>
      <c r="X1267" s="0" t="n">
        <v>33.7</v>
      </c>
      <c r="Y1267" s="3" t="s">
        <v>30</v>
      </c>
      <c r="Z1267" s="0" t="str">
        <f aca="false">IF(M1267=1,P1267,"")</f>
        <v/>
      </c>
    </row>
    <row r="1268" customFormat="false" ht="15" hidden="false" customHeight="false" outlineLevel="0" collapsed="false">
      <c r="A1268" s="0" t="s">
        <v>1312</v>
      </c>
      <c r="B1268" s="2" t="n">
        <v>45724</v>
      </c>
      <c r="C1268" s="3" t="s">
        <v>736</v>
      </c>
      <c r="D1268" s="3" t="s">
        <v>34</v>
      </c>
      <c r="E1268" s="3" t="s">
        <v>35</v>
      </c>
      <c r="F1268" s="3" t="s">
        <v>30</v>
      </c>
      <c r="G1268" s="3" t="s">
        <v>31</v>
      </c>
      <c r="H1268" s="3" t="s">
        <v>30</v>
      </c>
      <c r="I1268" s="3" t="s">
        <v>37</v>
      </c>
      <c r="J1268" s="0" t="n">
        <v>1</v>
      </c>
      <c r="K1268" s="0" t="n">
        <v>0</v>
      </c>
      <c r="L1268" s="0" t="n">
        <v>0</v>
      </c>
      <c r="M1268" s="0" t="n">
        <v>0</v>
      </c>
      <c r="N1268" s="0" t="str">
        <f aca="false">IF(OR(NOT(OR(J1268=0,J1268=1)),NOT(OR(K1268=0,K1268=1)),NOT(OR(L1268=0,L1268=1)),NOT(OR(M1268=0,M1268=1)),NOT(OR(U1268=0,U1268=1))),"Yes","No")</f>
        <v>No</v>
      </c>
      <c r="O1268" s="0" t="str">
        <f aca="false">IF(OR(AND(M1268=1,L1268=0),AND(L1268=1,K1268=0),AND(K1268=1,J1268=0)),"Yes","No")</f>
        <v>No</v>
      </c>
      <c r="P1268" s="0" t="n">
        <v>0</v>
      </c>
      <c r="Q1268" s="0" t="str">
        <f aca="false">IF(OR(AND(M1268=0,P1268&gt;0),AND(M1268=1,P1268&lt;=0)),"Yes","No")</f>
        <v>No</v>
      </c>
      <c r="R1268" s="0" t="str">
        <f aca="false">IF(AND(M1268=1,P1268&gt;calc_helpers!$B$5),"Yes","No")</f>
        <v>No</v>
      </c>
      <c r="S1268" s="0" t="n">
        <v>0</v>
      </c>
      <c r="T1268" s="0" t="str">
        <f aca="false">IF(S1268&gt;0,"Yes","No")</f>
        <v>No</v>
      </c>
      <c r="U1268" s="0" t="n">
        <v>0</v>
      </c>
      <c r="W1268" s="0" t="str">
        <f aca="false">IF(OR(AND(M1268=1,ISBLANK(V1268)),AND(M1268=0,NOT(ISBLANK(V1268)))),"Yes","No")</f>
        <v>No</v>
      </c>
      <c r="X1268" s="0" t="n">
        <v>72.7</v>
      </c>
      <c r="Y1268" s="3" t="s">
        <v>30</v>
      </c>
      <c r="Z1268" s="0" t="str">
        <f aca="false">IF(M1268=1,P1268,"")</f>
        <v/>
      </c>
    </row>
    <row r="1269" customFormat="false" ht="15" hidden="false" customHeight="false" outlineLevel="0" collapsed="false">
      <c r="A1269" s="0" t="s">
        <v>1313</v>
      </c>
      <c r="B1269" s="2" t="n">
        <v>45763</v>
      </c>
      <c r="C1269" s="3" t="s">
        <v>736</v>
      </c>
      <c r="D1269" s="3" t="s">
        <v>39</v>
      </c>
      <c r="E1269" s="3" t="s">
        <v>29</v>
      </c>
      <c r="F1269" s="3" t="s">
        <v>30</v>
      </c>
      <c r="G1269" s="3" t="s">
        <v>40</v>
      </c>
      <c r="H1269" s="3" t="s">
        <v>30</v>
      </c>
      <c r="I1269" s="3" t="s">
        <v>32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str">
        <f aca="false">IF(OR(NOT(OR(J1269=0,J1269=1)),NOT(OR(K1269=0,K1269=1)),NOT(OR(L1269=0,L1269=1)),NOT(OR(M1269=0,M1269=1)),NOT(OR(U1269=0,U1269=1))),"Yes","No")</f>
        <v>No</v>
      </c>
      <c r="O1269" s="0" t="str">
        <f aca="false">IF(OR(AND(M1269=1,L1269=0),AND(L1269=1,K1269=0),AND(K1269=1,J1269=0)),"Yes","No")</f>
        <v>No</v>
      </c>
      <c r="P1269" s="0" t="n">
        <v>0</v>
      </c>
      <c r="Q1269" s="0" t="str">
        <f aca="false">IF(OR(AND(M1269=0,P1269&gt;0),AND(M1269=1,P1269&lt;=0)),"Yes","No")</f>
        <v>No</v>
      </c>
      <c r="R1269" s="0" t="str">
        <f aca="false">IF(AND(M1269=1,P1269&gt;calc_helpers!$B$5),"Yes","No")</f>
        <v>No</v>
      </c>
      <c r="S1269" s="0" t="n">
        <v>0</v>
      </c>
      <c r="T1269" s="0" t="str">
        <f aca="false">IF(S1269&gt;0,"Yes","No")</f>
        <v>No</v>
      </c>
      <c r="U1269" s="0" t="n">
        <v>0</v>
      </c>
      <c r="W1269" s="0" t="str">
        <f aca="false">IF(OR(AND(M1269=1,ISBLANK(V1269)),AND(M1269=0,NOT(ISBLANK(V1269)))),"Yes","No")</f>
        <v>No</v>
      </c>
      <c r="X1269" s="0" t="n">
        <v>64.7</v>
      </c>
      <c r="Y1269" s="3" t="s">
        <v>30</v>
      </c>
      <c r="Z1269" s="0" t="str">
        <f aca="false">IF(M1269=1,P1269,"")</f>
        <v/>
      </c>
    </row>
    <row r="1270" customFormat="false" ht="15" hidden="false" customHeight="false" outlineLevel="0" collapsed="false">
      <c r="A1270" s="0" t="s">
        <v>1314</v>
      </c>
      <c r="B1270" s="2" t="n">
        <v>45707</v>
      </c>
      <c r="C1270" s="3" t="s">
        <v>736</v>
      </c>
      <c r="D1270" s="3" t="s">
        <v>34</v>
      </c>
      <c r="E1270" s="3" t="s">
        <v>29</v>
      </c>
      <c r="F1270" s="3" t="s">
        <v>30</v>
      </c>
      <c r="G1270" s="3" t="s">
        <v>40</v>
      </c>
      <c r="H1270" s="3" t="s">
        <v>30</v>
      </c>
      <c r="I1270" s="3" t="s">
        <v>41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str">
        <f aca="false">IF(OR(NOT(OR(J1270=0,J1270=1)),NOT(OR(K1270=0,K1270=1)),NOT(OR(L1270=0,L1270=1)),NOT(OR(M1270=0,M1270=1)),NOT(OR(U1270=0,U1270=1))),"Yes","No")</f>
        <v>No</v>
      </c>
      <c r="O1270" s="0" t="str">
        <f aca="false">IF(OR(AND(M1270=1,L1270=0),AND(L1270=1,K1270=0),AND(K1270=1,J1270=0)),"Yes","No")</f>
        <v>No</v>
      </c>
      <c r="P1270" s="0" t="n">
        <v>0</v>
      </c>
      <c r="Q1270" s="0" t="str">
        <f aca="false">IF(OR(AND(M1270=0,P1270&gt;0),AND(M1270=1,P1270&lt;=0)),"Yes","No")</f>
        <v>No</v>
      </c>
      <c r="R1270" s="0" t="str">
        <f aca="false">IF(AND(M1270=1,P1270&gt;calc_helpers!$B$5),"Yes","No")</f>
        <v>No</v>
      </c>
      <c r="S1270" s="0" t="n">
        <v>1</v>
      </c>
      <c r="T1270" s="0" t="str">
        <f aca="false">IF(S1270&gt;0,"Yes","No")</f>
        <v>Yes</v>
      </c>
      <c r="U1270" s="0" t="n">
        <v>0</v>
      </c>
      <c r="W1270" s="0" t="str">
        <f aca="false">IF(OR(AND(M1270=1,ISBLANK(V1270)),AND(M1270=0,NOT(ISBLANK(V1270)))),"Yes","No")</f>
        <v>No</v>
      </c>
      <c r="X1270" s="0" t="n">
        <v>48.6</v>
      </c>
      <c r="Y1270" s="3" t="s">
        <v>30</v>
      </c>
      <c r="Z1270" s="0" t="str">
        <f aca="false">IF(M1270=1,P1270,"")</f>
        <v/>
      </c>
    </row>
    <row r="1271" customFormat="false" ht="15" hidden="false" customHeight="false" outlineLevel="0" collapsed="false">
      <c r="A1271" s="0" t="s">
        <v>1315</v>
      </c>
      <c r="B1271" s="2" t="n">
        <v>45732</v>
      </c>
      <c r="C1271" s="3" t="s">
        <v>736</v>
      </c>
      <c r="D1271" s="3" t="s">
        <v>39</v>
      </c>
      <c r="E1271" s="3" t="s">
        <v>29</v>
      </c>
      <c r="F1271" s="3" t="s">
        <v>30</v>
      </c>
      <c r="G1271" s="3" t="s">
        <v>52</v>
      </c>
      <c r="H1271" s="3" t="s">
        <v>30</v>
      </c>
      <c r="I1271" s="3" t="s">
        <v>37</v>
      </c>
      <c r="J1271" s="0" t="n">
        <v>1</v>
      </c>
      <c r="K1271" s="0" t="n">
        <v>1</v>
      </c>
      <c r="L1271" s="0" t="n">
        <v>0</v>
      </c>
      <c r="M1271" s="0" t="n">
        <v>0</v>
      </c>
      <c r="N1271" s="0" t="str">
        <f aca="false">IF(OR(NOT(OR(J1271=0,J1271=1)),NOT(OR(K1271=0,K1271=1)),NOT(OR(L1271=0,L1271=1)),NOT(OR(M1271=0,M1271=1)),NOT(OR(U1271=0,U1271=1))),"Yes","No")</f>
        <v>No</v>
      </c>
      <c r="O1271" s="0" t="str">
        <f aca="false">IF(OR(AND(M1271=1,L1271=0),AND(L1271=1,K1271=0),AND(K1271=1,J1271=0)),"Yes","No")</f>
        <v>No</v>
      </c>
      <c r="P1271" s="0" t="n">
        <v>0</v>
      </c>
      <c r="Q1271" s="0" t="str">
        <f aca="false">IF(OR(AND(M1271=0,P1271&gt;0),AND(M1271=1,P1271&lt;=0)),"Yes","No")</f>
        <v>No</v>
      </c>
      <c r="R1271" s="0" t="str">
        <f aca="false">IF(AND(M1271=1,P1271&gt;calc_helpers!$B$5),"Yes","No")</f>
        <v>No</v>
      </c>
      <c r="S1271" s="0" t="n">
        <v>0</v>
      </c>
      <c r="T1271" s="0" t="str">
        <f aca="false">IF(S1271&gt;0,"Yes","No")</f>
        <v>No</v>
      </c>
      <c r="U1271" s="0" t="n">
        <v>0</v>
      </c>
      <c r="W1271" s="0" t="str">
        <f aca="false">IF(OR(AND(M1271=1,ISBLANK(V1271)),AND(M1271=0,NOT(ISBLANK(V1271)))),"Yes","No")</f>
        <v>No</v>
      </c>
      <c r="X1271" s="0" t="n">
        <v>66.2</v>
      </c>
      <c r="Y1271" s="3" t="s">
        <v>30</v>
      </c>
      <c r="Z1271" s="0" t="str">
        <f aca="false">IF(M1271=1,P1271,"")</f>
        <v/>
      </c>
    </row>
    <row r="1272" customFormat="false" ht="15" hidden="false" customHeight="false" outlineLevel="0" collapsed="false">
      <c r="A1272" s="0" t="s">
        <v>1316</v>
      </c>
      <c r="B1272" s="2" t="n">
        <v>45691</v>
      </c>
      <c r="C1272" s="3" t="s">
        <v>736</v>
      </c>
      <c r="D1272" s="3" t="s">
        <v>34</v>
      </c>
      <c r="E1272" s="3" t="s">
        <v>167</v>
      </c>
      <c r="F1272" s="3" t="s">
        <v>168</v>
      </c>
      <c r="G1272" s="3" t="s">
        <v>50</v>
      </c>
      <c r="H1272" s="3" t="s">
        <v>30</v>
      </c>
      <c r="I1272" s="3" t="s">
        <v>32</v>
      </c>
      <c r="J1272" s="0" t="n">
        <v>1</v>
      </c>
      <c r="K1272" s="0" t="n">
        <v>0</v>
      </c>
      <c r="L1272" s="0" t="n">
        <v>0</v>
      </c>
      <c r="M1272" s="0" t="n">
        <v>0</v>
      </c>
      <c r="N1272" s="0" t="str">
        <f aca="false">IF(OR(NOT(OR(J1272=0,J1272=1)),NOT(OR(K1272=0,K1272=1)),NOT(OR(L1272=0,L1272=1)),NOT(OR(M1272=0,M1272=1)),NOT(OR(U1272=0,U1272=1))),"Yes","No")</f>
        <v>No</v>
      </c>
      <c r="O1272" s="0" t="str">
        <f aca="false">IF(OR(AND(M1272=1,L1272=0),AND(L1272=1,K1272=0),AND(K1272=1,J1272=0)),"Yes","No")</f>
        <v>No</v>
      </c>
      <c r="P1272" s="0" t="n">
        <v>0</v>
      </c>
      <c r="Q1272" s="0" t="str">
        <f aca="false">IF(OR(AND(M1272=0,P1272&gt;0),AND(M1272=1,P1272&lt;=0)),"Yes","No")</f>
        <v>No</v>
      </c>
      <c r="R1272" s="0" t="str">
        <f aca="false">IF(AND(M1272=1,P1272&gt;calc_helpers!$B$5),"Yes","No")</f>
        <v>No</v>
      </c>
      <c r="S1272" s="0" t="n">
        <v>1</v>
      </c>
      <c r="T1272" s="0" t="str">
        <f aca="false">IF(S1272&gt;0,"Yes","No")</f>
        <v>Yes</v>
      </c>
      <c r="U1272" s="0" t="n">
        <v>0</v>
      </c>
      <c r="W1272" s="0" t="str">
        <f aca="false">IF(OR(AND(M1272=1,ISBLANK(V1272)),AND(M1272=0,NOT(ISBLANK(V1272)))),"Yes","No")</f>
        <v>No</v>
      </c>
      <c r="X1272" s="0" t="n">
        <v>60.7</v>
      </c>
      <c r="Y1272" s="3" t="s">
        <v>30</v>
      </c>
      <c r="Z1272" s="0" t="str">
        <f aca="false">IF(M1272=1,P1272,"")</f>
        <v/>
      </c>
    </row>
    <row r="1273" customFormat="false" ht="15" hidden="false" customHeight="false" outlineLevel="0" collapsed="false">
      <c r="A1273" s="0" t="s">
        <v>1317</v>
      </c>
      <c r="B1273" s="2" t="n">
        <v>45728</v>
      </c>
      <c r="C1273" s="3" t="s">
        <v>736</v>
      </c>
      <c r="D1273" s="3" t="s">
        <v>34</v>
      </c>
      <c r="E1273" s="3" t="s">
        <v>35</v>
      </c>
      <c r="F1273" s="3" t="s">
        <v>30</v>
      </c>
      <c r="G1273" s="3" t="s">
        <v>40</v>
      </c>
      <c r="H1273" s="3" t="s">
        <v>30</v>
      </c>
      <c r="I1273" s="3" t="s">
        <v>32</v>
      </c>
      <c r="J1273" s="0" t="n">
        <v>1</v>
      </c>
      <c r="K1273" s="0" t="n">
        <v>0</v>
      </c>
      <c r="L1273" s="0" t="n">
        <v>0</v>
      </c>
      <c r="M1273" s="0" t="n">
        <v>0</v>
      </c>
      <c r="N1273" s="0" t="str">
        <f aca="false">IF(OR(NOT(OR(J1273=0,J1273=1)),NOT(OR(K1273=0,K1273=1)),NOT(OR(L1273=0,L1273=1)),NOT(OR(M1273=0,M1273=1)),NOT(OR(U1273=0,U1273=1))),"Yes","No")</f>
        <v>No</v>
      </c>
      <c r="O1273" s="0" t="str">
        <f aca="false">IF(OR(AND(M1273=1,L1273=0),AND(L1273=1,K1273=0),AND(K1273=1,J1273=0)),"Yes","No")</f>
        <v>No</v>
      </c>
      <c r="P1273" s="0" t="n">
        <v>0</v>
      </c>
      <c r="Q1273" s="0" t="str">
        <f aca="false">IF(OR(AND(M1273=0,P1273&gt;0),AND(M1273=1,P1273&lt;=0)),"Yes","No")</f>
        <v>No</v>
      </c>
      <c r="R1273" s="0" t="str">
        <f aca="false">IF(AND(M1273=1,P1273&gt;calc_helpers!$B$5),"Yes","No")</f>
        <v>No</v>
      </c>
      <c r="S1273" s="0" t="n">
        <v>0</v>
      </c>
      <c r="T1273" s="0" t="str">
        <f aca="false">IF(S1273&gt;0,"Yes","No")</f>
        <v>No</v>
      </c>
      <c r="U1273" s="0" t="n">
        <v>0</v>
      </c>
      <c r="W1273" s="0" t="str">
        <f aca="false">IF(OR(AND(M1273=1,ISBLANK(V1273)),AND(M1273=0,NOT(ISBLANK(V1273)))),"Yes","No")</f>
        <v>No</v>
      </c>
      <c r="X1273" s="0" t="n">
        <v>36.5</v>
      </c>
      <c r="Y1273" s="3" t="s">
        <v>30</v>
      </c>
      <c r="Z1273" s="0" t="str">
        <f aca="false">IF(M1273=1,P1273,"")</f>
        <v/>
      </c>
    </row>
    <row r="1274" customFormat="false" ht="15" hidden="false" customHeight="false" outlineLevel="0" collapsed="false">
      <c r="A1274" s="0" t="s">
        <v>1318</v>
      </c>
      <c r="B1274" s="2" t="n">
        <v>45786</v>
      </c>
      <c r="C1274" s="3" t="s">
        <v>736</v>
      </c>
      <c r="D1274" s="3" t="s">
        <v>34</v>
      </c>
      <c r="E1274" s="3" t="s">
        <v>35</v>
      </c>
      <c r="F1274" s="3" t="s">
        <v>30</v>
      </c>
      <c r="G1274" s="3" t="s">
        <v>52</v>
      </c>
      <c r="H1274" s="3" t="s">
        <v>30</v>
      </c>
      <c r="I1274" s="3" t="s">
        <v>37</v>
      </c>
      <c r="J1274" s="0" t="n">
        <v>1</v>
      </c>
      <c r="K1274" s="0" t="n">
        <v>1</v>
      </c>
      <c r="L1274" s="0" t="n">
        <v>1</v>
      </c>
      <c r="M1274" s="0" t="n">
        <v>0</v>
      </c>
      <c r="N1274" s="0" t="str">
        <f aca="false">IF(OR(NOT(OR(J1274=0,J1274=1)),NOT(OR(K1274=0,K1274=1)),NOT(OR(L1274=0,L1274=1)),NOT(OR(M1274=0,M1274=1)),NOT(OR(U1274=0,U1274=1))),"Yes","No")</f>
        <v>No</v>
      </c>
      <c r="O1274" s="0" t="str">
        <f aca="false">IF(OR(AND(M1274=1,L1274=0),AND(L1274=1,K1274=0),AND(K1274=1,J1274=0)),"Yes","No")</f>
        <v>No</v>
      </c>
      <c r="P1274" s="0" t="n">
        <v>0</v>
      </c>
      <c r="Q1274" s="0" t="str">
        <f aca="false">IF(OR(AND(M1274=0,P1274&gt;0),AND(M1274=1,P1274&lt;=0)),"Yes","No")</f>
        <v>No</v>
      </c>
      <c r="R1274" s="0" t="str">
        <f aca="false">IF(AND(M1274=1,P1274&gt;calc_helpers!$B$5),"Yes","No")</f>
        <v>No</v>
      </c>
      <c r="S1274" s="0" t="n">
        <v>3</v>
      </c>
      <c r="T1274" s="0" t="str">
        <f aca="false">IF(S1274&gt;0,"Yes","No")</f>
        <v>Yes</v>
      </c>
      <c r="U1274" s="0" t="n">
        <v>0</v>
      </c>
      <c r="W1274" s="0" t="str">
        <f aca="false">IF(OR(AND(M1274=1,ISBLANK(V1274)),AND(M1274=0,NOT(ISBLANK(V1274)))),"Yes","No")</f>
        <v>No</v>
      </c>
      <c r="X1274" s="0" t="n">
        <v>69.7</v>
      </c>
      <c r="Y1274" s="3" t="s">
        <v>30</v>
      </c>
      <c r="Z1274" s="0" t="str">
        <f aca="false">IF(M1274=1,P1274,"")</f>
        <v/>
      </c>
    </row>
    <row r="1275" customFormat="false" ht="15" hidden="false" customHeight="false" outlineLevel="0" collapsed="false">
      <c r="A1275" s="0" t="s">
        <v>1319</v>
      </c>
      <c r="B1275" s="2" t="n">
        <v>45676</v>
      </c>
      <c r="C1275" s="3" t="s">
        <v>736</v>
      </c>
      <c r="D1275" s="3" t="s">
        <v>43</v>
      </c>
      <c r="E1275" s="3" t="s">
        <v>29</v>
      </c>
      <c r="F1275" s="3" t="s">
        <v>30</v>
      </c>
      <c r="G1275" s="3" t="s">
        <v>52</v>
      </c>
      <c r="H1275" s="3" t="s">
        <v>30</v>
      </c>
      <c r="I1275" s="3" t="s">
        <v>41</v>
      </c>
      <c r="J1275" s="0" t="n">
        <v>1</v>
      </c>
      <c r="K1275" s="0" t="n">
        <v>0</v>
      </c>
      <c r="L1275" s="0" t="n">
        <v>0</v>
      </c>
      <c r="M1275" s="0" t="n">
        <v>0</v>
      </c>
      <c r="N1275" s="0" t="str">
        <f aca="false">IF(OR(NOT(OR(J1275=0,J1275=1)),NOT(OR(K1275=0,K1275=1)),NOT(OR(L1275=0,L1275=1)),NOT(OR(M1275=0,M1275=1)),NOT(OR(U1275=0,U1275=1))),"Yes","No")</f>
        <v>No</v>
      </c>
      <c r="O1275" s="0" t="str">
        <f aca="false">IF(OR(AND(M1275=1,L1275=0),AND(L1275=1,K1275=0),AND(K1275=1,J1275=0)),"Yes","No")</f>
        <v>No</v>
      </c>
      <c r="P1275" s="0" t="n">
        <v>0</v>
      </c>
      <c r="Q1275" s="0" t="str">
        <f aca="false">IF(OR(AND(M1275=0,P1275&gt;0),AND(M1275=1,P1275&lt;=0)),"Yes","No")</f>
        <v>No</v>
      </c>
      <c r="R1275" s="0" t="str">
        <f aca="false">IF(AND(M1275=1,P1275&gt;calc_helpers!$B$5),"Yes","No")</f>
        <v>No</v>
      </c>
      <c r="S1275" s="0" t="n">
        <v>0</v>
      </c>
      <c r="T1275" s="0" t="str">
        <f aca="false">IF(S1275&gt;0,"Yes","No")</f>
        <v>No</v>
      </c>
      <c r="U1275" s="0" t="n">
        <v>0</v>
      </c>
      <c r="W1275" s="0" t="str">
        <f aca="false">IF(OR(AND(M1275=1,ISBLANK(V1275)),AND(M1275=0,NOT(ISBLANK(V1275)))),"Yes","No")</f>
        <v>No</v>
      </c>
      <c r="X1275" s="0" t="n">
        <v>81.8</v>
      </c>
      <c r="Y1275" s="3" t="s">
        <v>30</v>
      </c>
      <c r="Z1275" s="0" t="str">
        <f aca="false">IF(M1275=1,P1275,"")</f>
        <v/>
      </c>
    </row>
    <row r="1276" customFormat="false" ht="15" hidden="false" customHeight="false" outlineLevel="0" collapsed="false">
      <c r="A1276" s="0" t="s">
        <v>1320</v>
      </c>
      <c r="B1276" s="2" t="n">
        <v>45681</v>
      </c>
      <c r="C1276" s="3" t="s">
        <v>736</v>
      </c>
      <c r="D1276" s="3" t="s">
        <v>34</v>
      </c>
      <c r="E1276" s="3" t="s">
        <v>35</v>
      </c>
      <c r="F1276" s="3" t="s">
        <v>30</v>
      </c>
      <c r="G1276" s="3" t="s">
        <v>50</v>
      </c>
      <c r="H1276" s="3" t="s">
        <v>30</v>
      </c>
      <c r="I1276" s="3" t="s">
        <v>37</v>
      </c>
      <c r="J1276" s="0" t="n">
        <v>1</v>
      </c>
      <c r="K1276" s="0" t="n">
        <v>1</v>
      </c>
      <c r="L1276" s="0" t="n">
        <v>1</v>
      </c>
      <c r="M1276" s="0" t="n">
        <v>0</v>
      </c>
      <c r="N1276" s="0" t="str">
        <f aca="false">IF(OR(NOT(OR(J1276=0,J1276=1)),NOT(OR(K1276=0,K1276=1)),NOT(OR(L1276=0,L1276=1)),NOT(OR(M1276=0,M1276=1)),NOT(OR(U1276=0,U1276=1))),"Yes","No")</f>
        <v>No</v>
      </c>
      <c r="O1276" s="0" t="str">
        <f aca="false">IF(OR(AND(M1276=1,L1276=0),AND(L1276=1,K1276=0),AND(K1276=1,J1276=0)),"Yes","No")</f>
        <v>No</v>
      </c>
      <c r="P1276" s="0" t="n">
        <v>0</v>
      </c>
      <c r="Q1276" s="0" t="str">
        <f aca="false">IF(OR(AND(M1276=0,P1276&gt;0),AND(M1276=1,P1276&lt;=0)),"Yes","No")</f>
        <v>No</v>
      </c>
      <c r="R1276" s="0" t="str">
        <f aca="false">IF(AND(M1276=1,P1276&gt;calc_helpers!$B$5),"Yes","No")</f>
        <v>No</v>
      </c>
      <c r="S1276" s="0" t="n">
        <v>1</v>
      </c>
      <c r="T1276" s="0" t="str">
        <f aca="false">IF(S1276&gt;0,"Yes","No")</f>
        <v>Yes</v>
      </c>
      <c r="U1276" s="0" t="n">
        <v>0</v>
      </c>
      <c r="W1276" s="0" t="str">
        <f aca="false">IF(OR(AND(M1276=1,ISBLANK(V1276)),AND(M1276=0,NOT(ISBLANK(V1276)))),"Yes","No")</f>
        <v>No</v>
      </c>
      <c r="X1276" s="0" t="n">
        <v>78.3</v>
      </c>
      <c r="Y1276" s="3" t="s">
        <v>30</v>
      </c>
      <c r="Z1276" s="0" t="str">
        <f aca="false">IF(M1276=1,P1276,"")</f>
        <v/>
      </c>
    </row>
    <row r="1277" customFormat="false" ht="15" hidden="false" customHeight="false" outlineLevel="0" collapsed="false">
      <c r="A1277" s="0" t="s">
        <v>1321</v>
      </c>
      <c r="B1277" s="2" t="n">
        <v>45719</v>
      </c>
      <c r="C1277" s="3" t="s">
        <v>736</v>
      </c>
      <c r="D1277" s="3" t="s">
        <v>39</v>
      </c>
      <c r="E1277" s="3" t="s">
        <v>35</v>
      </c>
      <c r="F1277" s="3" t="s">
        <v>30</v>
      </c>
      <c r="G1277" s="3" t="s">
        <v>50</v>
      </c>
      <c r="H1277" s="3" t="s">
        <v>30</v>
      </c>
      <c r="I1277" s="3" t="s">
        <v>37</v>
      </c>
      <c r="J1277" s="0" t="n">
        <v>1</v>
      </c>
      <c r="K1277" s="0" t="n">
        <v>1</v>
      </c>
      <c r="L1277" s="0" t="n">
        <v>0</v>
      </c>
      <c r="M1277" s="0" t="n">
        <v>0</v>
      </c>
      <c r="N1277" s="0" t="str">
        <f aca="false">IF(OR(NOT(OR(J1277=0,J1277=1)),NOT(OR(K1277=0,K1277=1)),NOT(OR(L1277=0,L1277=1)),NOT(OR(M1277=0,M1277=1)),NOT(OR(U1277=0,U1277=1))),"Yes","No")</f>
        <v>No</v>
      </c>
      <c r="O1277" s="0" t="str">
        <f aca="false">IF(OR(AND(M1277=1,L1277=0),AND(L1277=1,K1277=0),AND(K1277=1,J1277=0)),"Yes","No")</f>
        <v>No</v>
      </c>
      <c r="P1277" s="0" t="n">
        <v>0</v>
      </c>
      <c r="Q1277" s="0" t="str">
        <f aca="false">IF(OR(AND(M1277=0,P1277&gt;0),AND(M1277=1,P1277&lt;=0)),"Yes","No")</f>
        <v>No</v>
      </c>
      <c r="R1277" s="0" t="str">
        <f aca="false">IF(AND(M1277=1,P1277&gt;calc_helpers!$B$5),"Yes","No")</f>
        <v>No</v>
      </c>
      <c r="S1277" s="0" t="n">
        <v>0</v>
      </c>
      <c r="T1277" s="0" t="str">
        <f aca="false">IF(S1277&gt;0,"Yes","No")</f>
        <v>No</v>
      </c>
      <c r="U1277" s="0" t="n">
        <v>0</v>
      </c>
      <c r="W1277" s="0" t="str">
        <f aca="false">IF(OR(AND(M1277=1,ISBLANK(V1277)),AND(M1277=0,NOT(ISBLANK(V1277)))),"Yes","No")</f>
        <v>No</v>
      </c>
      <c r="X1277" s="0" t="n">
        <v>79.4</v>
      </c>
      <c r="Y1277" s="3" t="s">
        <v>30</v>
      </c>
      <c r="Z1277" s="0" t="str">
        <f aca="false">IF(M1277=1,P1277,"")</f>
        <v/>
      </c>
    </row>
    <row r="1278" customFormat="false" ht="15" hidden="false" customHeight="false" outlineLevel="0" collapsed="false">
      <c r="A1278" s="0" t="s">
        <v>1322</v>
      </c>
      <c r="B1278" s="2" t="n">
        <v>45804</v>
      </c>
      <c r="C1278" s="3" t="s">
        <v>736</v>
      </c>
      <c r="D1278" s="3" t="s">
        <v>28</v>
      </c>
      <c r="E1278" s="3" t="s">
        <v>29</v>
      </c>
      <c r="F1278" s="3" t="s">
        <v>30</v>
      </c>
      <c r="G1278" s="3" t="s">
        <v>50</v>
      </c>
      <c r="H1278" s="3" t="s">
        <v>30</v>
      </c>
      <c r="I1278" s="3" t="s">
        <v>37</v>
      </c>
      <c r="J1278" s="0" t="n">
        <v>1</v>
      </c>
      <c r="K1278" s="0" t="n">
        <v>1</v>
      </c>
      <c r="L1278" s="0" t="n">
        <v>1</v>
      </c>
      <c r="M1278" s="0" t="n">
        <v>0</v>
      </c>
      <c r="N1278" s="0" t="str">
        <f aca="false">IF(OR(NOT(OR(J1278=0,J1278=1)),NOT(OR(K1278=0,K1278=1)),NOT(OR(L1278=0,L1278=1)),NOT(OR(M1278=0,M1278=1)),NOT(OR(U1278=0,U1278=1))),"Yes","No")</f>
        <v>No</v>
      </c>
      <c r="O1278" s="0" t="str">
        <f aca="false">IF(OR(AND(M1278=1,L1278=0),AND(L1278=1,K1278=0),AND(K1278=1,J1278=0)),"Yes","No")</f>
        <v>No</v>
      </c>
      <c r="P1278" s="0" t="n">
        <v>0</v>
      </c>
      <c r="Q1278" s="0" t="str">
        <f aca="false">IF(OR(AND(M1278=0,P1278&gt;0),AND(M1278=1,P1278&lt;=0)),"Yes","No")</f>
        <v>No</v>
      </c>
      <c r="R1278" s="0" t="str">
        <f aca="false">IF(AND(M1278=1,P1278&gt;calc_helpers!$B$5),"Yes","No")</f>
        <v>No</v>
      </c>
      <c r="S1278" s="0" t="n">
        <v>0</v>
      </c>
      <c r="T1278" s="0" t="str">
        <f aca="false">IF(S1278&gt;0,"Yes","No")</f>
        <v>No</v>
      </c>
      <c r="U1278" s="0" t="n">
        <v>0</v>
      </c>
      <c r="W1278" s="0" t="str">
        <f aca="false">IF(OR(AND(M1278=1,ISBLANK(V1278)),AND(M1278=0,NOT(ISBLANK(V1278)))),"Yes","No")</f>
        <v>No</v>
      </c>
      <c r="X1278" s="0" t="n">
        <v>54.9</v>
      </c>
      <c r="Y1278" s="3" t="s">
        <v>30</v>
      </c>
      <c r="Z1278" s="0" t="str">
        <f aca="false">IF(M1278=1,P1278,"")</f>
        <v/>
      </c>
    </row>
    <row r="1279" customFormat="false" ht="15" hidden="false" customHeight="false" outlineLevel="0" collapsed="false">
      <c r="A1279" s="0" t="s">
        <v>1323</v>
      </c>
      <c r="B1279" s="2" t="n">
        <v>45770</v>
      </c>
      <c r="C1279" s="3" t="s">
        <v>736</v>
      </c>
      <c r="D1279" s="3" t="s">
        <v>34</v>
      </c>
      <c r="E1279" s="3" t="s">
        <v>29</v>
      </c>
      <c r="F1279" s="3" t="s">
        <v>30</v>
      </c>
      <c r="G1279" s="3" t="s">
        <v>36</v>
      </c>
      <c r="H1279" s="3" t="s">
        <v>30</v>
      </c>
      <c r="I1279" s="3" t="s">
        <v>32</v>
      </c>
      <c r="J1279" s="0" t="n">
        <v>1</v>
      </c>
      <c r="K1279" s="0" t="n">
        <v>0</v>
      </c>
      <c r="L1279" s="0" t="n">
        <v>0</v>
      </c>
      <c r="M1279" s="0" t="n">
        <v>0</v>
      </c>
      <c r="N1279" s="0" t="str">
        <f aca="false">IF(OR(NOT(OR(J1279=0,J1279=1)),NOT(OR(K1279=0,K1279=1)),NOT(OR(L1279=0,L1279=1)),NOT(OR(M1279=0,M1279=1)),NOT(OR(U1279=0,U1279=1))),"Yes","No")</f>
        <v>No</v>
      </c>
      <c r="O1279" s="0" t="str">
        <f aca="false">IF(OR(AND(M1279=1,L1279=0),AND(L1279=1,K1279=0),AND(K1279=1,J1279=0)),"Yes","No")</f>
        <v>No</v>
      </c>
      <c r="P1279" s="0" t="n">
        <v>0</v>
      </c>
      <c r="Q1279" s="0" t="str">
        <f aca="false">IF(OR(AND(M1279=0,P1279&gt;0),AND(M1279=1,P1279&lt;=0)),"Yes","No")</f>
        <v>No</v>
      </c>
      <c r="R1279" s="0" t="str">
        <f aca="false">IF(AND(M1279=1,P1279&gt;calc_helpers!$B$5),"Yes","No")</f>
        <v>No</v>
      </c>
      <c r="S1279" s="0" t="n">
        <v>0</v>
      </c>
      <c r="T1279" s="0" t="str">
        <f aca="false">IF(S1279&gt;0,"Yes","No")</f>
        <v>No</v>
      </c>
      <c r="U1279" s="0" t="n">
        <v>0</v>
      </c>
      <c r="W1279" s="0" t="str">
        <f aca="false">IF(OR(AND(M1279=1,ISBLANK(V1279)),AND(M1279=0,NOT(ISBLANK(V1279)))),"Yes","No")</f>
        <v>No</v>
      </c>
      <c r="X1279" s="0" t="n">
        <v>54.9</v>
      </c>
      <c r="Y1279" s="3" t="s">
        <v>30</v>
      </c>
      <c r="Z1279" s="0" t="str">
        <f aca="false">IF(M1279=1,P1279,"")</f>
        <v/>
      </c>
    </row>
    <row r="1280" customFormat="false" ht="15" hidden="false" customHeight="false" outlineLevel="0" collapsed="false">
      <c r="A1280" s="0" t="s">
        <v>1324</v>
      </c>
      <c r="B1280" s="2" t="n">
        <v>45698</v>
      </c>
      <c r="C1280" s="3" t="s">
        <v>736</v>
      </c>
      <c r="D1280" s="3" t="s">
        <v>39</v>
      </c>
      <c r="E1280" s="3" t="s">
        <v>29</v>
      </c>
      <c r="F1280" s="3" t="s">
        <v>30</v>
      </c>
      <c r="G1280" s="3" t="s">
        <v>52</v>
      </c>
      <c r="H1280" s="3" t="s">
        <v>30</v>
      </c>
      <c r="I1280" s="3" t="s">
        <v>37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str">
        <f aca="false">IF(OR(NOT(OR(J1280=0,J1280=1)),NOT(OR(K1280=0,K1280=1)),NOT(OR(L1280=0,L1280=1)),NOT(OR(M1280=0,M1280=1)),NOT(OR(U1280=0,U1280=1))),"Yes","No")</f>
        <v>No</v>
      </c>
      <c r="O1280" s="0" t="str">
        <f aca="false">IF(OR(AND(M1280=1,L1280=0),AND(L1280=1,K1280=0),AND(K1280=1,J1280=0)),"Yes","No")</f>
        <v>No</v>
      </c>
      <c r="P1280" s="0" t="n">
        <v>0</v>
      </c>
      <c r="Q1280" s="0" t="str">
        <f aca="false">IF(OR(AND(M1280=0,P1280&gt;0),AND(M1280=1,P1280&lt;=0)),"Yes","No")</f>
        <v>No</v>
      </c>
      <c r="R1280" s="0" t="str">
        <f aca="false">IF(AND(M1280=1,P1280&gt;calc_helpers!$B$5),"Yes","No")</f>
        <v>No</v>
      </c>
      <c r="S1280" s="0" t="n">
        <v>0</v>
      </c>
      <c r="T1280" s="0" t="str">
        <f aca="false">IF(S1280&gt;0,"Yes","No")</f>
        <v>No</v>
      </c>
      <c r="U1280" s="0" t="n">
        <v>0</v>
      </c>
      <c r="W1280" s="0" t="str">
        <f aca="false">IF(OR(AND(M1280=1,ISBLANK(V1280)),AND(M1280=0,NOT(ISBLANK(V1280)))),"Yes","No")</f>
        <v>No</v>
      </c>
      <c r="X1280" s="0" t="n">
        <v>28.7</v>
      </c>
      <c r="Y1280" s="3" t="s">
        <v>30</v>
      </c>
      <c r="Z1280" s="0" t="str">
        <f aca="false">IF(M1280=1,P1280,"")</f>
        <v/>
      </c>
    </row>
    <row r="1281" customFormat="false" ht="15" hidden="false" customHeight="false" outlineLevel="0" collapsed="false">
      <c r="A1281" s="0" t="s">
        <v>1325</v>
      </c>
      <c r="B1281" s="2" t="n">
        <v>45699</v>
      </c>
      <c r="C1281" s="3" t="s">
        <v>736</v>
      </c>
      <c r="D1281" s="3" t="s">
        <v>28</v>
      </c>
      <c r="E1281" s="3" t="s">
        <v>35</v>
      </c>
      <c r="F1281" s="3" t="s">
        <v>30</v>
      </c>
      <c r="G1281" s="3" t="s">
        <v>36</v>
      </c>
      <c r="H1281" s="3" t="s">
        <v>30</v>
      </c>
      <c r="I1281" s="3" t="s">
        <v>37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str">
        <f aca="false">IF(OR(NOT(OR(J1281=0,J1281=1)),NOT(OR(K1281=0,K1281=1)),NOT(OR(L1281=0,L1281=1)),NOT(OR(M1281=0,M1281=1)),NOT(OR(U1281=0,U1281=1))),"Yes","No")</f>
        <v>No</v>
      </c>
      <c r="O1281" s="0" t="str">
        <f aca="false">IF(OR(AND(M1281=1,L1281=0),AND(L1281=1,K1281=0),AND(K1281=1,J1281=0)),"Yes","No")</f>
        <v>No</v>
      </c>
      <c r="P1281" s="0" t="n">
        <v>0</v>
      </c>
      <c r="Q1281" s="0" t="str">
        <f aca="false">IF(OR(AND(M1281=0,P1281&gt;0),AND(M1281=1,P1281&lt;=0)),"Yes","No")</f>
        <v>No</v>
      </c>
      <c r="R1281" s="0" t="str">
        <f aca="false">IF(AND(M1281=1,P1281&gt;calc_helpers!$B$5),"Yes","No")</f>
        <v>No</v>
      </c>
      <c r="S1281" s="0" t="n">
        <v>0</v>
      </c>
      <c r="T1281" s="0" t="str">
        <f aca="false">IF(S1281&gt;0,"Yes","No")</f>
        <v>No</v>
      </c>
      <c r="U1281" s="0" t="n">
        <v>0</v>
      </c>
      <c r="W1281" s="0" t="str">
        <f aca="false">IF(OR(AND(M1281=1,ISBLANK(V1281)),AND(M1281=0,NOT(ISBLANK(V1281)))),"Yes","No")</f>
        <v>No</v>
      </c>
      <c r="X1281" s="0" t="n">
        <v>68.8</v>
      </c>
      <c r="Y1281" s="3" t="s">
        <v>30</v>
      </c>
      <c r="Z1281" s="0" t="str">
        <f aca="false">IF(M1281=1,P1281,"")</f>
        <v/>
      </c>
    </row>
    <row r="1282" customFormat="false" ht="15" hidden="false" customHeight="false" outlineLevel="0" collapsed="false">
      <c r="A1282" s="0" t="s">
        <v>1326</v>
      </c>
      <c r="B1282" s="2" t="n">
        <v>45678</v>
      </c>
      <c r="C1282" s="3" t="s">
        <v>736</v>
      </c>
      <c r="D1282" s="3" t="s">
        <v>39</v>
      </c>
      <c r="E1282" s="3" t="s">
        <v>29</v>
      </c>
      <c r="F1282" s="3" t="s">
        <v>30</v>
      </c>
      <c r="G1282" s="3" t="s">
        <v>40</v>
      </c>
      <c r="H1282" s="3" t="s">
        <v>30</v>
      </c>
      <c r="I1282" s="3" t="s">
        <v>37</v>
      </c>
      <c r="J1282" s="0" t="n">
        <v>1</v>
      </c>
      <c r="K1282" s="0" t="n">
        <v>1</v>
      </c>
      <c r="L1282" s="0" t="n">
        <v>1</v>
      </c>
      <c r="M1282" s="0" t="n">
        <v>0</v>
      </c>
      <c r="N1282" s="0" t="str">
        <f aca="false">IF(OR(NOT(OR(J1282=0,J1282=1)),NOT(OR(K1282=0,K1282=1)),NOT(OR(L1282=0,L1282=1)),NOT(OR(M1282=0,M1282=1)),NOT(OR(U1282=0,U1282=1))),"Yes","No")</f>
        <v>No</v>
      </c>
      <c r="O1282" s="0" t="str">
        <f aca="false">IF(OR(AND(M1282=1,L1282=0),AND(L1282=1,K1282=0),AND(K1282=1,J1282=0)),"Yes","No")</f>
        <v>No</v>
      </c>
      <c r="P1282" s="0" t="n">
        <v>0</v>
      </c>
      <c r="Q1282" s="0" t="str">
        <f aca="false">IF(OR(AND(M1282=0,P1282&gt;0),AND(M1282=1,P1282&lt;=0)),"Yes","No")</f>
        <v>No</v>
      </c>
      <c r="R1282" s="0" t="str">
        <f aca="false">IF(AND(M1282=1,P1282&gt;calc_helpers!$B$5),"Yes","No")</f>
        <v>No</v>
      </c>
      <c r="S1282" s="0" t="n">
        <v>0</v>
      </c>
      <c r="T1282" s="0" t="str">
        <f aca="false">IF(S1282&gt;0,"Yes","No")</f>
        <v>No</v>
      </c>
      <c r="U1282" s="0" t="n">
        <v>0</v>
      </c>
      <c r="W1282" s="0" t="str">
        <f aca="false">IF(OR(AND(M1282=1,ISBLANK(V1282)),AND(M1282=0,NOT(ISBLANK(V1282)))),"Yes","No")</f>
        <v>No</v>
      </c>
      <c r="X1282" s="0" t="n">
        <v>43.5</v>
      </c>
      <c r="Y1282" s="3" t="s">
        <v>30</v>
      </c>
      <c r="Z1282" s="0" t="str">
        <f aca="false">IF(M1282=1,P1282,"")</f>
        <v/>
      </c>
    </row>
    <row r="1283" customFormat="false" ht="15" hidden="false" customHeight="false" outlineLevel="0" collapsed="false">
      <c r="A1283" s="0" t="s">
        <v>1327</v>
      </c>
      <c r="B1283" s="2" t="n">
        <v>45690</v>
      </c>
      <c r="C1283" s="3" t="s">
        <v>736</v>
      </c>
      <c r="D1283" s="3" t="s">
        <v>34</v>
      </c>
      <c r="E1283" s="3" t="s">
        <v>29</v>
      </c>
      <c r="F1283" s="3" t="s">
        <v>30</v>
      </c>
      <c r="G1283" s="3" t="s">
        <v>52</v>
      </c>
      <c r="H1283" s="3" t="s">
        <v>30</v>
      </c>
      <c r="I1283" s="3" t="s">
        <v>37</v>
      </c>
      <c r="J1283" s="0" t="n">
        <v>1</v>
      </c>
      <c r="K1283" s="0" t="n">
        <v>1</v>
      </c>
      <c r="L1283" s="0" t="n">
        <v>0</v>
      </c>
      <c r="M1283" s="0" t="n">
        <v>0</v>
      </c>
      <c r="N1283" s="0" t="str">
        <f aca="false">IF(OR(NOT(OR(J1283=0,J1283=1)),NOT(OR(K1283=0,K1283=1)),NOT(OR(L1283=0,L1283=1)),NOT(OR(M1283=0,M1283=1)),NOT(OR(U1283=0,U1283=1))),"Yes","No")</f>
        <v>No</v>
      </c>
      <c r="O1283" s="0" t="str">
        <f aca="false">IF(OR(AND(M1283=1,L1283=0),AND(L1283=1,K1283=0),AND(K1283=1,J1283=0)),"Yes","No")</f>
        <v>No</v>
      </c>
      <c r="P1283" s="0" t="n">
        <v>0</v>
      </c>
      <c r="Q1283" s="0" t="str">
        <f aca="false">IF(OR(AND(M1283=0,P1283&gt;0),AND(M1283=1,P1283&lt;=0)),"Yes","No")</f>
        <v>No</v>
      </c>
      <c r="R1283" s="0" t="str">
        <f aca="false">IF(AND(M1283=1,P1283&gt;calc_helpers!$B$5),"Yes","No")</f>
        <v>No</v>
      </c>
      <c r="S1283" s="0" t="n">
        <v>0</v>
      </c>
      <c r="T1283" s="0" t="str">
        <f aca="false">IF(S1283&gt;0,"Yes","No")</f>
        <v>No</v>
      </c>
      <c r="U1283" s="0" t="n">
        <v>0</v>
      </c>
      <c r="W1283" s="0" t="str">
        <f aca="false">IF(OR(AND(M1283=1,ISBLANK(V1283)),AND(M1283=0,NOT(ISBLANK(V1283)))),"Yes","No")</f>
        <v>No</v>
      </c>
      <c r="X1283" s="0" t="n">
        <v>62.6</v>
      </c>
      <c r="Y1283" s="3" t="s">
        <v>30</v>
      </c>
      <c r="Z1283" s="0" t="str">
        <f aca="false">IF(M1283=1,P1283,"")</f>
        <v/>
      </c>
    </row>
    <row r="1284" customFormat="false" ht="15" hidden="false" customHeight="false" outlineLevel="0" collapsed="false">
      <c r="A1284" s="0" t="s">
        <v>1328</v>
      </c>
      <c r="B1284" s="2" t="n">
        <v>45690</v>
      </c>
      <c r="C1284" s="3" t="s">
        <v>736</v>
      </c>
      <c r="D1284" s="3" t="s">
        <v>34</v>
      </c>
      <c r="E1284" s="3" t="s">
        <v>35</v>
      </c>
      <c r="F1284" s="3" t="s">
        <v>30</v>
      </c>
      <c r="G1284" s="3" t="s">
        <v>36</v>
      </c>
      <c r="H1284" s="3" t="s">
        <v>30</v>
      </c>
      <c r="I1284" s="3" t="s">
        <v>37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str">
        <f aca="false">IF(OR(NOT(OR(J1284=0,J1284=1)),NOT(OR(K1284=0,K1284=1)),NOT(OR(L1284=0,L1284=1)),NOT(OR(M1284=0,M1284=1)),NOT(OR(U1284=0,U1284=1))),"Yes","No")</f>
        <v>No</v>
      </c>
      <c r="O1284" s="0" t="str">
        <f aca="false">IF(OR(AND(M1284=1,L1284=0),AND(L1284=1,K1284=0),AND(K1284=1,J1284=0)),"Yes","No")</f>
        <v>No</v>
      </c>
      <c r="P1284" s="0" t="n">
        <v>0</v>
      </c>
      <c r="Q1284" s="0" t="str">
        <f aca="false">IF(OR(AND(M1284=0,P1284&gt;0),AND(M1284=1,P1284&lt;=0)),"Yes","No")</f>
        <v>No</v>
      </c>
      <c r="R1284" s="0" t="str">
        <f aca="false">IF(AND(M1284=1,P1284&gt;calc_helpers!$B$5),"Yes","No")</f>
        <v>No</v>
      </c>
      <c r="S1284" s="0" t="n">
        <v>1</v>
      </c>
      <c r="T1284" s="0" t="str">
        <f aca="false">IF(S1284&gt;0,"Yes","No")</f>
        <v>Yes</v>
      </c>
      <c r="U1284" s="0" t="n">
        <v>0</v>
      </c>
      <c r="W1284" s="0" t="str">
        <f aca="false">IF(OR(AND(M1284=1,ISBLANK(V1284)),AND(M1284=0,NOT(ISBLANK(V1284)))),"Yes","No")</f>
        <v>No</v>
      </c>
      <c r="X1284" s="0" t="n">
        <v>54.1</v>
      </c>
      <c r="Y1284" s="3" t="s">
        <v>30</v>
      </c>
      <c r="Z1284" s="0" t="str">
        <f aca="false">IF(M1284=1,P1284,"")</f>
        <v/>
      </c>
    </row>
    <row r="1285" customFormat="false" ht="15" hidden="false" customHeight="false" outlineLevel="0" collapsed="false">
      <c r="A1285" s="0" t="s">
        <v>1329</v>
      </c>
      <c r="B1285" s="2" t="n">
        <v>45714</v>
      </c>
      <c r="C1285" s="3" t="s">
        <v>736</v>
      </c>
      <c r="D1285" s="3" t="s">
        <v>34</v>
      </c>
      <c r="E1285" s="3" t="s">
        <v>45</v>
      </c>
      <c r="F1285" s="3" t="s">
        <v>30</v>
      </c>
      <c r="G1285" s="3" t="s">
        <v>52</v>
      </c>
      <c r="H1285" s="3" t="s">
        <v>30</v>
      </c>
      <c r="I1285" s="3" t="s">
        <v>37</v>
      </c>
      <c r="J1285" s="0" t="n">
        <v>1</v>
      </c>
      <c r="K1285" s="0" t="n">
        <v>1</v>
      </c>
      <c r="L1285" s="0" t="n">
        <v>1</v>
      </c>
      <c r="M1285" s="0" t="n">
        <v>0</v>
      </c>
      <c r="N1285" s="0" t="str">
        <f aca="false">IF(OR(NOT(OR(J1285=0,J1285=1)),NOT(OR(K1285=0,K1285=1)),NOT(OR(L1285=0,L1285=1)),NOT(OR(M1285=0,M1285=1)),NOT(OR(U1285=0,U1285=1))),"Yes","No")</f>
        <v>No</v>
      </c>
      <c r="O1285" s="0" t="str">
        <f aca="false">IF(OR(AND(M1285=1,L1285=0),AND(L1285=1,K1285=0),AND(K1285=1,J1285=0)),"Yes","No")</f>
        <v>No</v>
      </c>
      <c r="P1285" s="0" t="n">
        <v>0</v>
      </c>
      <c r="Q1285" s="0" t="str">
        <f aca="false">IF(OR(AND(M1285=0,P1285&gt;0),AND(M1285=1,P1285&lt;=0)),"Yes","No")</f>
        <v>No</v>
      </c>
      <c r="R1285" s="0" t="str">
        <f aca="false">IF(AND(M1285=1,P1285&gt;calc_helpers!$B$5),"Yes","No")</f>
        <v>No</v>
      </c>
      <c r="S1285" s="0" t="n">
        <v>0</v>
      </c>
      <c r="T1285" s="0" t="str">
        <f aca="false">IF(S1285&gt;0,"Yes","No")</f>
        <v>No</v>
      </c>
      <c r="U1285" s="0" t="n">
        <v>0</v>
      </c>
      <c r="W1285" s="0" t="str">
        <f aca="false">IF(OR(AND(M1285=1,ISBLANK(V1285)),AND(M1285=0,NOT(ISBLANK(V1285)))),"Yes","No")</f>
        <v>No</v>
      </c>
      <c r="X1285" s="0" t="n">
        <v>80.1</v>
      </c>
      <c r="Y1285" s="3" t="s">
        <v>30</v>
      </c>
      <c r="Z1285" s="0" t="str">
        <f aca="false">IF(M1285=1,P1285,"")</f>
        <v/>
      </c>
    </row>
    <row r="1286" customFormat="false" ht="15" hidden="false" customHeight="false" outlineLevel="0" collapsed="false">
      <c r="A1286" s="0" t="s">
        <v>1330</v>
      </c>
      <c r="B1286" s="2" t="n">
        <v>45769</v>
      </c>
      <c r="C1286" s="3" t="s">
        <v>736</v>
      </c>
      <c r="D1286" s="3" t="s">
        <v>28</v>
      </c>
      <c r="E1286" s="3" t="s">
        <v>35</v>
      </c>
      <c r="F1286" s="3" t="s">
        <v>30</v>
      </c>
      <c r="G1286" s="3" t="s">
        <v>52</v>
      </c>
      <c r="H1286" s="3" t="s">
        <v>30</v>
      </c>
      <c r="I1286" s="3" t="s">
        <v>41</v>
      </c>
      <c r="J1286" s="0" t="n">
        <v>1</v>
      </c>
      <c r="K1286" s="0" t="n">
        <v>0</v>
      </c>
      <c r="L1286" s="0" t="n">
        <v>0</v>
      </c>
      <c r="M1286" s="0" t="n">
        <v>0</v>
      </c>
      <c r="N1286" s="0" t="str">
        <f aca="false">IF(OR(NOT(OR(J1286=0,J1286=1)),NOT(OR(K1286=0,K1286=1)),NOT(OR(L1286=0,L1286=1)),NOT(OR(M1286=0,M1286=1)),NOT(OR(U1286=0,U1286=1))),"Yes","No")</f>
        <v>No</v>
      </c>
      <c r="O1286" s="0" t="str">
        <f aca="false">IF(OR(AND(M1286=1,L1286=0),AND(L1286=1,K1286=0),AND(K1286=1,J1286=0)),"Yes","No")</f>
        <v>No</v>
      </c>
      <c r="P1286" s="0" t="n">
        <v>0</v>
      </c>
      <c r="Q1286" s="0" t="str">
        <f aca="false">IF(OR(AND(M1286=0,P1286&gt;0),AND(M1286=1,P1286&lt;=0)),"Yes","No")</f>
        <v>No</v>
      </c>
      <c r="R1286" s="0" t="str">
        <f aca="false">IF(AND(M1286=1,P1286&gt;calc_helpers!$B$5),"Yes","No")</f>
        <v>No</v>
      </c>
      <c r="S1286" s="0" t="n">
        <v>0</v>
      </c>
      <c r="T1286" s="0" t="str">
        <f aca="false">IF(S1286&gt;0,"Yes","No")</f>
        <v>No</v>
      </c>
      <c r="U1286" s="0" t="n">
        <v>0</v>
      </c>
      <c r="W1286" s="0" t="str">
        <f aca="false">IF(OR(AND(M1286=1,ISBLANK(V1286)),AND(M1286=0,NOT(ISBLANK(V1286)))),"Yes","No")</f>
        <v>No</v>
      </c>
      <c r="X1286" s="0" t="n">
        <v>69.5</v>
      </c>
      <c r="Y1286" s="3" t="s">
        <v>30</v>
      </c>
      <c r="Z1286" s="0" t="str">
        <f aca="false">IF(M1286=1,P1286,"")</f>
        <v/>
      </c>
    </row>
    <row r="1287" customFormat="false" ht="15" hidden="false" customHeight="false" outlineLevel="0" collapsed="false">
      <c r="A1287" s="0" t="s">
        <v>1331</v>
      </c>
      <c r="B1287" s="2" t="n">
        <v>45727</v>
      </c>
      <c r="C1287" s="3" t="s">
        <v>736</v>
      </c>
      <c r="D1287" s="3" t="s">
        <v>28</v>
      </c>
      <c r="E1287" s="3" t="s">
        <v>29</v>
      </c>
      <c r="F1287" s="3" t="s">
        <v>30</v>
      </c>
      <c r="G1287" s="3" t="s">
        <v>36</v>
      </c>
      <c r="H1287" s="3" t="s">
        <v>30</v>
      </c>
      <c r="I1287" s="3" t="s">
        <v>32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str">
        <f aca="false">IF(OR(NOT(OR(J1287=0,J1287=1)),NOT(OR(K1287=0,K1287=1)),NOT(OR(L1287=0,L1287=1)),NOT(OR(M1287=0,M1287=1)),NOT(OR(U1287=0,U1287=1))),"Yes","No")</f>
        <v>No</v>
      </c>
      <c r="O1287" s="0" t="str">
        <f aca="false">IF(OR(AND(M1287=1,L1287=0),AND(L1287=1,K1287=0),AND(K1287=1,J1287=0)),"Yes","No")</f>
        <v>No</v>
      </c>
      <c r="P1287" s="0" t="n">
        <v>0</v>
      </c>
      <c r="Q1287" s="0" t="str">
        <f aca="false">IF(OR(AND(M1287=0,P1287&gt;0),AND(M1287=1,P1287&lt;=0)),"Yes","No")</f>
        <v>No</v>
      </c>
      <c r="R1287" s="0" t="str">
        <f aca="false">IF(AND(M1287=1,P1287&gt;calc_helpers!$B$5),"Yes","No")</f>
        <v>No</v>
      </c>
      <c r="S1287" s="0" t="n">
        <v>2</v>
      </c>
      <c r="T1287" s="0" t="str">
        <f aca="false">IF(S1287&gt;0,"Yes","No")</f>
        <v>Yes</v>
      </c>
      <c r="U1287" s="0" t="n">
        <v>0</v>
      </c>
      <c r="W1287" s="0" t="str">
        <f aca="false">IF(OR(AND(M1287=1,ISBLANK(V1287)),AND(M1287=0,NOT(ISBLANK(V1287)))),"Yes","No")</f>
        <v>No</v>
      </c>
      <c r="X1287" s="0" t="n">
        <v>46.6</v>
      </c>
      <c r="Y1287" s="3" t="s">
        <v>30</v>
      </c>
      <c r="Z1287" s="0" t="str">
        <f aca="false">IF(M1287=1,P1287,"")</f>
        <v/>
      </c>
    </row>
    <row r="1288" customFormat="false" ht="15" hidden="false" customHeight="false" outlineLevel="0" collapsed="false">
      <c r="A1288" s="0" t="s">
        <v>1332</v>
      </c>
      <c r="B1288" s="2" t="n">
        <v>45785</v>
      </c>
      <c r="C1288" s="3" t="s">
        <v>736</v>
      </c>
      <c r="D1288" s="3" t="s">
        <v>43</v>
      </c>
      <c r="E1288" s="3" t="s">
        <v>35</v>
      </c>
      <c r="F1288" s="3" t="s">
        <v>30</v>
      </c>
      <c r="G1288" s="3" t="s">
        <v>36</v>
      </c>
      <c r="H1288" s="3" t="s">
        <v>30</v>
      </c>
      <c r="I1288" s="3" t="s">
        <v>41</v>
      </c>
      <c r="J1288" s="0" t="n">
        <v>1</v>
      </c>
      <c r="K1288" s="0" t="n">
        <v>0</v>
      </c>
      <c r="L1288" s="0" t="n">
        <v>0</v>
      </c>
      <c r="M1288" s="0" t="n">
        <v>0</v>
      </c>
      <c r="N1288" s="0" t="str">
        <f aca="false">IF(OR(NOT(OR(J1288=0,J1288=1)),NOT(OR(K1288=0,K1288=1)),NOT(OR(L1288=0,L1288=1)),NOT(OR(M1288=0,M1288=1)),NOT(OR(U1288=0,U1288=1))),"Yes","No")</f>
        <v>No</v>
      </c>
      <c r="O1288" s="0" t="str">
        <f aca="false">IF(OR(AND(M1288=1,L1288=0),AND(L1288=1,K1288=0),AND(K1288=1,J1288=0)),"Yes","No")</f>
        <v>No</v>
      </c>
      <c r="P1288" s="0" t="n">
        <v>0</v>
      </c>
      <c r="Q1288" s="0" t="str">
        <f aca="false">IF(OR(AND(M1288=0,P1288&gt;0),AND(M1288=1,P1288&lt;=0)),"Yes","No")</f>
        <v>No</v>
      </c>
      <c r="R1288" s="0" t="str">
        <f aca="false">IF(AND(M1288=1,P1288&gt;calc_helpers!$B$5),"Yes","No")</f>
        <v>No</v>
      </c>
      <c r="S1288" s="0" t="n">
        <v>1</v>
      </c>
      <c r="T1288" s="0" t="str">
        <f aca="false">IF(S1288&gt;0,"Yes","No")</f>
        <v>Yes</v>
      </c>
      <c r="U1288" s="0" t="n">
        <v>0</v>
      </c>
      <c r="W1288" s="0" t="str">
        <f aca="false">IF(OR(AND(M1288=1,ISBLANK(V1288)),AND(M1288=0,NOT(ISBLANK(V1288)))),"Yes","No")</f>
        <v>No</v>
      </c>
      <c r="X1288" s="0" t="n">
        <v>54.9</v>
      </c>
      <c r="Y1288" s="3" t="s">
        <v>30</v>
      </c>
      <c r="Z1288" s="0" t="str">
        <f aca="false">IF(M1288=1,P1288,"")</f>
        <v/>
      </c>
    </row>
    <row r="1289" customFormat="false" ht="15" hidden="false" customHeight="false" outlineLevel="0" collapsed="false">
      <c r="A1289" s="0" t="s">
        <v>1333</v>
      </c>
      <c r="B1289" s="2" t="n">
        <v>45726</v>
      </c>
      <c r="C1289" s="3" t="s">
        <v>736</v>
      </c>
      <c r="D1289" s="3" t="s">
        <v>39</v>
      </c>
      <c r="E1289" s="3" t="s">
        <v>29</v>
      </c>
      <c r="F1289" s="3" t="s">
        <v>30</v>
      </c>
      <c r="G1289" s="3" t="s">
        <v>36</v>
      </c>
      <c r="H1289" s="3" t="s">
        <v>30</v>
      </c>
      <c r="I1289" s="3" t="s">
        <v>37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str">
        <f aca="false">IF(OR(NOT(OR(J1289=0,J1289=1)),NOT(OR(K1289=0,K1289=1)),NOT(OR(L1289=0,L1289=1)),NOT(OR(M1289=0,M1289=1)),NOT(OR(U1289=0,U1289=1))),"Yes","No")</f>
        <v>No</v>
      </c>
      <c r="O1289" s="0" t="str">
        <f aca="false">IF(OR(AND(M1289=1,L1289=0),AND(L1289=1,K1289=0),AND(K1289=1,J1289=0)),"Yes","No")</f>
        <v>No</v>
      </c>
      <c r="P1289" s="0" t="n">
        <v>0</v>
      </c>
      <c r="Q1289" s="0" t="str">
        <f aca="false">IF(OR(AND(M1289=0,P1289&gt;0),AND(M1289=1,P1289&lt;=0)),"Yes","No")</f>
        <v>No</v>
      </c>
      <c r="R1289" s="0" t="str">
        <f aca="false">IF(AND(M1289=1,P1289&gt;calc_helpers!$B$5),"Yes","No")</f>
        <v>No</v>
      </c>
      <c r="S1289" s="0" t="n">
        <v>0</v>
      </c>
      <c r="T1289" s="0" t="str">
        <f aca="false">IF(S1289&gt;0,"Yes","No")</f>
        <v>No</v>
      </c>
      <c r="U1289" s="0" t="n">
        <v>0</v>
      </c>
      <c r="W1289" s="0" t="str">
        <f aca="false">IF(OR(AND(M1289=1,ISBLANK(V1289)),AND(M1289=0,NOT(ISBLANK(V1289)))),"Yes","No")</f>
        <v>No</v>
      </c>
      <c r="X1289" s="0" t="n">
        <v>100</v>
      </c>
      <c r="Y1289" s="3" t="s">
        <v>30</v>
      </c>
      <c r="Z1289" s="0" t="str">
        <f aca="false">IF(M1289=1,P1289,"")</f>
        <v/>
      </c>
    </row>
    <row r="1290" customFormat="false" ht="15" hidden="false" customHeight="false" outlineLevel="0" collapsed="false">
      <c r="A1290" s="0" t="s">
        <v>1334</v>
      </c>
      <c r="B1290" s="2" t="n">
        <v>45763</v>
      </c>
      <c r="C1290" s="3" t="s">
        <v>736</v>
      </c>
      <c r="D1290" s="3" t="s">
        <v>39</v>
      </c>
      <c r="E1290" s="3" t="s">
        <v>29</v>
      </c>
      <c r="F1290" s="3" t="s">
        <v>30</v>
      </c>
      <c r="G1290" s="3" t="s">
        <v>40</v>
      </c>
      <c r="H1290" s="3" t="s">
        <v>30</v>
      </c>
      <c r="I1290" s="3" t="s">
        <v>37</v>
      </c>
      <c r="J1290" s="0" t="n">
        <v>1</v>
      </c>
      <c r="K1290" s="0" t="n">
        <v>1</v>
      </c>
      <c r="L1290" s="0" t="n">
        <v>1</v>
      </c>
      <c r="M1290" s="0" t="n">
        <v>0</v>
      </c>
      <c r="N1290" s="0" t="str">
        <f aca="false">IF(OR(NOT(OR(J1290=0,J1290=1)),NOT(OR(K1290=0,K1290=1)),NOT(OR(L1290=0,L1290=1)),NOT(OR(M1290=0,M1290=1)),NOT(OR(U1290=0,U1290=1))),"Yes","No")</f>
        <v>No</v>
      </c>
      <c r="O1290" s="0" t="str">
        <f aca="false">IF(OR(AND(M1290=1,L1290=0),AND(L1290=1,K1290=0),AND(K1290=1,J1290=0)),"Yes","No")</f>
        <v>No</v>
      </c>
      <c r="P1290" s="0" t="n">
        <v>0</v>
      </c>
      <c r="Q1290" s="0" t="str">
        <f aca="false">IF(OR(AND(M1290=0,P1290&gt;0),AND(M1290=1,P1290&lt;=0)),"Yes","No")</f>
        <v>No</v>
      </c>
      <c r="R1290" s="0" t="str">
        <f aca="false">IF(AND(M1290=1,P1290&gt;calc_helpers!$B$5),"Yes","No")</f>
        <v>No</v>
      </c>
      <c r="S1290" s="0" t="n">
        <v>1</v>
      </c>
      <c r="T1290" s="0" t="str">
        <f aca="false">IF(S1290&gt;0,"Yes","No")</f>
        <v>Yes</v>
      </c>
      <c r="U1290" s="0" t="n">
        <v>0</v>
      </c>
      <c r="W1290" s="0" t="str">
        <f aca="false">IF(OR(AND(M1290=1,ISBLANK(V1290)),AND(M1290=0,NOT(ISBLANK(V1290)))),"Yes","No")</f>
        <v>No</v>
      </c>
      <c r="X1290" s="0" t="n">
        <v>80.5</v>
      </c>
      <c r="Y1290" s="3" t="s">
        <v>30</v>
      </c>
      <c r="Z1290" s="0" t="str">
        <f aca="false">IF(M1290=1,P1290,"")</f>
        <v/>
      </c>
    </row>
    <row r="1291" customFormat="false" ht="15" hidden="false" customHeight="false" outlineLevel="0" collapsed="false">
      <c r="A1291" s="0" t="s">
        <v>1335</v>
      </c>
      <c r="B1291" s="2" t="n">
        <v>45717</v>
      </c>
      <c r="C1291" s="3" t="s">
        <v>736</v>
      </c>
      <c r="D1291" s="3" t="s">
        <v>34</v>
      </c>
      <c r="E1291" s="3" t="s">
        <v>45</v>
      </c>
      <c r="F1291" s="3" t="s">
        <v>30</v>
      </c>
      <c r="G1291" s="3" t="s">
        <v>36</v>
      </c>
      <c r="H1291" s="3" t="s">
        <v>30</v>
      </c>
      <c r="I1291" s="3" t="s">
        <v>32</v>
      </c>
      <c r="J1291" s="0" t="n">
        <v>1</v>
      </c>
      <c r="K1291" s="0" t="n">
        <v>0</v>
      </c>
      <c r="L1291" s="0" t="n">
        <v>0</v>
      </c>
      <c r="M1291" s="0" t="n">
        <v>0</v>
      </c>
      <c r="N1291" s="0" t="str">
        <f aca="false">IF(OR(NOT(OR(J1291=0,J1291=1)),NOT(OR(K1291=0,K1291=1)),NOT(OR(L1291=0,L1291=1)),NOT(OR(M1291=0,M1291=1)),NOT(OR(U1291=0,U1291=1))),"Yes","No")</f>
        <v>No</v>
      </c>
      <c r="O1291" s="0" t="str">
        <f aca="false">IF(OR(AND(M1291=1,L1291=0),AND(L1291=1,K1291=0),AND(K1291=1,J1291=0)),"Yes","No")</f>
        <v>No</v>
      </c>
      <c r="P1291" s="0" t="n">
        <v>0</v>
      </c>
      <c r="Q1291" s="0" t="str">
        <f aca="false">IF(OR(AND(M1291=0,P1291&gt;0),AND(M1291=1,P1291&lt;=0)),"Yes","No")</f>
        <v>No</v>
      </c>
      <c r="R1291" s="0" t="str">
        <f aca="false">IF(AND(M1291=1,P1291&gt;calc_helpers!$B$5),"Yes","No")</f>
        <v>No</v>
      </c>
      <c r="S1291" s="0" t="n">
        <v>0</v>
      </c>
      <c r="T1291" s="0" t="str">
        <f aca="false">IF(S1291&gt;0,"Yes","No")</f>
        <v>No</v>
      </c>
      <c r="U1291" s="0" t="n">
        <v>0</v>
      </c>
      <c r="W1291" s="0" t="str">
        <f aca="false">IF(OR(AND(M1291=1,ISBLANK(V1291)),AND(M1291=0,NOT(ISBLANK(V1291)))),"Yes","No")</f>
        <v>No</v>
      </c>
      <c r="X1291" s="0" t="n">
        <v>51.2</v>
      </c>
      <c r="Y1291" s="3" t="s">
        <v>30</v>
      </c>
      <c r="Z1291" s="0" t="str">
        <f aca="false">IF(M1291=1,P1291,"")</f>
        <v/>
      </c>
    </row>
    <row r="1292" customFormat="false" ht="15" hidden="false" customHeight="false" outlineLevel="0" collapsed="false">
      <c r="A1292" s="0" t="s">
        <v>1336</v>
      </c>
      <c r="B1292" s="2" t="n">
        <v>45675</v>
      </c>
      <c r="C1292" s="3" t="s">
        <v>736</v>
      </c>
      <c r="D1292" s="3" t="s">
        <v>43</v>
      </c>
      <c r="E1292" s="3" t="s">
        <v>29</v>
      </c>
      <c r="F1292" s="3" t="s">
        <v>30</v>
      </c>
      <c r="G1292" s="3" t="s">
        <v>36</v>
      </c>
      <c r="H1292" s="3" t="s">
        <v>30</v>
      </c>
      <c r="I1292" s="3" t="s">
        <v>41</v>
      </c>
      <c r="J1292" s="0" t="n">
        <v>1</v>
      </c>
      <c r="K1292" s="0" t="n">
        <v>0</v>
      </c>
      <c r="L1292" s="0" t="n">
        <v>0</v>
      </c>
      <c r="M1292" s="0" t="n">
        <v>0</v>
      </c>
      <c r="N1292" s="0" t="str">
        <f aca="false">IF(OR(NOT(OR(J1292=0,J1292=1)),NOT(OR(K1292=0,K1292=1)),NOT(OR(L1292=0,L1292=1)),NOT(OR(M1292=0,M1292=1)),NOT(OR(U1292=0,U1292=1))),"Yes","No")</f>
        <v>No</v>
      </c>
      <c r="O1292" s="0" t="str">
        <f aca="false">IF(OR(AND(M1292=1,L1292=0),AND(L1292=1,K1292=0),AND(K1292=1,J1292=0)),"Yes","No")</f>
        <v>No</v>
      </c>
      <c r="P1292" s="0" t="n">
        <v>0</v>
      </c>
      <c r="Q1292" s="0" t="str">
        <f aca="false">IF(OR(AND(M1292=0,P1292&gt;0),AND(M1292=1,P1292&lt;=0)),"Yes","No")</f>
        <v>No</v>
      </c>
      <c r="R1292" s="0" t="str">
        <f aca="false">IF(AND(M1292=1,P1292&gt;calc_helpers!$B$5),"Yes","No")</f>
        <v>No</v>
      </c>
      <c r="S1292" s="0" t="n">
        <v>0</v>
      </c>
      <c r="T1292" s="0" t="str">
        <f aca="false">IF(S1292&gt;0,"Yes","No")</f>
        <v>No</v>
      </c>
      <c r="U1292" s="0" t="n">
        <v>0</v>
      </c>
      <c r="W1292" s="0" t="str">
        <f aca="false">IF(OR(AND(M1292=1,ISBLANK(V1292)),AND(M1292=0,NOT(ISBLANK(V1292)))),"Yes","No")</f>
        <v>No</v>
      </c>
      <c r="X1292" s="0" t="n">
        <v>42.5</v>
      </c>
      <c r="Y1292" s="3" t="s">
        <v>30</v>
      </c>
      <c r="Z1292" s="0" t="str">
        <f aca="false">IF(M1292=1,P1292,"")</f>
        <v/>
      </c>
    </row>
    <row r="1293" customFormat="false" ht="15" hidden="false" customHeight="false" outlineLevel="0" collapsed="false">
      <c r="A1293" s="0" t="s">
        <v>1337</v>
      </c>
      <c r="B1293" s="2" t="n">
        <v>45746</v>
      </c>
      <c r="C1293" s="3" t="s">
        <v>736</v>
      </c>
      <c r="D1293" s="3" t="s">
        <v>28</v>
      </c>
      <c r="E1293" s="3" t="s">
        <v>35</v>
      </c>
      <c r="F1293" s="3" t="s">
        <v>30</v>
      </c>
      <c r="G1293" s="3" t="s">
        <v>40</v>
      </c>
      <c r="H1293" s="3" t="s">
        <v>30</v>
      </c>
      <c r="I1293" s="3" t="s">
        <v>37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str">
        <f aca="false">IF(OR(NOT(OR(J1293=0,J1293=1)),NOT(OR(K1293=0,K1293=1)),NOT(OR(L1293=0,L1293=1)),NOT(OR(M1293=0,M1293=1)),NOT(OR(U1293=0,U1293=1))),"Yes","No")</f>
        <v>No</v>
      </c>
      <c r="O1293" s="0" t="str">
        <f aca="false">IF(OR(AND(M1293=1,L1293=0),AND(L1293=1,K1293=0),AND(K1293=1,J1293=0)),"Yes","No")</f>
        <v>No</v>
      </c>
      <c r="P1293" s="0" t="n">
        <v>0</v>
      </c>
      <c r="Q1293" s="0" t="str">
        <f aca="false">IF(OR(AND(M1293=0,P1293&gt;0),AND(M1293=1,P1293&lt;=0)),"Yes","No")</f>
        <v>No</v>
      </c>
      <c r="R1293" s="0" t="str">
        <f aca="false">IF(AND(M1293=1,P1293&gt;calc_helpers!$B$5),"Yes","No")</f>
        <v>No</v>
      </c>
      <c r="S1293" s="0" t="n">
        <v>0</v>
      </c>
      <c r="T1293" s="0" t="str">
        <f aca="false">IF(S1293&gt;0,"Yes","No")</f>
        <v>No</v>
      </c>
      <c r="U1293" s="0" t="n">
        <v>0</v>
      </c>
      <c r="W1293" s="0" t="str">
        <f aca="false">IF(OR(AND(M1293=1,ISBLANK(V1293)),AND(M1293=0,NOT(ISBLANK(V1293)))),"Yes","No")</f>
        <v>No</v>
      </c>
      <c r="X1293" s="0" t="n">
        <v>72.5</v>
      </c>
      <c r="Y1293" s="3" t="s">
        <v>30</v>
      </c>
      <c r="Z1293" s="0" t="str">
        <f aca="false">IF(M1293=1,P1293,"")</f>
        <v/>
      </c>
    </row>
    <row r="1294" customFormat="false" ht="15" hidden="false" customHeight="false" outlineLevel="0" collapsed="false">
      <c r="A1294" s="0" t="s">
        <v>1338</v>
      </c>
      <c r="B1294" s="2" t="n">
        <v>45803</v>
      </c>
      <c r="C1294" s="3" t="s">
        <v>736</v>
      </c>
      <c r="D1294" s="3" t="s">
        <v>34</v>
      </c>
      <c r="E1294" s="3" t="s">
        <v>35</v>
      </c>
      <c r="F1294" s="3" t="s">
        <v>30</v>
      </c>
      <c r="G1294" s="3" t="s">
        <v>52</v>
      </c>
      <c r="H1294" s="3" t="s">
        <v>30</v>
      </c>
      <c r="I1294" s="3" t="s">
        <v>41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str">
        <f aca="false">IF(OR(NOT(OR(J1294=0,J1294=1)),NOT(OR(K1294=0,K1294=1)),NOT(OR(L1294=0,L1294=1)),NOT(OR(M1294=0,M1294=1)),NOT(OR(U1294=0,U1294=1))),"Yes","No")</f>
        <v>No</v>
      </c>
      <c r="O1294" s="0" t="str">
        <f aca="false">IF(OR(AND(M1294=1,L1294=0),AND(L1294=1,K1294=0),AND(K1294=1,J1294=0)),"Yes","No")</f>
        <v>No</v>
      </c>
      <c r="P1294" s="0" t="n">
        <v>0</v>
      </c>
      <c r="Q1294" s="0" t="str">
        <f aca="false">IF(OR(AND(M1294=0,P1294&gt;0),AND(M1294=1,P1294&lt;=0)),"Yes","No")</f>
        <v>No</v>
      </c>
      <c r="R1294" s="0" t="str">
        <f aca="false">IF(AND(M1294=1,P1294&gt;calc_helpers!$B$5),"Yes","No")</f>
        <v>No</v>
      </c>
      <c r="S1294" s="0" t="n">
        <v>0</v>
      </c>
      <c r="T1294" s="0" t="str">
        <f aca="false">IF(S1294&gt;0,"Yes","No")</f>
        <v>No</v>
      </c>
      <c r="U1294" s="0" t="n">
        <v>0</v>
      </c>
      <c r="W1294" s="0" t="str">
        <f aca="false">IF(OR(AND(M1294=1,ISBLANK(V1294)),AND(M1294=0,NOT(ISBLANK(V1294)))),"Yes","No")</f>
        <v>No</v>
      </c>
      <c r="X1294" s="0" t="n">
        <v>74.4</v>
      </c>
      <c r="Y1294" s="3" t="s">
        <v>30</v>
      </c>
      <c r="Z1294" s="0" t="str">
        <f aca="false">IF(M1294=1,P1294,"")</f>
        <v/>
      </c>
    </row>
    <row r="1295" customFormat="false" ht="15" hidden="false" customHeight="false" outlineLevel="0" collapsed="false">
      <c r="A1295" s="0" t="s">
        <v>1339</v>
      </c>
      <c r="B1295" s="2" t="n">
        <v>45735</v>
      </c>
      <c r="C1295" s="3" t="s">
        <v>736</v>
      </c>
      <c r="D1295" s="3" t="s">
        <v>39</v>
      </c>
      <c r="E1295" s="3" t="s">
        <v>29</v>
      </c>
      <c r="F1295" s="3" t="s">
        <v>30</v>
      </c>
      <c r="G1295" s="3" t="s">
        <v>52</v>
      </c>
      <c r="H1295" s="3" t="s">
        <v>30</v>
      </c>
      <c r="I1295" s="3" t="s">
        <v>37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str">
        <f aca="false">IF(OR(NOT(OR(J1295=0,J1295=1)),NOT(OR(K1295=0,K1295=1)),NOT(OR(L1295=0,L1295=1)),NOT(OR(M1295=0,M1295=1)),NOT(OR(U1295=0,U1295=1))),"Yes","No")</f>
        <v>No</v>
      </c>
      <c r="O1295" s="0" t="str">
        <f aca="false">IF(OR(AND(M1295=1,L1295=0),AND(L1295=1,K1295=0),AND(K1295=1,J1295=0)),"Yes","No")</f>
        <v>No</v>
      </c>
      <c r="P1295" s="0" t="n">
        <v>0</v>
      </c>
      <c r="Q1295" s="0" t="str">
        <f aca="false">IF(OR(AND(M1295=0,P1295&gt;0),AND(M1295=1,P1295&lt;=0)),"Yes","No")</f>
        <v>No</v>
      </c>
      <c r="R1295" s="0" t="str">
        <f aca="false">IF(AND(M1295=1,P1295&gt;calc_helpers!$B$5),"Yes","No")</f>
        <v>No</v>
      </c>
      <c r="S1295" s="0" t="n">
        <v>0</v>
      </c>
      <c r="T1295" s="0" t="str">
        <f aca="false">IF(S1295&gt;0,"Yes","No")</f>
        <v>No</v>
      </c>
      <c r="U1295" s="0" t="n">
        <v>0</v>
      </c>
      <c r="W1295" s="0" t="str">
        <f aca="false">IF(OR(AND(M1295=1,ISBLANK(V1295)),AND(M1295=0,NOT(ISBLANK(V1295)))),"Yes","No")</f>
        <v>No</v>
      </c>
      <c r="X1295" s="0" t="n">
        <v>78.4</v>
      </c>
      <c r="Y1295" s="3" t="s">
        <v>30</v>
      </c>
      <c r="Z1295" s="0" t="str">
        <f aca="false">IF(M1295=1,P1295,"")</f>
        <v/>
      </c>
    </row>
    <row r="1296" customFormat="false" ht="15" hidden="false" customHeight="false" outlineLevel="0" collapsed="false">
      <c r="A1296" s="0" t="s">
        <v>1340</v>
      </c>
      <c r="B1296" s="2" t="n">
        <v>45744</v>
      </c>
      <c r="C1296" s="3" t="s">
        <v>736</v>
      </c>
      <c r="D1296" s="3" t="s">
        <v>28</v>
      </c>
      <c r="E1296" s="3" t="s">
        <v>29</v>
      </c>
      <c r="F1296" s="3" t="s">
        <v>30</v>
      </c>
      <c r="G1296" s="3" t="s">
        <v>50</v>
      </c>
      <c r="H1296" s="3" t="s">
        <v>30</v>
      </c>
      <c r="I1296" s="3" t="s">
        <v>37</v>
      </c>
      <c r="J1296" s="0" t="n">
        <v>1</v>
      </c>
      <c r="K1296" s="0" t="n">
        <v>0</v>
      </c>
      <c r="L1296" s="0" t="n">
        <v>0</v>
      </c>
      <c r="M1296" s="0" t="n">
        <v>0</v>
      </c>
      <c r="N1296" s="0" t="str">
        <f aca="false">IF(OR(NOT(OR(J1296=0,J1296=1)),NOT(OR(K1296=0,K1296=1)),NOT(OR(L1296=0,L1296=1)),NOT(OR(M1296=0,M1296=1)),NOT(OR(U1296=0,U1296=1))),"Yes","No")</f>
        <v>No</v>
      </c>
      <c r="O1296" s="0" t="str">
        <f aca="false">IF(OR(AND(M1296=1,L1296=0),AND(L1296=1,K1296=0),AND(K1296=1,J1296=0)),"Yes","No")</f>
        <v>No</v>
      </c>
      <c r="P1296" s="0" t="n">
        <v>0</v>
      </c>
      <c r="Q1296" s="0" t="str">
        <f aca="false">IF(OR(AND(M1296=0,P1296&gt;0),AND(M1296=1,P1296&lt;=0)),"Yes","No")</f>
        <v>No</v>
      </c>
      <c r="R1296" s="0" t="str">
        <f aca="false">IF(AND(M1296=1,P1296&gt;calc_helpers!$B$5),"Yes","No")</f>
        <v>No</v>
      </c>
      <c r="S1296" s="0" t="n">
        <v>0</v>
      </c>
      <c r="T1296" s="0" t="str">
        <f aca="false">IF(S1296&gt;0,"Yes","No")</f>
        <v>No</v>
      </c>
      <c r="U1296" s="0" t="n">
        <v>0</v>
      </c>
      <c r="W1296" s="0" t="str">
        <f aca="false">IF(OR(AND(M1296=1,ISBLANK(V1296)),AND(M1296=0,NOT(ISBLANK(V1296)))),"Yes","No")</f>
        <v>No</v>
      </c>
      <c r="X1296" s="0" t="n">
        <v>71.5</v>
      </c>
      <c r="Y1296" s="3" t="s">
        <v>30</v>
      </c>
      <c r="Z1296" s="0" t="str">
        <f aca="false">IF(M1296=1,P1296,"")</f>
        <v/>
      </c>
    </row>
    <row r="1297" customFormat="false" ht="15" hidden="false" customHeight="false" outlineLevel="0" collapsed="false">
      <c r="A1297" s="0" t="s">
        <v>1341</v>
      </c>
      <c r="B1297" s="2" t="n">
        <v>45805</v>
      </c>
      <c r="C1297" s="3" t="s">
        <v>736</v>
      </c>
      <c r="D1297" s="3" t="s">
        <v>43</v>
      </c>
      <c r="E1297" s="3" t="s">
        <v>29</v>
      </c>
      <c r="F1297" s="3" t="s">
        <v>30</v>
      </c>
      <c r="G1297" s="3" t="s">
        <v>52</v>
      </c>
      <c r="H1297" s="3" t="s">
        <v>30</v>
      </c>
      <c r="I1297" s="3" t="s">
        <v>37</v>
      </c>
      <c r="J1297" s="0" t="n">
        <v>1</v>
      </c>
      <c r="K1297" s="0" t="n">
        <v>0</v>
      </c>
      <c r="L1297" s="0" t="n">
        <v>0</v>
      </c>
      <c r="M1297" s="0" t="n">
        <v>0</v>
      </c>
      <c r="N1297" s="0" t="str">
        <f aca="false">IF(OR(NOT(OR(J1297=0,J1297=1)),NOT(OR(K1297=0,K1297=1)),NOT(OR(L1297=0,L1297=1)),NOT(OR(M1297=0,M1297=1)),NOT(OR(U1297=0,U1297=1))),"Yes","No")</f>
        <v>No</v>
      </c>
      <c r="O1297" s="0" t="str">
        <f aca="false">IF(OR(AND(M1297=1,L1297=0),AND(L1297=1,K1297=0),AND(K1297=1,J1297=0)),"Yes","No")</f>
        <v>No</v>
      </c>
      <c r="P1297" s="0" t="n">
        <v>0</v>
      </c>
      <c r="Q1297" s="0" t="str">
        <f aca="false">IF(OR(AND(M1297=0,P1297&gt;0),AND(M1297=1,P1297&lt;=0)),"Yes","No")</f>
        <v>No</v>
      </c>
      <c r="R1297" s="0" t="str">
        <f aca="false">IF(AND(M1297=1,P1297&gt;calc_helpers!$B$5),"Yes","No")</f>
        <v>No</v>
      </c>
      <c r="S1297" s="0" t="n">
        <v>0</v>
      </c>
      <c r="T1297" s="0" t="str">
        <f aca="false">IF(S1297&gt;0,"Yes","No")</f>
        <v>No</v>
      </c>
      <c r="U1297" s="0" t="n">
        <v>0</v>
      </c>
      <c r="W1297" s="0" t="str">
        <f aca="false">IF(OR(AND(M1297=1,ISBLANK(V1297)),AND(M1297=0,NOT(ISBLANK(V1297)))),"Yes","No")</f>
        <v>No</v>
      </c>
      <c r="X1297" s="0" t="n">
        <v>66.7</v>
      </c>
      <c r="Y1297" s="3" t="s">
        <v>30</v>
      </c>
      <c r="Z1297" s="0" t="str">
        <f aca="false">IF(M1297=1,P1297,"")</f>
        <v/>
      </c>
    </row>
    <row r="1298" customFormat="false" ht="15" hidden="false" customHeight="false" outlineLevel="0" collapsed="false">
      <c r="A1298" s="0" t="s">
        <v>1342</v>
      </c>
      <c r="B1298" s="2" t="n">
        <v>45808</v>
      </c>
      <c r="C1298" s="3" t="s">
        <v>736</v>
      </c>
      <c r="D1298" s="3" t="s">
        <v>43</v>
      </c>
      <c r="E1298" s="3" t="s">
        <v>29</v>
      </c>
      <c r="F1298" s="3" t="s">
        <v>30</v>
      </c>
      <c r="G1298" s="3" t="s">
        <v>50</v>
      </c>
      <c r="H1298" s="3" t="s">
        <v>30</v>
      </c>
      <c r="I1298" s="3" t="s">
        <v>41</v>
      </c>
      <c r="J1298" s="0" t="n">
        <v>1</v>
      </c>
      <c r="K1298" s="0" t="n">
        <v>1</v>
      </c>
      <c r="L1298" s="0" t="n">
        <v>1</v>
      </c>
      <c r="M1298" s="0" t="n">
        <v>1</v>
      </c>
      <c r="N1298" s="0" t="str">
        <f aca="false">IF(OR(NOT(OR(J1298=0,J1298=1)),NOT(OR(K1298=0,K1298=1)),NOT(OR(L1298=0,L1298=1)),NOT(OR(M1298=0,M1298=1)),NOT(OR(U1298=0,U1298=1))),"Yes","No")</f>
        <v>No</v>
      </c>
      <c r="O1298" s="0" t="str">
        <f aca="false">IF(OR(AND(M1298=1,L1298=0),AND(L1298=1,K1298=0),AND(K1298=1,J1298=0)),"Yes","No")</f>
        <v>No</v>
      </c>
      <c r="P1298" s="0" t="n">
        <v>1496.09</v>
      </c>
      <c r="Q1298" s="0" t="str">
        <f aca="false">IF(OR(AND(M1298=0,P1298&gt;0),AND(M1298=1,P1298&lt;=0)),"Yes","No")</f>
        <v>No</v>
      </c>
      <c r="R1298" s="0" t="str">
        <f aca="false">IF(AND(M1298=1,P1298&gt;calc_helpers!$B$5),"Yes","No")</f>
        <v>No</v>
      </c>
      <c r="S1298" s="0" t="n">
        <v>0</v>
      </c>
      <c r="T1298" s="0" t="str">
        <f aca="false">IF(S1298&gt;0,"Yes","No")</f>
        <v>No</v>
      </c>
      <c r="U1298" s="0" t="n">
        <v>0</v>
      </c>
      <c r="V1298" s="0" t="n">
        <v>7</v>
      </c>
      <c r="W1298" s="0" t="str">
        <f aca="false">IF(OR(AND(M1298=1,ISBLANK(V1298)),AND(M1298=0,NOT(ISBLANK(V1298)))),"Yes","No")</f>
        <v>No</v>
      </c>
      <c r="X1298" s="0" t="n">
        <v>60.4</v>
      </c>
      <c r="Y1298" s="3" t="s">
        <v>30</v>
      </c>
      <c r="Z1298" s="3" t="n">
        <f aca="false">IF(M1298=1,P1298,"")</f>
        <v>1496.09</v>
      </c>
    </row>
    <row r="1299" customFormat="false" ht="15" hidden="false" customHeight="false" outlineLevel="0" collapsed="false">
      <c r="A1299" s="0" t="s">
        <v>1343</v>
      </c>
      <c r="B1299" s="2" t="n">
        <v>45787</v>
      </c>
      <c r="C1299" s="3" t="s">
        <v>736</v>
      </c>
      <c r="D1299" s="3" t="s">
        <v>28</v>
      </c>
      <c r="E1299" s="3" t="s">
        <v>35</v>
      </c>
      <c r="F1299" s="3" t="s">
        <v>30</v>
      </c>
      <c r="G1299" s="3" t="s">
        <v>50</v>
      </c>
      <c r="H1299" s="3" t="s">
        <v>30</v>
      </c>
      <c r="I1299" s="3" t="s">
        <v>37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str">
        <f aca="false">IF(OR(NOT(OR(J1299=0,J1299=1)),NOT(OR(K1299=0,K1299=1)),NOT(OR(L1299=0,L1299=1)),NOT(OR(M1299=0,M1299=1)),NOT(OR(U1299=0,U1299=1))),"Yes","No")</f>
        <v>No</v>
      </c>
      <c r="O1299" s="0" t="str">
        <f aca="false">IF(OR(AND(M1299=1,L1299=0),AND(L1299=1,K1299=0),AND(K1299=1,J1299=0)),"Yes","No")</f>
        <v>No</v>
      </c>
      <c r="P1299" s="0" t="n">
        <v>0</v>
      </c>
      <c r="Q1299" s="0" t="str">
        <f aca="false">IF(OR(AND(M1299=0,P1299&gt;0),AND(M1299=1,P1299&lt;=0)),"Yes","No")</f>
        <v>No</v>
      </c>
      <c r="R1299" s="0" t="str">
        <f aca="false">IF(AND(M1299=1,P1299&gt;calc_helpers!$B$5),"Yes","No")</f>
        <v>No</v>
      </c>
      <c r="S1299" s="0" t="n">
        <v>1</v>
      </c>
      <c r="T1299" s="0" t="str">
        <f aca="false">IF(S1299&gt;0,"Yes","No")</f>
        <v>Yes</v>
      </c>
      <c r="U1299" s="0" t="n">
        <v>0</v>
      </c>
      <c r="W1299" s="0" t="str">
        <f aca="false">IF(OR(AND(M1299=1,ISBLANK(V1299)),AND(M1299=0,NOT(ISBLANK(V1299)))),"Yes","No")</f>
        <v>No</v>
      </c>
      <c r="X1299" s="0" t="n">
        <v>72.9</v>
      </c>
      <c r="Y1299" s="3" t="s">
        <v>30</v>
      </c>
      <c r="Z1299" s="0" t="str">
        <f aca="false">IF(M1299=1,P1299,"")</f>
        <v/>
      </c>
    </row>
    <row r="1300" customFormat="false" ht="15" hidden="false" customHeight="false" outlineLevel="0" collapsed="false">
      <c r="A1300" s="0" t="s">
        <v>1344</v>
      </c>
      <c r="B1300" s="2" t="n">
        <v>45794</v>
      </c>
      <c r="C1300" s="3" t="s">
        <v>736</v>
      </c>
      <c r="D1300" s="3" t="s">
        <v>34</v>
      </c>
      <c r="E1300" s="3" t="s">
        <v>35</v>
      </c>
      <c r="F1300" s="3" t="s">
        <v>30</v>
      </c>
      <c r="G1300" s="3" t="s">
        <v>36</v>
      </c>
      <c r="H1300" s="3" t="s">
        <v>30</v>
      </c>
      <c r="I1300" s="3" t="s">
        <v>37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str">
        <f aca="false">IF(OR(NOT(OR(J1300=0,J1300=1)),NOT(OR(K1300=0,K1300=1)),NOT(OR(L1300=0,L1300=1)),NOT(OR(M1300=0,M1300=1)),NOT(OR(U1300=0,U1300=1))),"Yes","No")</f>
        <v>No</v>
      </c>
      <c r="O1300" s="0" t="str">
        <f aca="false">IF(OR(AND(M1300=1,L1300=0),AND(L1300=1,K1300=0),AND(K1300=1,J1300=0)),"Yes","No")</f>
        <v>No</v>
      </c>
      <c r="P1300" s="0" t="n">
        <v>0</v>
      </c>
      <c r="Q1300" s="0" t="str">
        <f aca="false">IF(OR(AND(M1300=0,P1300&gt;0),AND(M1300=1,P1300&lt;=0)),"Yes","No")</f>
        <v>No</v>
      </c>
      <c r="R1300" s="0" t="str">
        <f aca="false">IF(AND(M1300=1,P1300&gt;calc_helpers!$B$5),"Yes","No")</f>
        <v>No</v>
      </c>
      <c r="S1300" s="0" t="n">
        <v>3</v>
      </c>
      <c r="T1300" s="0" t="str">
        <f aca="false">IF(S1300&gt;0,"Yes","No")</f>
        <v>Yes</v>
      </c>
      <c r="U1300" s="0" t="n">
        <v>0</v>
      </c>
      <c r="W1300" s="0" t="str">
        <f aca="false">IF(OR(AND(M1300=1,ISBLANK(V1300)),AND(M1300=0,NOT(ISBLANK(V1300)))),"Yes","No")</f>
        <v>No</v>
      </c>
      <c r="Y1300" s="3" t="s">
        <v>168</v>
      </c>
      <c r="Z1300" s="0" t="str">
        <f aca="false">IF(M1300=1,P1300,"")</f>
        <v/>
      </c>
    </row>
    <row r="1301" customFormat="false" ht="15" hidden="false" customHeight="false" outlineLevel="0" collapsed="false">
      <c r="A1301" s="0" t="s">
        <v>1345</v>
      </c>
      <c r="B1301" s="2" t="n">
        <v>45675</v>
      </c>
      <c r="C1301" s="3" t="s">
        <v>736</v>
      </c>
      <c r="D1301" s="3" t="s">
        <v>43</v>
      </c>
      <c r="E1301" s="3" t="s">
        <v>35</v>
      </c>
      <c r="F1301" s="3" t="s">
        <v>30</v>
      </c>
      <c r="G1301" s="3" t="s">
        <v>36</v>
      </c>
      <c r="H1301" s="3" t="s">
        <v>30</v>
      </c>
      <c r="I1301" s="3" t="s">
        <v>41</v>
      </c>
      <c r="J1301" s="0" t="n">
        <v>1</v>
      </c>
      <c r="K1301" s="0" t="n">
        <v>0</v>
      </c>
      <c r="L1301" s="0" t="n">
        <v>0</v>
      </c>
      <c r="M1301" s="0" t="n">
        <v>0</v>
      </c>
      <c r="N1301" s="0" t="str">
        <f aca="false">IF(OR(NOT(OR(J1301=0,J1301=1)),NOT(OR(K1301=0,K1301=1)),NOT(OR(L1301=0,L1301=1)),NOT(OR(M1301=0,M1301=1)),NOT(OR(U1301=0,U1301=1))),"Yes","No")</f>
        <v>No</v>
      </c>
      <c r="O1301" s="0" t="str">
        <f aca="false">IF(OR(AND(M1301=1,L1301=0),AND(L1301=1,K1301=0),AND(K1301=1,J1301=0)),"Yes","No")</f>
        <v>No</v>
      </c>
      <c r="P1301" s="0" t="n">
        <v>0</v>
      </c>
      <c r="Q1301" s="0" t="str">
        <f aca="false">IF(OR(AND(M1301=0,P1301&gt;0),AND(M1301=1,P1301&lt;=0)),"Yes","No")</f>
        <v>No</v>
      </c>
      <c r="R1301" s="0" t="str">
        <f aca="false">IF(AND(M1301=1,P1301&gt;calc_helpers!$B$5),"Yes","No")</f>
        <v>No</v>
      </c>
      <c r="S1301" s="0" t="n">
        <v>0</v>
      </c>
      <c r="T1301" s="0" t="str">
        <f aca="false">IF(S1301&gt;0,"Yes","No")</f>
        <v>No</v>
      </c>
      <c r="U1301" s="0" t="n">
        <v>0</v>
      </c>
      <c r="W1301" s="0" t="str">
        <f aca="false">IF(OR(AND(M1301=1,ISBLANK(V1301)),AND(M1301=0,NOT(ISBLANK(V1301)))),"Yes","No")</f>
        <v>No</v>
      </c>
      <c r="X1301" s="0" t="n">
        <v>55.2</v>
      </c>
      <c r="Y1301" s="3" t="s">
        <v>30</v>
      </c>
      <c r="Z1301" s="0" t="str">
        <f aca="false">IF(M1301=1,P1301,"")</f>
        <v/>
      </c>
    </row>
    <row r="1302" customFormat="false" ht="15" hidden="false" customHeight="false" outlineLevel="0" collapsed="false">
      <c r="A1302" s="0" t="s">
        <v>1346</v>
      </c>
      <c r="B1302" s="2" t="n">
        <v>45781</v>
      </c>
      <c r="C1302" s="3" t="s">
        <v>736</v>
      </c>
      <c r="D1302" s="3" t="s">
        <v>34</v>
      </c>
      <c r="E1302" s="3" t="s">
        <v>35</v>
      </c>
      <c r="F1302" s="3" t="s">
        <v>30</v>
      </c>
      <c r="G1302" s="3" t="s">
        <v>52</v>
      </c>
      <c r="H1302" s="3" t="s">
        <v>30</v>
      </c>
      <c r="I1302" s="3" t="s">
        <v>37</v>
      </c>
      <c r="J1302" s="0" t="n">
        <v>1</v>
      </c>
      <c r="K1302" s="0" t="n">
        <v>0</v>
      </c>
      <c r="L1302" s="0" t="n">
        <v>0</v>
      </c>
      <c r="M1302" s="0" t="n">
        <v>0</v>
      </c>
      <c r="N1302" s="0" t="str">
        <f aca="false">IF(OR(NOT(OR(J1302=0,J1302=1)),NOT(OR(K1302=0,K1302=1)),NOT(OR(L1302=0,L1302=1)),NOT(OR(M1302=0,M1302=1)),NOT(OR(U1302=0,U1302=1))),"Yes","No")</f>
        <v>No</v>
      </c>
      <c r="O1302" s="0" t="str">
        <f aca="false">IF(OR(AND(M1302=1,L1302=0),AND(L1302=1,K1302=0),AND(K1302=1,J1302=0)),"Yes","No")</f>
        <v>No</v>
      </c>
      <c r="P1302" s="0" t="n">
        <v>0</v>
      </c>
      <c r="Q1302" s="0" t="str">
        <f aca="false">IF(OR(AND(M1302=0,P1302&gt;0),AND(M1302=1,P1302&lt;=0)),"Yes","No")</f>
        <v>No</v>
      </c>
      <c r="R1302" s="0" t="str">
        <f aca="false">IF(AND(M1302=1,P1302&gt;calc_helpers!$B$5),"Yes","No")</f>
        <v>No</v>
      </c>
      <c r="S1302" s="0" t="n">
        <v>0</v>
      </c>
      <c r="T1302" s="0" t="str">
        <f aca="false">IF(S1302&gt;0,"Yes","No")</f>
        <v>No</v>
      </c>
      <c r="U1302" s="0" t="n">
        <v>0</v>
      </c>
      <c r="W1302" s="0" t="str">
        <f aca="false">IF(OR(AND(M1302=1,ISBLANK(V1302)),AND(M1302=0,NOT(ISBLANK(V1302)))),"Yes","No")</f>
        <v>No</v>
      </c>
      <c r="X1302" s="0" t="n">
        <v>67.8</v>
      </c>
      <c r="Y1302" s="3" t="s">
        <v>30</v>
      </c>
      <c r="Z1302" s="0" t="str">
        <f aca="false">IF(M1302=1,P1302,"")</f>
        <v/>
      </c>
    </row>
    <row r="1303" customFormat="false" ht="15" hidden="false" customHeight="false" outlineLevel="0" collapsed="false">
      <c r="A1303" s="0" t="s">
        <v>1347</v>
      </c>
      <c r="B1303" s="2" t="n">
        <v>45741</v>
      </c>
      <c r="C1303" s="3" t="s">
        <v>736</v>
      </c>
      <c r="D1303" s="3" t="s">
        <v>28</v>
      </c>
      <c r="E1303" s="3" t="s">
        <v>35</v>
      </c>
      <c r="F1303" s="3" t="s">
        <v>30</v>
      </c>
      <c r="G1303" s="3" t="s">
        <v>36</v>
      </c>
      <c r="H1303" s="3" t="s">
        <v>30</v>
      </c>
      <c r="I1303" s="3" t="s">
        <v>37</v>
      </c>
      <c r="J1303" s="0" t="n">
        <v>1</v>
      </c>
      <c r="K1303" s="0" t="n">
        <v>0</v>
      </c>
      <c r="L1303" s="0" t="n">
        <v>0</v>
      </c>
      <c r="M1303" s="0" t="n">
        <v>0</v>
      </c>
      <c r="N1303" s="0" t="str">
        <f aca="false">IF(OR(NOT(OR(J1303=0,J1303=1)),NOT(OR(K1303=0,K1303=1)),NOT(OR(L1303=0,L1303=1)),NOT(OR(M1303=0,M1303=1)),NOT(OR(U1303=0,U1303=1))),"Yes","No")</f>
        <v>No</v>
      </c>
      <c r="O1303" s="0" t="str">
        <f aca="false">IF(OR(AND(M1303=1,L1303=0),AND(L1303=1,K1303=0),AND(K1303=1,J1303=0)),"Yes","No")</f>
        <v>No</v>
      </c>
      <c r="P1303" s="0" t="n">
        <v>0</v>
      </c>
      <c r="Q1303" s="0" t="str">
        <f aca="false">IF(OR(AND(M1303=0,P1303&gt;0),AND(M1303=1,P1303&lt;=0)),"Yes","No")</f>
        <v>No</v>
      </c>
      <c r="R1303" s="0" t="str">
        <f aca="false">IF(AND(M1303=1,P1303&gt;calc_helpers!$B$5),"Yes","No")</f>
        <v>No</v>
      </c>
      <c r="S1303" s="0" t="n">
        <v>2</v>
      </c>
      <c r="T1303" s="0" t="str">
        <f aca="false">IF(S1303&gt;0,"Yes","No")</f>
        <v>Yes</v>
      </c>
      <c r="U1303" s="0" t="n">
        <v>0</v>
      </c>
      <c r="W1303" s="0" t="str">
        <f aca="false">IF(OR(AND(M1303=1,ISBLANK(V1303)),AND(M1303=0,NOT(ISBLANK(V1303)))),"Yes","No")</f>
        <v>No</v>
      </c>
      <c r="X1303" s="0" t="n">
        <v>70</v>
      </c>
      <c r="Y1303" s="3" t="s">
        <v>30</v>
      </c>
      <c r="Z1303" s="0" t="str">
        <f aca="false">IF(M1303=1,P1303,"")</f>
        <v/>
      </c>
    </row>
    <row r="1304" customFormat="false" ht="15" hidden="false" customHeight="false" outlineLevel="0" collapsed="false">
      <c r="A1304" s="0" t="s">
        <v>1348</v>
      </c>
      <c r="B1304" s="2" t="n">
        <v>45715</v>
      </c>
      <c r="C1304" s="3" t="s">
        <v>736</v>
      </c>
      <c r="D1304" s="3" t="s">
        <v>28</v>
      </c>
      <c r="E1304" s="3" t="s">
        <v>35</v>
      </c>
      <c r="F1304" s="3" t="s">
        <v>30</v>
      </c>
      <c r="G1304" s="3" t="s">
        <v>52</v>
      </c>
      <c r="H1304" s="3" t="s">
        <v>30</v>
      </c>
      <c r="I1304" s="3" t="s">
        <v>32</v>
      </c>
      <c r="J1304" s="0" t="n">
        <v>1</v>
      </c>
      <c r="K1304" s="0" t="n">
        <v>1</v>
      </c>
      <c r="L1304" s="0" t="n">
        <v>1</v>
      </c>
      <c r="M1304" s="0" t="n">
        <v>0</v>
      </c>
      <c r="N1304" s="0" t="str">
        <f aca="false">IF(OR(NOT(OR(J1304=0,J1304=1)),NOT(OR(K1304=0,K1304=1)),NOT(OR(L1304=0,L1304=1)),NOT(OR(M1304=0,M1304=1)),NOT(OR(U1304=0,U1304=1))),"Yes","No")</f>
        <v>No</v>
      </c>
      <c r="O1304" s="0" t="str">
        <f aca="false">IF(OR(AND(M1304=1,L1304=0),AND(L1304=1,K1304=0),AND(K1304=1,J1304=0)),"Yes","No")</f>
        <v>No</v>
      </c>
      <c r="P1304" s="0" t="n">
        <v>0</v>
      </c>
      <c r="Q1304" s="0" t="str">
        <f aca="false">IF(OR(AND(M1304=0,P1304&gt;0),AND(M1304=1,P1304&lt;=0)),"Yes","No")</f>
        <v>No</v>
      </c>
      <c r="R1304" s="0" t="str">
        <f aca="false">IF(AND(M1304=1,P1304&gt;calc_helpers!$B$5),"Yes","No")</f>
        <v>No</v>
      </c>
      <c r="S1304" s="0" t="n">
        <v>0</v>
      </c>
      <c r="T1304" s="0" t="str">
        <f aca="false">IF(S1304&gt;0,"Yes","No")</f>
        <v>No</v>
      </c>
      <c r="U1304" s="0" t="n">
        <v>0</v>
      </c>
      <c r="W1304" s="0" t="str">
        <f aca="false">IF(OR(AND(M1304=1,ISBLANK(V1304)),AND(M1304=0,NOT(ISBLANK(V1304)))),"Yes","No")</f>
        <v>No</v>
      </c>
      <c r="X1304" s="0" t="n">
        <v>51.1</v>
      </c>
      <c r="Y1304" s="3" t="s">
        <v>30</v>
      </c>
      <c r="Z1304" s="0" t="str">
        <f aca="false">IF(M1304=1,P1304,"")</f>
        <v/>
      </c>
    </row>
    <row r="1305" customFormat="false" ht="15" hidden="false" customHeight="false" outlineLevel="0" collapsed="false">
      <c r="A1305" s="0" t="s">
        <v>1349</v>
      </c>
      <c r="B1305" s="2" t="n">
        <v>45671</v>
      </c>
      <c r="C1305" s="3" t="s">
        <v>736</v>
      </c>
      <c r="D1305" s="3" t="s">
        <v>34</v>
      </c>
      <c r="E1305" s="3" t="s">
        <v>35</v>
      </c>
      <c r="F1305" s="3" t="s">
        <v>30</v>
      </c>
      <c r="G1305" s="3" t="s">
        <v>40</v>
      </c>
      <c r="H1305" s="3" t="s">
        <v>30</v>
      </c>
      <c r="I1305" s="3" t="s">
        <v>32</v>
      </c>
      <c r="J1305" s="0" t="n">
        <v>1</v>
      </c>
      <c r="K1305" s="0" t="n">
        <v>1</v>
      </c>
      <c r="L1305" s="0" t="n">
        <v>1</v>
      </c>
      <c r="M1305" s="0" t="n">
        <v>0</v>
      </c>
      <c r="N1305" s="0" t="str">
        <f aca="false">IF(OR(NOT(OR(J1305=0,J1305=1)),NOT(OR(K1305=0,K1305=1)),NOT(OR(L1305=0,L1305=1)),NOT(OR(M1305=0,M1305=1)),NOT(OR(U1305=0,U1305=1))),"Yes","No")</f>
        <v>No</v>
      </c>
      <c r="O1305" s="0" t="str">
        <f aca="false">IF(OR(AND(M1305=1,L1305=0),AND(L1305=1,K1305=0),AND(K1305=1,J1305=0)),"Yes","No")</f>
        <v>No</v>
      </c>
      <c r="P1305" s="0" t="n">
        <v>0</v>
      </c>
      <c r="Q1305" s="0" t="str">
        <f aca="false">IF(OR(AND(M1305=0,P1305&gt;0),AND(M1305=1,P1305&lt;=0)),"Yes","No")</f>
        <v>No</v>
      </c>
      <c r="R1305" s="0" t="str">
        <f aca="false">IF(AND(M1305=1,P1305&gt;calc_helpers!$B$5),"Yes","No")</f>
        <v>No</v>
      </c>
      <c r="S1305" s="0" t="n">
        <v>0</v>
      </c>
      <c r="T1305" s="0" t="str">
        <f aca="false">IF(S1305&gt;0,"Yes","No")</f>
        <v>No</v>
      </c>
      <c r="U1305" s="0" t="n">
        <v>0</v>
      </c>
      <c r="W1305" s="0" t="str">
        <f aca="false">IF(OR(AND(M1305=1,ISBLANK(V1305)),AND(M1305=0,NOT(ISBLANK(V1305)))),"Yes","No")</f>
        <v>No</v>
      </c>
      <c r="X1305" s="0" t="n">
        <v>57</v>
      </c>
      <c r="Y1305" s="3" t="s">
        <v>30</v>
      </c>
      <c r="Z1305" s="0" t="str">
        <f aca="false">IF(M1305=1,P1305,"")</f>
        <v/>
      </c>
    </row>
    <row r="1306" customFormat="false" ht="15" hidden="false" customHeight="false" outlineLevel="0" collapsed="false">
      <c r="A1306" s="0" t="s">
        <v>1350</v>
      </c>
      <c r="B1306" s="2" t="n">
        <v>45758</v>
      </c>
      <c r="C1306" s="3" t="s">
        <v>736</v>
      </c>
      <c r="D1306" s="3" t="s">
        <v>39</v>
      </c>
      <c r="E1306" s="3" t="s">
        <v>35</v>
      </c>
      <c r="F1306" s="3" t="s">
        <v>30</v>
      </c>
      <c r="G1306" s="3" t="s">
        <v>52</v>
      </c>
      <c r="H1306" s="3" t="s">
        <v>30</v>
      </c>
      <c r="I1306" s="3" t="s">
        <v>37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str">
        <f aca="false">IF(OR(NOT(OR(J1306=0,J1306=1)),NOT(OR(K1306=0,K1306=1)),NOT(OR(L1306=0,L1306=1)),NOT(OR(M1306=0,M1306=1)),NOT(OR(U1306=0,U1306=1))),"Yes","No")</f>
        <v>No</v>
      </c>
      <c r="O1306" s="0" t="str">
        <f aca="false">IF(OR(AND(M1306=1,L1306=0),AND(L1306=1,K1306=0),AND(K1306=1,J1306=0)),"Yes","No")</f>
        <v>No</v>
      </c>
      <c r="P1306" s="0" t="n">
        <v>0</v>
      </c>
      <c r="Q1306" s="0" t="str">
        <f aca="false">IF(OR(AND(M1306=0,P1306&gt;0),AND(M1306=1,P1306&lt;=0)),"Yes","No")</f>
        <v>No</v>
      </c>
      <c r="R1306" s="0" t="str">
        <f aca="false">IF(AND(M1306=1,P1306&gt;calc_helpers!$B$5),"Yes","No")</f>
        <v>No</v>
      </c>
      <c r="S1306" s="0" t="n">
        <v>1</v>
      </c>
      <c r="T1306" s="0" t="str">
        <f aca="false">IF(S1306&gt;0,"Yes","No")</f>
        <v>Yes</v>
      </c>
      <c r="U1306" s="0" t="n">
        <v>0</v>
      </c>
      <c r="W1306" s="0" t="str">
        <f aca="false">IF(OR(AND(M1306=1,ISBLANK(V1306)),AND(M1306=0,NOT(ISBLANK(V1306)))),"Yes","No")</f>
        <v>No</v>
      </c>
      <c r="X1306" s="0" t="n">
        <v>47.1</v>
      </c>
      <c r="Y1306" s="3" t="s">
        <v>30</v>
      </c>
      <c r="Z1306" s="0" t="str">
        <f aca="false">IF(M1306=1,P1306,"")</f>
        <v/>
      </c>
    </row>
    <row r="1307" customFormat="false" ht="15" hidden="false" customHeight="false" outlineLevel="0" collapsed="false">
      <c r="A1307" s="0" t="s">
        <v>1351</v>
      </c>
      <c r="B1307" s="2" t="n">
        <v>45742</v>
      </c>
      <c r="C1307" s="3" t="s">
        <v>736</v>
      </c>
      <c r="D1307" s="3" t="s">
        <v>39</v>
      </c>
      <c r="E1307" s="3" t="s">
        <v>29</v>
      </c>
      <c r="F1307" s="3" t="s">
        <v>30</v>
      </c>
      <c r="G1307" s="3" t="s">
        <v>52</v>
      </c>
      <c r="H1307" s="3" t="s">
        <v>30</v>
      </c>
      <c r="I1307" s="3" t="s">
        <v>32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str">
        <f aca="false">IF(OR(NOT(OR(J1307=0,J1307=1)),NOT(OR(K1307=0,K1307=1)),NOT(OR(L1307=0,L1307=1)),NOT(OR(M1307=0,M1307=1)),NOT(OR(U1307=0,U1307=1))),"Yes","No")</f>
        <v>No</v>
      </c>
      <c r="O1307" s="0" t="str">
        <f aca="false">IF(OR(AND(M1307=1,L1307=0),AND(L1307=1,K1307=0),AND(K1307=1,J1307=0)),"Yes","No")</f>
        <v>No</v>
      </c>
      <c r="P1307" s="0" t="n">
        <v>0</v>
      </c>
      <c r="Q1307" s="0" t="str">
        <f aca="false">IF(OR(AND(M1307=0,P1307&gt;0),AND(M1307=1,P1307&lt;=0)),"Yes","No")</f>
        <v>No</v>
      </c>
      <c r="R1307" s="0" t="str">
        <f aca="false">IF(AND(M1307=1,P1307&gt;calc_helpers!$B$5),"Yes","No")</f>
        <v>No</v>
      </c>
      <c r="S1307" s="0" t="n">
        <v>0</v>
      </c>
      <c r="T1307" s="0" t="str">
        <f aca="false">IF(S1307&gt;0,"Yes","No")</f>
        <v>No</v>
      </c>
      <c r="U1307" s="0" t="n">
        <v>0</v>
      </c>
      <c r="W1307" s="0" t="str">
        <f aca="false">IF(OR(AND(M1307=1,ISBLANK(V1307)),AND(M1307=0,NOT(ISBLANK(V1307)))),"Yes","No")</f>
        <v>No</v>
      </c>
      <c r="X1307" s="0" t="n">
        <v>30.7</v>
      </c>
      <c r="Y1307" s="3" t="s">
        <v>30</v>
      </c>
      <c r="Z1307" s="0" t="str">
        <f aca="false">IF(M1307=1,P1307,"")</f>
        <v/>
      </c>
    </row>
    <row r="1308" customFormat="false" ht="15" hidden="false" customHeight="false" outlineLevel="0" collapsed="false">
      <c r="A1308" s="0" t="s">
        <v>1352</v>
      </c>
      <c r="B1308" s="2" t="n">
        <v>45700</v>
      </c>
      <c r="C1308" s="3" t="s">
        <v>736</v>
      </c>
      <c r="D1308" s="3" t="s">
        <v>34</v>
      </c>
      <c r="E1308" s="3" t="s">
        <v>29</v>
      </c>
      <c r="F1308" s="3" t="s">
        <v>30</v>
      </c>
      <c r="G1308" s="3" t="s">
        <v>52</v>
      </c>
      <c r="H1308" s="3" t="s">
        <v>30</v>
      </c>
      <c r="I1308" s="3" t="s">
        <v>37</v>
      </c>
      <c r="J1308" s="0" t="n">
        <v>1</v>
      </c>
      <c r="K1308" s="0" t="n">
        <v>0</v>
      </c>
      <c r="L1308" s="0" t="n">
        <v>0</v>
      </c>
      <c r="M1308" s="0" t="n">
        <v>0</v>
      </c>
      <c r="N1308" s="0" t="str">
        <f aca="false">IF(OR(NOT(OR(J1308=0,J1308=1)),NOT(OR(K1308=0,K1308=1)),NOT(OR(L1308=0,L1308=1)),NOT(OR(M1308=0,M1308=1)),NOT(OR(U1308=0,U1308=1))),"Yes","No")</f>
        <v>No</v>
      </c>
      <c r="O1308" s="0" t="str">
        <f aca="false">IF(OR(AND(M1308=1,L1308=0),AND(L1308=1,K1308=0),AND(K1308=1,J1308=0)),"Yes","No")</f>
        <v>No</v>
      </c>
      <c r="P1308" s="0" t="n">
        <v>0</v>
      </c>
      <c r="Q1308" s="0" t="str">
        <f aca="false">IF(OR(AND(M1308=0,P1308&gt;0),AND(M1308=1,P1308&lt;=0)),"Yes","No")</f>
        <v>No</v>
      </c>
      <c r="R1308" s="0" t="str">
        <f aca="false">IF(AND(M1308=1,P1308&gt;calc_helpers!$B$5),"Yes","No")</f>
        <v>No</v>
      </c>
      <c r="S1308" s="0" t="n">
        <v>0</v>
      </c>
      <c r="T1308" s="0" t="str">
        <f aca="false">IF(S1308&gt;0,"Yes","No")</f>
        <v>No</v>
      </c>
      <c r="U1308" s="0" t="n">
        <v>0</v>
      </c>
      <c r="W1308" s="0" t="str">
        <f aca="false">IF(OR(AND(M1308=1,ISBLANK(V1308)),AND(M1308=0,NOT(ISBLANK(V1308)))),"Yes","No")</f>
        <v>No</v>
      </c>
      <c r="X1308" s="0" t="n">
        <v>57.3</v>
      </c>
      <c r="Y1308" s="3" t="s">
        <v>30</v>
      </c>
      <c r="Z1308" s="0" t="str">
        <f aca="false">IF(M1308=1,P1308,"")</f>
        <v/>
      </c>
    </row>
    <row r="1309" customFormat="false" ht="15" hidden="false" customHeight="false" outlineLevel="0" collapsed="false">
      <c r="A1309" s="0" t="s">
        <v>1353</v>
      </c>
      <c r="B1309" s="2" t="n">
        <v>45706</v>
      </c>
      <c r="C1309" s="3" t="s">
        <v>736</v>
      </c>
      <c r="D1309" s="3" t="s">
        <v>34</v>
      </c>
      <c r="E1309" s="3" t="s">
        <v>45</v>
      </c>
      <c r="F1309" s="3" t="s">
        <v>30</v>
      </c>
      <c r="G1309" s="3" t="s">
        <v>40</v>
      </c>
      <c r="H1309" s="3" t="s">
        <v>30</v>
      </c>
      <c r="I1309" s="3" t="s">
        <v>32</v>
      </c>
      <c r="J1309" s="0" t="n">
        <v>1</v>
      </c>
      <c r="K1309" s="0" t="n">
        <v>0</v>
      </c>
      <c r="L1309" s="0" t="n">
        <v>0</v>
      </c>
      <c r="M1309" s="0" t="n">
        <v>0</v>
      </c>
      <c r="N1309" s="0" t="str">
        <f aca="false">IF(OR(NOT(OR(J1309=0,J1309=1)),NOT(OR(K1309=0,K1309=1)),NOT(OR(L1309=0,L1309=1)),NOT(OR(M1309=0,M1309=1)),NOT(OR(U1309=0,U1309=1))),"Yes","No")</f>
        <v>No</v>
      </c>
      <c r="O1309" s="0" t="str">
        <f aca="false">IF(OR(AND(M1309=1,L1309=0),AND(L1309=1,K1309=0),AND(K1309=1,J1309=0)),"Yes","No")</f>
        <v>No</v>
      </c>
      <c r="P1309" s="0" t="n">
        <v>0</v>
      </c>
      <c r="Q1309" s="0" t="str">
        <f aca="false">IF(OR(AND(M1309=0,P1309&gt;0),AND(M1309=1,P1309&lt;=0)),"Yes","No")</f>
        <v>No</v>
      </c>
      <c r="R1309" s="0" t="str">
        <f aca="false">IF(AND(M1309=1,P1309&gt;calc_helpers!$B$5),"Yes","No")</f>
        <v>No</v>
      </c>
      <c r="S1309" s="0" t="n">
        <v>0</v>
      </c>
      <c r="T1309" s="0" t="str">
        <f aca="false">IF(S1309&gt;0,"Yes","No")</f>
        <v>No</v>
      </c>
      <c r="U1309" s="0" t="n">
        <v>0</v>
      </c>
      <c r="W1309" s="0" t="str">
        <f aca="false">IF(OR(AND(M1309=1,ISBLANK(V1309)),AND(M1309=0,NOT(ISBLANK(V1309)))),"Yes","No")</f>
        <v>No</v>
      </c>
      <c r="X1309" s="0" t="n">
        <v>70</v>
      </c>
      <c r="Y1309" s="3" t="s">
        <v>30</v>
      </c>
      <c r="Z1309" s="0" t="str">
        <f aca="false">IF(M1309=1,P1309,"")</f>
        <v/>
      </c>
    </row>
    <row r="1310" customFormat="false" ht="15" hidden="false" customHeight="false" outlineLevel="0" collapsed="false">
      <c r="A1310" s="0" t="s">
        <v>1354</v>
      </c>
      <c r="B1310" s="2" t="n">
        <v>45802</v>
      </c>
      <c r="C1310" s="3" t="s">
        <v>736</v>
      </c>
      <c r="D1310" s="3" t="s">
        <v>39</v>
      </c>
      <c r="E1310" s="3" t="s">
        <v>29</v>
      </c>
      <c r="F1310" s="3" t="s">
        <v>30</v>
      </c>
      <c r="G1310" s="3" t="s">
        <v>52</v>
      </c>
      <c r="H1310" s="3" t="s">
        <v>30</v>
      </c>
      <c r="I1310" s="3" t="s">
        <v>37</v>
      </c>
      <c r="J1310" s="0" t="n">
        <v>1</v>
      </c>
      <c r="K1310" s="0" t="n">
        <v>1</v>
      </c>
      <c r="L1310" s="0" t="n">
        <v>1</v>
      </c>
      <c r="M1310" s="0" t="n">
        <v>0</v>
      </c>
      <c r="N1310" s="0" t="str">
        <f aca="false">IF(OR(NOT(OR(J1310=0,J1310=1)),NOT(OR(K1310=0,K1310=1)),NOT(OR(L1310=0,L1310=1)),NOT(OR(M1310=0,M1310=1)),NOT(OR(U1310=0,U1310=1))),"Yes","No")</f>
        <v>No</v>
      </c>
      <c r="O1310" s="0" t="str">
        <f aca="false">IF(OR(AND(M1310=1,L1310=0),AND(L1310=1,K1310=0),AND(K1310=1,J1310=0)),"Yes","No")</f>
        <v>No</v>
      </c>
      <c r="P1310" s="0" t="n">
        <v>0</v>
      </c>
      <c r="Q1310" s="0" t="str">
        <f aca="false">IF(OR(AND(M1310=0,P1310&gt;0),AND(M1310=1,P1310&lt;=0)),"Yes","No")</f>
        <v>No</v>
      </c>
      <c r="R1310" s="0" t="str">
        <f aca="false">IF(AND(M1310=1,P1310&gt;calc_helpers!$B$5),"Yes","No")</f>
        <v>No</v>
      </c>
      <c r="S1310" s="0" t="n">
        <v>0</v>
      </c>
      <c r="T1310" s="0" t="str">
        <f aca="false">IF(S1310&gt;0,"Yes","No")</f>
        <v>No</v>
      </c>
      <c r="U1310" s="0" t="n">
        <v>0</v>
      </c>
      <c r="W1310" s="0" t="str">
        <f aca="false">IF(OR(AND(M1310=1,ISBLANK(V1310)),AND(M1310=0,NOT(ISBLANK(V1310)))),"Yes","No")</f>
        <v>No</v>
      </c>
      <c r="X1310" s="0" t="n">
        <v>59.7</v>
      </c>
      <c r="Y1310" s="3" t="s">
        <v>30</v>
      </c>
      <c r="Z1310" s="0" t="str">
        <f aca="false">IF(M1310=1,P1310,"")</f>
        <v/>
      </c>
    </row>
    <row r="1311" customFormat="false" ht="15" hidden="false" customHeight="false" outlineLevel="0" collapsed="false">
      <c r="A1311" s="0" t="s">
        <v>1355</v>
      </c>
      <c r="B1311" s="2" t="n">
        <v>45800</v>
      </c>
      <c r="C1311" s="3" t="s">
        <v>736</v>
      </c>
      <c r="D1311" s="3" t="s">
        <v>39</v>
      </c>
      <c r="E1311" s="3" t="s">
        <v>29</v>
      </c>
      <c r="F1311" s="3" t="s">
        <v>30</v>
      </c>
      <c r="G1311" s="3" t="s">
        <v>40</v>
      </c>
      <c r="H1311" s="3" t="s">
        <v>30</v>
      </c>
      <c r="I1311" s="3" t="s">
        <v>32</v>
      </c>
      <c r="J1311" s="0" t="n">
        <v>1</v>
      </c>
      <c r="K1311" s="0" t="n">
        <v>0</v>
      </c>
      <c r="L1311" s="0" t="n">
        <v>0</v>
      </c>
      <c r="M1311" s="0" t="n">
        <v>0</v>
      </c>
      <c r="N1311" s="0" t="str">
        <f aca="false">IF(OR(NOT(OR(J1311=0,J1311=1)),NOT(OR(K1311=0,K1311=1)),NOT(OR(L1311=0,L1311=1)),NOT(OR(M1311=0,M1311=1)),NOT(OR(U1311=0,U1311=1))),"Yes","No")</f>
        <v>No</v>
      </c>
      <c r="O1311" s="0" t="str">
        <f aca="false">IF(OR(AND(M1311=1,L1311=0),AND(L1311=1,K1311=0),AND(K1311=1,J1311=0)),"Yes","No")</f>
        <v>No</v>
      </c>
      <c r="P1311" s="0" t="n">
        <v>0</v>
      </c>
      <c r="Q1311" s="0" t="str">
        <f aca="false">IF(OR(AND(M1311=0,P1311&gt;0),AND(M1311=1,P1311&lt;=0)),"Yes","No")</f>
        <v>No</v>
      </c>
      <c r="R1311" s="0" t="str">
        <f aca="false">IF(AND(M1311=1,P1311&gt;calc_helpers!$B$5),"Yes","No")</f>
        <v>No</v>
      </c>
      <c r="S1311" s="0" t="n">
        <v>0</v>
      </c>
      <c r="T1311" s="0" t="str">
        <f aca="false">IF(S1311&gt;0,"Yes","No")</f>
        <v>No</v>
      </c>
      <c r="U1311" s="0" t="n">
        <v>0</v>
      </c>
      <c r="W1311" s="0" t="str">
        <f aca="false">IF(OR(AND(M1311=1,ISBLANK(V1311)),AND(M1311=0,NOT(ISBLANK(V1311)))),"Yes","No")</f>
        <v>No</v>
      </c>
      <c r="X1311" s="0" t="n">
        <v>68.8</v>
      </c>
      <c r="Y1311" s="3" t="s">
        <v>30</v>
      </c>
      <c r="Z1311" s="0" t="str">
        <f aca="false">IF(M1311=1,P1311,"")</f>
        <v/>
      </c>
    </row>
    <row r="1312" customFormat="false" ht="15" hidden="false" customHeight="false" outlineLevel="0" collapsed="false">
      <c r="A1312" s="0" t="s">
        <v>1356</v>
      </c>
      <c r="B1312" s="2" t="n">
        <v>45673</v>
      </c>
      <c r="C1312" s="3" t="s">
        <v>736</v>
      </c>
      <c r="D1312" s="3" t="s">
        <v>28</v>
      </c>
      <c r="E1312" s="3" t="s">
        <v>29</v>
      </c>
      <c r="F1312" s="3" t="s">
        <v>30</v>
      </c>
      <c r="G1312" s="3" t="s">
        <v>36</v>
      </c>
      <c r="H1312" s="3" t="s">
        <v>30</v>
      </c>
      <c r="I1312" s="3" t="s">
        <v>37</v>
      </c>
      <c r="J1312" s="0" t="n">
        <v>1</v>
      </c>
      <c r="K1312" s="0" t="n">
        <v>1</v>
      </c>
      <c r="L1312" s="0" t="n">
        <v>1</v>
      </c>
      <c r="M1312" s="0" t="n">
        <v>1</v>
      </c>
      <c r="N1312" s="0" t="str">
        <f aca="false">IF(OR(NOT(OR(J1312=0,J1312=1)),NOT(OR(K1312=0,K1312=1)),NOT(OR(L1312=0,L1312=1)),NOT(OR(M1312=0,M1312=1)),NOT(OR(U1312=0,U1312=1))),"Yes","No")</f>
        <v>No</v>
      </c>
      <c r="O1312" s="0" t="str">
        <f aca="false">IF(OR(AND(M1312=1,L1312=0),AND(L1312=1,K1312=0),AND(K1312=1,J1312=0)),"Yes","No")</f>
        <v>No</v>
      </c>
      <c r="P1312" s="0" t="n">
        <v>428.37</v>
      </c>
      <c r="Q1312" s="0" t="str">
        <f aca="false">IF(OR(AND(M1312=0,P1312&gt;0),AND(M1312=1,P1312&lt;=0)),"Yes","No")</f>
        <v>No</v>
      </c>
      <c r="R1312" s="0" t="str">
        <f aca="false">IF(AND(M1312=1,P1312&gt;calc_helpers!$B$5),"Yes","No")</f>
        <v>No</v>
      </c>
      <c r="S1312" s="0" t="n">
        <v>0</v>
      </c>
      <c r="T1312" s="0" t="str">
        <f aca="false">IF(S1312&gt;0,"Yes","No")</f>
        <v>No</v>
      </c>
      <c r="U1312" s="0" t="n">
        <v>0</v>
      </c>
      <c r="V1312" s="0" t="n">
        <v>9</v>
      </c>
      <c r="W1312" s="0" t="str">
        <f aca="false">IF(OR(AND(M1312=1,ISBLANK(V1312)),AND(M1312=0,NOT(ISBLANK(V1312)))),"Yes","No")</f>
        <v>No</v>
      </c>
      <c r="X1312" s="0" t="n">
        <v>88.3</v>
      </c>
      <c r="Y1312" s="3" t="s">
        <v>30</v>
      </c>
      <c r="Z1312" s="3" t="n">
        <f aca="false">IF(M1312=1,P1312,"")</f>
        <v>428.37</v>
      </c>
    </row>
    <row r="1313" customFormat="false" ht="15" hidden="false" customHeight="false" outlineLevel="0" collapsed="false">
      <c r="A1313" s="0" t="s">
        <v>1357</v>
      </c>
      <c r="B1313" s="2" t="n">
        <v>45676</v>
      </c>
      <c r="C1313" s="3" t="s">
        <v>736</v>
      </c>
      <c r="D1313" s="3" t="s">
        <v>34</v>
      </c>
      <c r="E1313" s="3" t="s">
        <v>29</v>
      </c>
      <c r="F1313" s="3" t="s">
        <v>30</v>
      </c>
      <c r="G1313" s="3" t="s">
        <v>31</v>
      </c>
      <c r="H1313" s="3" t="s">
        <v>30</v>
      </c>
      <c r="I1313" s="3" t="s">
        <v>32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str">
        <f aca="false">IF(OR(NOT(OR(J1313=0,J1313=1)),NOT(OR(K1313=0,K1313=1)),NOT(OR(L1313=0,L1313=1)),NOT(OR(M1313=0,M1313=1)),NOT(OR(U1313=0,U1313=1))),"Yes","No")</f>
        <v>No</v>
      </c>
      <c r="O1313" s="0" t="str">
        <f aca="false">IF(OR(AND(M1313=1,L1313=0),AND(L1313=1,K1313=0),AND(K1313=1,J1313=0)),"Yes","No")</f>
        <v>No</v>
      </c>
      <c r="P1313" s="0" t="n">
        <v>0</v>
      </c>
      <c r="Q1313" s="0" t="str">
        <f aca="false">IF(OR(AND(M1313=0,P1313&gt;0),AND(M1313=1,P1313&lt;=0)),"Yes","No")</f>
        <v>No</v>
      </c>
      <c r="R1313" s="0" t="str">
        <f aca="false">IF(AND(M1313=1,P1313&gt;calc_helpers!$B$5),"Yes","No")</f>
        <v>No</v>
      </c>
      <c r="S1313" s="0" t="n">
        <v>0</v>
      </c>
      <c r="T1313" s="0" t="str">
        <f aca="false">IF(S1313&gt;0,"Yes","No")</f>
        <v>No</v>
      </c>
      <c r="U1313" s="0" t="n">
        <v>0</v>
      </c>
      <c r="W1313" s="0" t="str">
        <f aca="false">IF(OR(AND(M1313=1,ISBLANK(V1313)),AND(M1313=0,NOT(ISBLANK(V1313)))),"Yes","No")</f>
        <v>No</v>
      </c>
      <c r="X1313" s="0" t="n">
        <v>83.4</v>
      </c>
      <c r="Y1313" s="3" t="s">
        <v>30</v>
      </c>
      <c r="Z1313" s="0" t="str">
        <f aca="false">IF(M1313=1,P1313,"")</f>
        <v/>
      </c>
    </row>
    <row r="1314" customFormat="false" ht="15" hidden="false" customHeight="false" outlineLevel="0" collapsed="false">
      <c r="A1314" s="0" t="s">
        <v>1358</v>
      </c>
      <c r="B1314" s="2" t="n">
        <v>45795</v>
      </c>
      <c r="C1314" s="3" t="s">
        <v>736</v>
      </c>
      <c r="D1314" s="3" t="s">
        <v>43</v>
      </c>
      <c r="E1314" s="3" t="s">
        <v>35</v>
      </c>
      <c r="F1314" s="3" t="s">
        <v>30</v>
      </c>
      <c r="G1314" s="3" t="s">
        <v>50</v>
      </c>
      <c r="H1314" s="3" t="s">
        <v>30</v>
      </c>
      <c r="I1314" s="3" t="s">
        <v>37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str">
        <f aca="false">IF(OR(NOT(OR(J1314=0,J1314=1)),NOT(OR(K1314=0,K1314=1)),NOT(OR(L1314=0,L1314=1)),NOT(OR(M1314=0,M1314=1)),NOT(OR(U1314=0,U1314=1))),"Yes","No")</f>
        <v>No</v>
      </c>
      <c r="O1314" s="0" t="str">
        <f aca="false">IF(OR(AND(M1314=1,L1314=0),AND(L1314=1,K1314=0),AND(K1314=1,J1314=0)),"Yes","No")</f>
        <v>No</v>
      </c>
      <c r="P1314" s="0" t="n">
        <v>0</v>
      </c>
      <c r="Q1314" s="0" t="str">
        <f aca="false">IF(OR(AND(M1314=0,P1314&gt;0),AND(M1314=1,P1314&lt;=0)),"Yes","No")</f>
        <v>No</v>
      </c>
      <c r="R1314" s="0" t="str">
        <f aca="false">IF(AND(M1314=1,P1314&gt;calc_helpers!$B$5),"Yes","No")</f>
        <v>No</v>
      </c>
      <c r="S1314" s="0" t="n">
        <v>1</v>
      </c>
      <c r="T1314" s="0" t="str">
        <f aca="false">IF(S1314&gt;0,"Yes","No")</f>
        <v>Yes</v>
      </c>
      <c r="U1314" s="0" t="n">
        <v>0</v>
      </c>
      <c r="W1314" s="0" t="str">
        <f aca="false">IF(OR(AND(M1314=1,ISBLANK(V1314)),AND(M1314=0,NOT(ISBLANK(V1314)))),"Yes","No")</f>
        <v>No</v>
      </c>
      <c r="X1314" s="0" t="n">
        <v>81.6</v>
      </c>
      <c r="Y1314" s="3" t="s">
        <v>30</v>
      </c>
      <c r="Z1314" s="0" t="str">
        <f aca="false">IF(M1314=1,P1314,"")</f>
        <v/>
      </c>
    </row>
    <row r="1315" customFormat="false" ht="15" hidden="false" customHeight="false" outlineLevel="0" collapsed="false">
      <c r="A1315" s="0" t="s">
        <v>1359</v>
      </c>
      <c r="B1315" s="2" t="n">
        <v>45680</v>
      </c>
      <c r="C1315" s="3" t="s">
        <v>736</v>
      </c>
      <c r="D1315" s="3" t="s">
        <v>39</v>
      </c>
      <c r="E1315" s="3" t="s">
        <v>45</v>
      </c>
      <c r="F1315" s="3" t="s">
        <v>30</v>
      </c>
      <c r="G1315" s="3" t="s">
        <v>52</v>
      </c>
      <c r="H1315" s="3" t="s">
        <v>30</v>
      </c>
      <c r="I1315" s="3" t="s">
        <v>41</v>
      </c>
      <c r="J1315" s="0" t="n">
        <v>1</v>
      </c>
      <c r="K1315" s="0" t="n">
        <v>0</v>
      </c>
      <c r="L1315" s="0" t="n">
        <v>0</v>
      </c>
      <c r="M1315" s="0" t="n">
        <v>0</v>
      </c>
      <c r="N1315" s="0" t="str">
        <f aca="false">IF(OR(NOT(OR(J1315=0,J1315=1)),NOT(OR(K1315=0,K1315=1)),NOT(OR(L1315=0,L1315=1)),NOT(OR(M1315=0,M1315=1)),NOT(OR(U1315=0,U1315=1))),"Yes","No")</f>
        <v>No</v>
      </c>
      <c r="O1315" s="0" t="str">
        <f aca="false">IF(OR(AND(M1315=1,L1315=0),AND(L1315=1,K1315=0),AND(K1315=1,J1315=0)),"Yes","No")</f>
        <v>No</v>
      </c>
      <c r="P1315" s="0" t="n">
        <v>0</v>
      </c>
      <c r="Q1315" s="0" t="str">
        <f aca="false">IF(OR(AND(M1315=0,P1315&gt;0),AND(M1315=1,P1315&lt;=0)),"Yes","No")</f>
        <v>No</v>
      </c>
      <c r="R1315" s="0" t="str">
        <f aca="false">IF(AND(M1315=1,P1315&gt;calc_helpers!$B$5),"Yes","No")</f>
        <v>No</v>
      </c>
      <c r="S1315" s="0" t="n">
        <v>0</v>
      </c>
      <c r="T1315" s="0" t="str">
        <f aca="false">IF(S1315&gt;0,"Yes","No")</f>
        <v>No</v>
      </c>
      <c r="U1315" s="0" t="n">
        <v>0</v>
      </c>
      <c r="W1315" s="0" t="str">
        <f aca="false">IF(OR(AND(M1315=1,ISBLANK(V1315)),AND(M1315=0,NOT(ISBLANK(V1315)))),"Yes","No")</f>
        <v>No</v>
      </c>
      <c r="X1315" s="0" t="n">
        <v>91.6</v>
      </c>
      <c r="Y1315" s="3" t="s">
        <v>30</v>
      </c>
      <c r="Z1315" s="0" t="str">
        <f aca="false">IF(M1315=1,P1315,"")</f>
        <v/>
      </c>
    </row>
    <row r="1316" customFormat="false" ht="15" hidden="false" customHeight="false" outlineLevel="0" collapsed="false">
      <c r="A1316" s="0" t="s">
        <v>1360</v>
      </c>
      <c r="B1316" s="2" t="n">
        <v>45665</v>
      </c>
      <c r="C1316" s="3" t="s">
        <v>736</v>
      </c>
      <c r="D1316" s="3" t="s">
        <v>39</v>
      </c>
      <c r="E1316" s="3" t="s">
        <v>45</v>
      </c>
      <c r="F1316" s="3" t="s">
        <v>30</v>
      </c>
      <c r="G1316" s="3" t="s">
        <v>167</v>
      </c>
      <c r="H1316" s="3" t="s">
        <v>168</v>
      </c>
      <c r="I1316" s="3" t="s">
        <v>41</v>
      </c>
      <c r="J1316" s="0" t="n">
        <v>1</v>
      </c>
      <c r="K1316" s="0" t="n">
        <v>1</v>
      </c>
      <c r="L1316" s="0" t="n">
        <v>1</v>
      </c>
      <c r="M1316" s="0" t="n">
        <v>0</v>
      </c>
      <c r="N1316" s="0" t="str">
        <f aca="false">IF(OR(NOT(OR(J1316=0,J1316=1)),NOT(OR(K1316=0,K1316=1)),NOT(OR(L1316=0,L1316=1)),NOT(OR(M1316=0,M1316=1)),NOT(OR(U1316=0,U1316=1))),"Yes","No")</f>
        <v>No</v>
      </c>
      <c r="O1316" s="0" t="str">
        <f aca="false">IF(OR(AND(M1316=1,L1316=0),AND(L1316=1,K1316=0),AND(K1316=1,J1316=0)),"Yes","No")</f>
        <v>No</v>
      </c>
      <c r="P1316" s="0" t="n">
        <v>0</v>
      </c>
      <c r="Q1316" s="0" t="str">
        <f aca="false">IF(OR(AND(M1316=0,P1316&gt;0),AND(M1316=1,P1316&lt;=0)),"Yes","No")</f>
        <v>No</v>
      </c>
      <c r="R1316" s="0" t="str">
        <f aca="false">IF(AND(M1316=1,P1316&gt;calc_helpers!$B$5),"Yes","No")</f>
        <v>No</v>
      </c>
      <c r="S1316" s="0" t="n">
        <v>1</v>
      </c>
      <c r="T1316" s="0" t="str">
        <f aca="false">IF(S1316&gt;0,"Yes","No")</f>
        <v>Yes</v>
      </c>
      <c r="U1316" s="0" t="n">
        <v>0</v>
      </c>
      <c r="W1316" s="0" t="str">
        <f aca="false">IF(OR(AND(M1316=1,ISBLANK(V1316)),AND(M1316=0,NOT(ISBLANK(V1316)))),"Yes","No")</f>
        <v>No</v>
      </c>
      <c r="X1316" s="0" t="n">
        <v>61.5</v>
      </c>
      <c r="Y1316" s="3" t="s">
        <v>30</v>
      </c>
      <c r="Z1316" s="0" t="str">
        <f aca="false">IF(M1316=1,P1316,"")</f>
        <v/>
      </c>
    </row>
    <row r="1317" customFormat="false" ht="15" hidden="false" customHeight="false" outlineLevel="0" collapsed="false">
      <c r="A1317" s="0" t="s">
        <v>1361</v>
      </c>
      <c r="B1317" s="2" t="n">
        <v>45707</v>
      </c>
      <c r="C1317" s="3" t="s">
        <v>736</v>
      </c>
      <c r="D1317" s="3" t="s">
        <v>28</v>
      </c>
      <c r="E1317" s="3" t="s">
        <v>35</v>
      </c>
      <c r="F1317" s="3" t="s">
        <v>30</v>
      </c>
      <c r="G1317" s="3" t="s">
        <v>36</v>
      </c>
      <c r="H1317" s="3" t="s">
        <v>30</v>
      </c>
      <c r="I1317" s="3" t="s">
        <v>41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str">
        <f aca="false">IF(OR(NOT(OR(J1317=0,J1317=1)),NOT(OR(K1317=0,K1317=1)),NOT(OR(L1317=0,L1317=1)),NOT(OR(M1317=0,M1317=1)),NOT(OR(U1317=0,U1317=1))),"Yes","No")</f>
        <v>No</v>
      </c>
      <c r="O1317" s="0" t="str">
        <f aca="false">IF(OR(AND(M1317=1,L1317=0),AND(L1317=1,K1317=0),AND(K1317=1,J1317=0)),"Yes","No")</f>
        <v>No</v>
      </c>
      <c r="P1317" s="0" t="n">
        <v>0</v>
      </c>
      <c r="Q1317" s="0" t="str">
        <f aca="false">IF(OR(AND(M1317=0,P1317&gt;0),AND(M1317=1,P1317&lt;=0)),"Yes","No")</f>
        <v>No</v>
      </c>
      <c r="R1317" s="0" t="str">
        <f aca="false">IF(AND(M1317=1,P1317&gt;calc_helpers!$B$5),"Yes","No")</f>
        <v>No</v>
      </c>
      <c r="S1317" s="0" t="n">
        <v>0</v>
      </c>
      <c r="T1317" s="0" t="str">
        <f aca="false">IF(S1317&gt;0,"Yes","No")</f>
        <v>No</v>
      </c>
      <c r="U1317" s="0" t="n">
        <v>0</v>
      </c>
      <c r="W1317" s="0" t="str">
        <f aca="false">IF(OR(AND(M1317=1,ISBLANK(V1317)),AND(M1317=0,NOT(ISBLANK(V1317)))),"Yes","No")</f>
        <v>No</v>
      </c>
      <c r="Y1317" s="3" t="s">
        <v>168</v>
      </c>
      <c r="Z1317" s="0" t="str">
        <f aca="false">IF(M1317=1,P1317,"")</f>
        <v/>
      </c>
    </row>
    <row r="1318" customFormat="false" ht="15" hidden="false" customHeight="false" outlineLevel="0" collapsed="false">
      <c r="A1318" s="0" t="s">
        <v>1362</v>
      </c>
      <c r="B1318" s="2" t="n">
        <v>45698</v>
      </c>
      <c r="C1318" s="3" t="s">
        <v>736</v>
      </c>
      <c r="D1318" s="3" t="s">
        <v>43</v>
      </c>
      <c r="E1318" s="3" t="s">
        <v>35</v>
      </c>
      <c r="F1318" s="3" t="s">
        <v>30</v>
      </c>
      <c r="G1318" s="3" t="s">
        <v>36</v>
      </c>
      <c r="H1318" s="3" t="s">
        <v>30</v>
      </c>
      <c r="I1318" s="3" t="s">
        <v>37</v>
      </c>
      <c r="J1318" s="0" t="n">
        <v>1</v>
      </c>
      <c r="K1318" s="0" t="n">
        <v>0</v>
      </c>
      <c r="L1318" s="0" t="n">
        <v>0</v>
      </c>
      <c r="M1318" s="0" t="n">
        <v>0</v>
      </c>
      <c r="N1318" s="0" t="str">
        <f aca="false">IF(OR(NOT(OR(J1318=0,J1318=1)),NOT(OR(K1318=0,K1318=1)),NOT(OR(L1318=0,L1318=1)),NOT(OR(M1318=0,M1318=1)),NOT(OR(U1318=0,U1318=1))),"Yes","No")</f>
        <v>No</v>
      </c>
      <c r="O1318" s="0" t="str">
        <f aca="false">IF(OR(AND(M1318=1,L1318=0),AND(L1318=1,K1318=0),AND(K1318=1,J1318=0)),"Yes","No")</f>
        <v>No</v>
      </c>
      <c r="P1318" s="0" t="n">
        <v>0</v>
      </c>
      <c r="Q1318" s="0" t="str">
        <f aca="false">IF(OR(AND(M1318=0,P1318&gt;0),AND(M1318=1,P1318&lt;=0)),"Yes","No")</f>
        <v>No</v>
      </c>
      <c r="R1318" s="0" t="str">
        <f aca="false">IF(AND(M1318=1,P1318&gt;calc_helpers!$B$5),"Yes","No")</f>
        <v>No</v>
      </c>
      <c r="S1318" s="0" t="n">
        <v>0</v>
      </c>
      <c r="T1318" s="0" t="str">
        <f aca="false">IF(S1318&gt;0,"Yes","No")</f>
        <v>No</v>
      </c>
      <c r="U1318" s="0" t="n">
        <v>0</v>
      </c>
      <c r="W1318" s="0" t="str">
        <f aca="false">IF(OR(AND(M1318=1,ISBLANK(V1318)),AND(M1318=0,NOT(ISBLANK(V1318)))),"Yes","No")</f>
        <v>No</v>
      </c>
      <c r="X1318" s="0" t="n">
        <v>32.6</v>
      </c>
      <c r="Y1318" s="3" t="s">
        <v>30</v>
      </c>
      <c r="Z1318" s="0" t="str">
        <f aca="false">IF(M1318=1,P1318,"")</f>
        <v/>
      </c>
    </row>
    <row r="1319" customFormat="false" ht="15" hidden="false" customHeight="false" outlineLevel="0" collapsed="false">
      <c r="A1319" s="0" t="s">
        <v>1363</v>
      </c>
      <c r="B1319" s="2" t="n">
        <v>45760</v>
      </c>
      <c r="C1319" s="3" t="s">
        <v>736</v>
      </c>
      <c r="D1319" s="3" t="s">
        <v>43</v>
      </c>
      <c r="E1319" s="3" t="s">
        <v>35</v>
      </c>
      <c r="F1319" s="3" t="s">
        <v>30</v>
      </c>
      <c r="G1319" s="3" t="s">
        <v>40</v>
      </c>
      <c r="H1319" s="3" t="s">
        <v>30</v>
      </c>
      <c r="I1319" s="3" t="s">
        <v>37</v>
      </c>
      <c r="J1319" s="0" t="n">
        <v>1</v>
      </c>
      <c r="K1319" s="0" t="n">
        <v>0</v>
      </c>
      <c r="L1319" s="0" t="n">
        <v>0</v>
      </c>
      <c r="M1319" s="0" t="n">
        <v>0</v>
      </c>
      <c r="N1319" s="0" t="str">
        <f aca="false">IF(OR(NOT(OR(J1319=0,J1319=1)),NOT(OR(K1319=0,K1319=1)),NOT(OR(L1319=0,L1319=1)),NOT(OR(M1319=0,M1319=1)),NOT(OR(U1319=0,U1319=1))),"Yes","No")</f>
        <v>No</v>
      </c>
      <c r="O1319" s="0" t="str">
        <f aca="false">IF(OR(AND(M1319=1,L1319=0),AND(L1319=1,K1319=0),AND(K1319=1,J1319=0)),"Yes","No")</f>
        <v>No</v>
      </c>
      <c r="P1319" s="0" t="n">
        <v>0</v>
      </c>
      <c r="Q1319" s="0" t="str">
        <f aca="false">IF(OR(AND(M1319=0,P1319&gt;0),AND(M1319=1,P1319&lt;=0)),"Yes","No")</f>
        <v>No</v>
      </c>
      <c r="R1319" s="0" t="str">
        <f aca="false">IF(AND(M1319=1,P1319&gt;calc_helpers!$B$5),"Yes","No")</f>
        <v>No</v>
      </c>
      <c r="S1319" s="0" t="n">
        <v>0</v>
      </c>
      <c r="T1319" s="0" t="str">
        <f aca="false">IF(S1319&gt;0,"Yes","No")</f>
        <v>No</v>
      </c>
      <c r="U1319" s="0" t="n">
        <v>0</v>
      </c>
      <c r="W1319" s="0" t="str">
        <f aca="false">IF(OR(AND(M1319=1,ISBLANK(V1319)),AND(M1319=0,NOT(ISBLANK(V1319)))),"Yes","No")</f>
        <v>No</v>
      </c>
      <c r="X1319" s="0" t="n">
        <v>73.9</v>
      </c>
      <c r="Y1319" s="3" t="s">
        <v>30</v>
      </c>
      <c r="Z1319" s="0" t="str">
        <f aca="false">IF(M1319=1,P1319,"")</f>
        <v/>
      </c>
    </row>
    <row r="1320" customFormat="false" ht="15" hidden="false" customHeight="false" outlineLevel="0" collapsed="false">
      <c r="A1320" s="0" t="s">
        <v>1364</v>
      </c>
      <c r="B1320" s="2" t="n">
        <v>45797</v>
      </c>
      <c r="C1320" s="3" t="s">
        <v>736</v>
      </c>
      <c r="D1320" s="3" t="s">
        <v>39</v>
      </c>
      <c r="E1320" s="3" t="s">
        <v>35</v>
      </c>
      <c r="F1320" s="3" t="s">
        <v>30</v>
      </c>
      <c r="G1320" s="3" t="s">
        <v>36</v>
      </c>
      <c r="H1320" s="3" t="s">
        <v>30</v>
      </c>
      <c r="I1320" s="3" t="s">
        <v>37</v>
      </c>
      <c r="J1320" s="0" t="n">
        <v>1</v>
      </c>
      <c r="K1320" s="0" t="n">
        <v>1</v>
      </c>
      <c r="L1320" s="0" t="n">
        <v>1</v>
      </c>
      <c r="M1320" s="0" t="n">
        <v>1</v>
      </c>
      <c r="N1320" s="0" t="str">
        <f aca="false">IF(OR(NOT(OR(J1320=0,J1320=1)),NOT(OR(K1320=0,K1320=1)),NOT(OR(L1320=0,L1320=1)),NOT(OR(M1320=0,M1320=1)),NOT(OR(U1320=0,U1320=1))),"Yes","No")</f>
        <v>No</v>
      </c>
      <c r="O1320" s="0" t="str">
        <f aca="false">IF(OR(AND(M1320=1,L1320=0),AND(L1320=1,K1320=0),AND(K1320=1,J1320=0)),"Yes","No")</f>
        <v>No</v>
      </c>
      <c r="P1320" s="0" t="n">
        <v>444.06</v>
      </c>
      <c r="Q1320" s="0" t="str">
        <f aca="false">IF(OR(AND(M1320=0,P1320&gt;0),AND(M1320=1,P1320&lt;=0)),"Yes","No")</f>
        <v>No</v>
      </c>
      <c r="R1320" s="0" t="str">
        <f aca="false">IF(AND(M1320=1,P1320&gt;calc_helpers!$B$5),"Yes","No")</f>
        <v>No</v>
      </c>
      <c r="S1320" s="0" t="n">
        <v>0</v>
      </c>
      <c r="T1320" s="0" t="str">
        <f aca="false">IF(S1320&gt;0,"Yes","No")</f>
        <v>No</v>
      </c>
      <c r="U1320" s="0" t="n">
        <v>0</v>
      </c>
      <c r="V1320" s="0" t="n">
        <v>9</v>
      </c>
      <c r="W1320" s="0" t="str">
        <f aca="false">IF(OR(AND(M1320=1,ISBLANK(V1320)),AND(M1320=0,NOT(ISBLANK(V1320)))),"Yes","No")</f>
        <v>No</v>
      </c>
      <c r="X1320" s="0" t="n">
        <v>99.9</v>
      </c>
      <c r="Y1320" s="3" t="s">
        <v>30</v>
      </c>
      <c r="Z1320" s="3" t="n">
        <f aca="false">IF(M1320=1,P1320,"")</f>
        <v>444.06</v>
      </c>
    </row>
    <row r="1321" customFormat="false" ht="15" hidden="false" customHeight="false" outlineLevel="0" collapsed="false">
      <c r="A1321" s="0" t="s">
        <v>1365</v>
      </c>
      <c r="B1321" s="2" t="n">
        <v>45790</v>
      </c>
      <c r="C1321" s="3" t="s">
        <v>736</v>
      </c>
      <c r="D1321" s="3" t="s">
        <v>43</v>
      </c>
      <c r="E1321" s="3" t="s">
        <v>35</v>
      </c>
      <c r="F1321" s="3" t="s">
        <v>30</v>
      </c>
      <c r="G1321" s="3" t="s">
        <v>40</v>
      </c>
      <c r="H1321" s="3" t="s">
        <v>30</v>
      </c>
      <c r="I1321" s="3" t="s">
        <v>32</v>
      </c>
      <c r="J1321" s="0" t="n">
        <v>1</v>
      </c>
      <c r="K1321" s="0" t="n">
        <v>1</v>
      </c>
      <c r="L1321" s="0" t="n">
        <v>0</v>
      </c>
      <c r="M1321" s="0" t="n">
        <v>0</v>
      </c>
      <c r="N1321" s="0" t="str">
        <f aca="false">IF(OR(NOT(OR(J1321=0,J1321=1)),NOT(OR(K1321=0,K1321=1)),NOT(OR(L1321=0,L1321=1)),NOT(OR(M1321=0,M1321=1)),NOT(OR(U1321=0,U1321=1))),"Yes","No")</f>
        <v>No</v>
      </c>
      <c r="O1321" s="0" t="str">
        <f aca="false">IF(OR(AND(M1321=1,L1321=0),AND(L1321=1,K1321=0),AND(K1321=1,J1321=0)),"Yes","No")</f>
        <v>No</v>
      </c>
      <c r="P1321" s="0" t="n">
        <v>0</v>
      </c>
      <c r="Q1321" s="0" t="str">
        <f aca="false">IF(OR(AND(M1321=0,P1321&gt;0),AND(M1321=1,P1321&lt;=0)),"Yes","No")</f>
        <v>No</v>
      </c>
      <c r="R1321" s="0" t="str">
        <f aca="false">IF(AND(M1321=1,P1321&gt;calc_helpers!$B$5),"Yes","No")</f>
        <v>No</v>
      </c>
      <c r="S1321" s="0" t="n">
        <v>1</v>
      </c>
      <c r="T1321" s="0" t="str">
        <f aca="false">IF(S1321&gt;0,"Yes","No")</f>
        <v>Yes</v>
      </c>
      <c r="U1321" s="0" t="n">
        <v>0</v>
      </c>
      <c r="W1321" s="0" t="str">
        <f aca="false">IF(OR(AND(M1321=1,ISBLANK(V1321)),AND(M1321=0,NOT(ISBLANK(V1321)))),"Yes","No")</f>
        <v>No</v>
      </c>
      <c r="X1321" s="0" t="n">
        <v>62.4</v>
      </c>
      <c r="Y1321" s="3" t="s">
        <v>30</v>
      </c>
      <c r="Z1321" s="0" t="str">
        <f aca="false">IF(M1321=1,P1321,"")</f>
        <v/>
      </c>
    </row>
    <row r="1322" customFormat="false" ht="15" hidden="false" customHeight="false" outlineLevel="0" collapsed="false">
      <c r="A1322" s="0" t="s">
        <v>1366</v>
      </c>
      <c r="B1322" s="2" t="n">
        <v>45805</v>
      </c>
      <c r="C1322" s="3" t="s">
        <v>736</v>
      </c>
      <c r="D1322" s="3" t="s">
        <v>43</v>
      </c>
      <c r="E1322" s="3" t="s">
        <v>29</v>
      </c>
      <c r="F1322" s="3" t="s">
        <v>30</v>
      </c>
      <c r="G1322" s="3" t="s">
        <v>40</v>
      </c>
      <c r="H1322" s="3" t="s">
        <v>30</v>
      </c>
      <c r="I1322" s="3" t="s">
        <v>32</v>
      </c>
      <c r="J1322" s="0" t="n">
        <v>1</v>
      </c>
      <c r="K1322" s="0" t="n">
        <v>0</v>
      </c>
      <c r="L1322" s="0" t="n">
        <v>0</v>
      </c>
      <c r="M1322" s="0" t="n">
        <v>0</v>
      </c>
      <c r="N1322" s="0" t="str">
        <f aca="false">IF(OR(NOT(OR(J1322=0,J1322=1)),NOT(OR(K1322=0,K1322=1)),NOT(OR(L1322=0,L1322=1)),NOT(OR(M1322=0,M1322=1)),NOT(OR(U1322=0,U1322=1))),"Yes","No")</f>
        <v>No</v>
      </c>
      <c r="O1322" s="0" t="str">
        <f aca="false">IF(OR(AND(M1322=1,L1322=0),AND(L1322=1,K1322=0),AND(K1322=1,J1322=0)),"Yes","No")</f>
        <v>No</v>
      </c>
      <c r="P1322" s="0" t="n">
        <v>0</v>
      </c>
      <c r="Q1322" s="0" t="str">
        <f aca="false">IF(OR(AND(M1322=0,P1322&gt;0),AND(M1322=1,P1322&lt;=0)),"Yes","No")</f>
        <v>No</v>
      </c>
      <c r="R1322" s="0" t="str">
        <f aca="false">IF(AND(M1322=1,P1322&gt;calc_helpers!$B$5),"Yes","No")</f>
        <v>No</v>
      </c>
      <c r="S1322" s="0" t="n">
        <v>0</v>
      </c>
      <c r="T1322" s="0" t="str">
        <f aca="false">IF(S1322&gt;0,"Yes","No")</f>
        <v>No</v>
      </c>
      <c r="U1322" s="0" t="n">
        <v>0</v>
      </c>
      <c r="W1322" s="0" t="str">
        <f aca="false">IF(OR(AND(M1322=1,ISBLANK(V1322)),AND(M1322=0,NOT(ISBLANK(V1322)))),"Yes","No")</f>
        <v>No</v>
      </c>
      <c r="X1322" s="0" t="n">
        <v>46.1</v>
      </c>
      <c r="Y1322" s="3" t="s">
        <v>30</v>
      </c>
      <c r="Z1322" s="0" t="str">
        <f aca="false">IF(M1322=1,P1322,"")</f>
        <v/>
      </c>
    </row>
    <row r="1323" customFormat="false" ht="15" hidden="false" customHeight="false" outlineLevel="0" collapsed="false">
      <c r="A1323" s="0" t="s">
        <v>1367</v>
      </c>
      <c r="B1323" s="2" t="n">
        <v>45735</v>
      </c>
      <c r="C1323" s="3" t="s">
        <v>736</v>
      </c>
      <c r="D1323" s="3" t="s">
        <v>34</v>
      </c>
      <c r="E1323" s="3" t="s">
        <v>35</v>
      </c>
      <c r="F1323" s="3" t="s">
        <v>30</v>
      </c>
      <c r="G1323" s="3" t="s">
        <v>36</v>
      </c>
      <c r="H1323" s="3" t="s">
        <v>30</v>
      </c>
      <c r="I1323" s="3" t="s">
        <v>37</v>
      </c>
      <c r="J1323" s="0" t="n">
        <v>1</v>
      </c>
      <c r="K1323" s="0" t="n">
        <v>1</v>
      </c>
      <c r="L1323" s="0" t="n">
        <v>1</v>
      </c>
      <c r="M1323" s="0" t="n">
        <v>1</v>
      </c>
      <c r="N1323" s="0" t="str">
        <f aca="false">IF(OR(NOT(OR(J1323=0,J1323=1)),NOT(OR(K1323=0,K1323=1)),NOT(OR(L1323=0,L1323=1)),NOT(OR(M1323=0,M1323=1)),NOT(OR(U1323=0,U1323=1))),"Yes","No")</f>
        <v>No</v>
      </c>
      <c r="O1323" s="0" t="str">
        <f aca="false">IF(OR(AND(M1323=1,L1323=0),AND(L1323=1,K1323=0),AND(K1323=1,J1323=0)),"Yes","No")</f>
        <v>No</v>
      </c>
      <c r="P1323" s="0" t="n">
        <v>2660.21</v>
      </c>
      <c r="Q1323" s="0" t="str">
        <f aca="false">IF(OR(AND(M1323=0,P1323&gt;0),AND(M1323=1,P1323&lt;=0)),"Yes","No")</f>
        <v>No</v>
      </c>
      <c r="R1323" s="0" t="str">
        <f aca="false">IF(AND(M1323=1,P1323&gt;calc_helpers!$B$5),"Yes","No")</f>
        <v>Yes</v>
      </c>
      <c r="S1323" s="0" t="n">
        <v>0</v>
      </c>
      <c r="T1323" s="0" t="str">
        <f aca="false">IF(S1323&gt;0,"Yes","No")</f>
        <v>No</v>
      </c>
      <c r="U1323" s="0" t="n">
        <v>0</v>
      </c>
      <c r="V1323" s="0" t="n">
        <v>3</v>
      </c>
      <c r="W1323" s="0" t="str">
        <f aca="false">IF(OR(AND(M1323=1,ISBLANK(V1323)),AND(M1323=0,NOT(ISBLANK(V1323)))),"Yes","No")</f>
        <v>No</v>
      </c>
      <c r="X1323" s="0" t="n">
        <v>73.9</v>
      </c>
      <c r="Y1323" s="3" t="s">
        <v>30</v>
      </c>
      <c r="Z1323" s="3" t="n">
        <f aca="false">IF(M1323=1,P1323,"")</f>
        <v>2660.21</v>
      </c>
    </row>
    <row r="1324" customFormat="false" ht="15" hidden="false" customHeight="false" outlineLevel="0" collapsed="false">
      <c r="A1324" s="0" t="s">
        <v>1368</v>
      </c>
      <c r="B1324" s="2" t="n">
        <v>45691</v>
      </c>
      <c r="C1324" s="3" t="s">
        <v>736</v>
      </c>
      <c r="D1324" s="3" t="s">
        <v>28</v>
      </c>
      <c r="E1324" s="3" t="s">
        <v>35</v>
      </c>
      <c r="F1324" s="3" t="s">
        <v>30</v>
      </c>
      <c r="G1324" s="3" t="s">
        <v>31</v>
      </c>
      <c r="H1324" s="3" t="s">
        <v>30</v>
      </c>
      <c r="I1324" s="3" t="s">
        <v>41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str">
        <f aca="false">IF(OR(NOT(OR(J1324=0,J1324=1)),NOT(OR(K1324=0,K1324=1)),NOT(OR(L1324=0,L1324=1)),NOT(OR(M1324=0,M1324=1)),NOT(OR(U1324=0,U1324=1))),"Yes","No")</f>
        <v>No</v>
      </c>
      <c r="O1324" s="0" t="str">
        <f aca="false">IF(OR(AND(M1324=1,L1324=0),AND(L1324=1,K1324=0),AND(K1324=1,J1324=0)),"Yes","No")</f>
        <v>No</v>
      </c>
      <c r="P1324" s="0" t="n">
        <v>0</v>
      </c>
      <c r="Q1324" s="0" t="str">
        <f aca="false">IF(OR(AND(M1324=0,P1324&gt;0),AND(M1324=1,P1324&lt;=0)),"Yes","No")</f>
        <v>No</v>
      </c>
      <c r="R1324" s="0" t="str">
        <f aca="false">IF(AND(M1324=1,P1324&gt;calc_helpers!$B$5),"Yes","No")</f>
        <v>No</v>
      </c>
      <c r="S1324" s="0" t="n">
        <v>0</v>
      </c>
      <c r="T1324" s="0" t="str">
        <f aca="false">IF(S1324&gt;0,"Yes","No")</f>
        <v>No</v>
      </c>
      <c r="U1324" s="0" t="n">
        <v>0</v>
      </c>
      <c r="W1324" s="0" t="str">
        <f aca="false">IF(OR(AND(M1324=1,ISBLANK(V1324)),AND(M1324=0,NOT(ISBLANK(V1324)))),"Yes","No")</f>
        <v>No</v>
      </c>
      <c r="X1324" s="0" t="n">
        <v>90</v>
      </c>
      <c r="Y1324" s="3" t="s">
        <v>30</v>
      </c>
      <c r="Z1324" s="0" t="str">
        <f aca="false">IF(M1324=1,P1324,"")</f>
        <v/>
      </c>
    </row>
    <row r="1325" customFormat="false" ht="15" hidden="false" customHeight="false" outlineLevel="0" collapsed="false">
      <c r="A1325" s="0" t="s">
        <v>1369</v>
      </c>
      <c r="B1325" s="2" t="n">
        <v>45714</v>
      </c>
      <c r="C1325" s="3" t="s">
        <v>736</v>
      </c>
      <c r="D1325" s="3" t="s">
        <v>43</v>
      </c>
      <c r="E1325" s="3" t="s">
        <v>35</v>
      </c>
      <c r="F1325" s="3" t="s">
        <v>30</v>
      </c>
      <c r="G1325" s="3" t="s">
        <v>31</v>
      </c>
      <c r="H1325" s="3" t="s">
        <v>30</v>
      </c>
      <c r="I1325" s="3" t="s">
        <v>32</v>
      </c>
      <c r="J1325" s="0" t="n">
        <v>1</v>
      </c>
      <c r="K1325" s="0" t="n">
        <v>0</v>
      </c>
      <c r="L1325" s="0" t="n">
        <v>0</v>
      </c>
      <c r="M1325" s="0" t="n">
        <v>0</v>
      </c>
      <c r="N1325" s="0" t="str">
        <f aca="false">IF(OR(NOT(OR(J1325=0,J1325=1)),NOT(OR(K1325=0,K1325=1)),NOT(OR(L1325=0,L1325=1)),NOT(OR(M1325=0,M1325=1)),NOT(OR(U1325=0,U1325=1))),"Yes","No")</f>
        <v>No</v>
      </c>
      <c r="O1325" s="0" t="str">
        <f aca="false">IF(OR(AND(M1325=1,L1325=0),AND(L1325=1,K1325=0),AND(K1325=1,J1325=0)),"Yes","No")</f>
        <v>No</v>
      </c>
      <c r="P1325" s="0" t="n">
        <v>0</v>
      </c>
      <c r="Q1325" s="0" t="str">
        <f aca="false">IF(OR(AND(M1325=0,P1325&gt;0),AND(M1325=1,P1325&lt;=0)),"Yes","No")</f>
        <v>No</v>
      </c>
      <c r="R1325" s="0" t="str">
        <f aca="false">IF(AND(M1325=1,P1325&gt;calc_helpers!$B$5),"Yes","No")</f>
        <v>No</v>
      </c>
      <c r="S1325" s="0" t="n">
        <v>1</v>
      </c>
      <c r="T1325" s="0" t="str">
        <f aca="false">IF(S1325&gt;0,"Yes","No")</f>
        <v>Yes</v>
      </c>
      <c r="U1325" s="0" t="n">
        <v>0</v>
      </c>
      <c r="W1325" s="0" t="str">
        <f aca="false">IF(OR(AND(M1325=1,ISBLANK(V1325)),AND(M1325=0,NOT(ISBLANK(V1325)))),"Yes","No")</f>
        <v>No</v>
      </c>
      <c r="X1325" s="0" t="n">
        <v>68.8</v>
      </c>
      <c r="Y1325" s="3" t="s">
        <v>30</v>
      </c>
      <c r="Z1325" s="0" t="str">
        <f aca="false">IF(M1325=1,P1325,"")</f>
        <v/>
      </c>
    </row>
    <row r="1326" customFormat="false" ht="15" hidden="false" customHeight="false" outlineLevel="0" collapsed="false">
      <c r="A1326" s="0" t="s">
        <v>1370</v>
      </c>
      <c r="B1326" s="2" t="n">
        <v>45683</v>
      </c>
      <c r="C1326" s="3" t="s">
        <v>736</v>
      </c>
      <c r="D1326" s="3" t="s">
        <v>34</v>
      </c>
      <c r="E1326" s="3" t="s">
        <v>35</v>
      </c>
      <c r="F1326" s="3" t="s">
        <v>30</v>
      </c>
      <c r="G1326" s="3" t="s">
        <v>40</v>
      </c>
      <c r="H1326" s="3" t="s">
        <v>30</v>
      </c>
      <c r="I1326" s="3" t="s">
        <v>37</v>
      </c>
      <c r="J1326" s="0" t="n">
        <v>1</v>
      </c>
      <c r="K1326" s="0" t="n">
        <v>0</v>
      </c>
      <c r="L1326" s="0" t="n">
        <v>0</v>
      </c>
      <c r="M1326" s="0" t="n">
        <v>0</v>
      </c>
      <c r="N1326" s="0" t="str">
        <f aca="false">IF(OR(NOT(OR(J1326=0,J1326=1)),NOT(OR(K1326=0,K1326=1)),NOT(OR(L1326=0,L1326=1)),NOT(OR(M1326=0,M1326=1)),NOT(OR(U1326=0,U1326=1))),"Yes","No")</f>
        <v>No</v>
      </c>
      <c r="O1326" s="0" t="str">
        <f aca="false">IF(OR(AND(M1326=1,L1326=0),AND(L1326=1,K1326=0),AND(K1326=1,J1326=0)),"Yes","No")</f>
        <v>No</v>
      </c>
      <c r="P1326" s="0" t="n">
        <v>0</v>
      </c>
      <c r="Q1326" s="0" t="str">
        <f aca="false">IF(OR(AND(M1326=0,P1326&gt;0),AND(M1326=1,P1326&lt;=0)),"Yes","No")</f>
        <v>No</v>
      </c>
      <c r="R1326" s="0" t="str">
        <f aca="false">IF(AND(M1326=1,P1326&gt;calc_helpers!$B$5),"Yes","No")</f>
        <v>No</v>
      </c>
      <c r="S1326" s="0" t="n">
        <v>0</v>
      </c>
      <c r="T1326" s="0" t="str">
        <f aca="false">IF(S1326&gt;0,"Yes","No")</f>
        <v>No</v>
      </c>
      <c r="U1326" s="0" t="n">
        <v>0</v>
      </c>
      <c r="W1326" s="0" t="str">
        <f aca="false">IF(OR(AND(M1326=1,ISBLANK(V1326)),AND(M1326=0,NOT(ISBLANK(V1326)))),"Yes","No")</f>
        <v>No</v>
      </c>
      <c r="X1326" s="0" t="n">
        <v>66.6</v>
      </c>
      <c r="Y1326" s="3" t="s">
        <v>30</v>
      </c>
      <c r="Z1326" s="0" t="str">
        <f aca="false">IF(M1326=1,P1326,"")</f>
        <v/>
      </c>
    </row>
    <row r="1327" customFormat="false" ht="15" hidden="false" customHeight="false" outlineLevel="0" collapsed="false">
      <c r="A1327" s="0" t="s">
        <v>1371</v>
      </c>
      <c r="B1327" s="2" t="n">
        <v>45790</v>
      </c>
      <c r="C1327" s="3" t="s">
        <v>736</v>
      </c>
      <c r="D1327" s="3" t="s">
        <v>28</v>
      </c>
      <c r="E1327" s="3" t="s">
        <v>35</v>
      </c>
      <c r="F1327" s="3" t="s">
        <v>30</v>
      </c>
      <c r="G1327" s="3" t="s">
        <v>36</v>
      </c>
      <c r="H1327" s="3" t="s">
        <v>30</v>
      </c>
      <c r="I1327" s="3" t="s">
        <v>41</v>
      </c>
      <c r="J1327" s="0" t="n">
        <v>1</v>
      </c>
      <c r="K1327" s="0" t="n">
        <v>0</v>
      </c>
      <c r="L1327" s="0" t="n">
        <v>0</v>
      </c>
      <c r="M1327" s="0" t="n">
        <v>0</v>
      </c>
      <c r="N1327" s="0" t="str">
        <f aca="false">IF(OR(NOT(OR(J1327=0,J1327=1)),NOT(OR(K1327=0,K1327=1)),NOT(OR(L1327=0,L1327=1)),NOT(OR(M1327=0,M1327=1)),NOT(OR(U1327=0,U1327=1))),"Yes","No")</f>
        <v>No</v>
      </c>
      <c r="O1327" s="0" t="str">
        <f aca="false">IF(OR(AND(M1327=1,L1327=0),AND(L1327=1,K1327=0),AND(K1327=1,J1327=0)),"Yes","No")</f>
        <v>No</v>
      </c>
      <c r="P1327" s="0" t="n">
        <v>0</v>
      </c>
      <c r="Q1327" s="0" t="str">
        <f aca="false">IF(OR(AND(M1327=0,P1327&gt;0),AND(M1327=1,P1327&lt;=0)),"Yes","No")</f>
        <v>No</v>
      </c>
      <c r="R1327" s="0" t="str">
        <f aca="false">IF(AND(M1327=1,P1327&gt;calc_helpers!$B$5),"Yes","No")</f>
        <v>No</v>
      </c>
      <c r="S1327" s="0" t="n">
        <v>0</v>
      </c>
      <c r="T1327" s="0" t="str">
        <f aca="false">IF(S1327&gt;0,"Yes","No")</f>
        <v>No</v>
      </c>
      <c r="U1327" s="0" t="n">
        <v>0</v>
      </c>
      <c r="W1327" s="0" t="str">
        <f aca="false">IF(OR(AND(M1327=1,ISBLANK(V1327)),AND(M1327=0,NOT(ISBLANK(V1327)))),"Yes","No")</f>
        <v>No</v>
      </c>
      <c r="X1327" s="0" t="n">
        <v>49.7</v>
      </c>
      <c r="Y1327" s="3" t="s">
        <v>30</v>
      </c>
      <c r="Z1327" s="0" t="str">
        <f aca="false">IF(M1327=1,P1327,"")</f>
        <v/>
      </c>
    </row>
    <row r="1328" customFormat="false" ht="15" hidden="false" customHeight="false" outlineLevel="0" collapsed="false">
      <c r="A1328" s="0" t="s">
        <v>1372</v>
      </c>
      <c r="B1328" s="2" t="n">
        <v>45690</v>
      </c>
      <c r="C1328" s="3" t="s">
        <v>736</v>
      </c>
      <c r="D1328" s="3" t="s">
        <v>43</v>
      </c>
      <c r="E1328" s="3" t="s">
        <v>35</v>
      </c>
      <c r="F1328" s="3" t="s">
        <v>30</v>
      </c>
      <c r="G1328" s="3" t="s">
        <v>40</v>
      </c>
      <c r="H1328" s="3" t="s">
        <v>30</v>
      </c>
      <c r="I1328" s="3" t="s">
        <v>32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str">
        <f aca="false">IF(OR(NOT(OR(J1328=0,J1328=1)),NOT(OR(K1328=0,K1328=1)),NOT(OR(L1328=0,L1328=1)),NOT(OR(M1328=0,M1328=1)),NOT(OR(U1328=0,U1328=1))),"Yes","No")</f>
        <v>No</v>
      </c>
      <c r="O1328" s="0" t="str">
        <f aca="false">IF(OR(AND(M1328=1,L1328=0),AND(L1328=1,K1328=0),AND(K1328=1,J1328=0)),"Yes","No")</f>
        <v>No</v>
      </c>
      <c r="P1328" s="0" t="n">
        <v>0</v>
      </c>
      <c r="Q1328" s="0" t="str">
        <f aca="false">IF(OR(AND(M1328=0,P1328&gt;0),AND(M1328=1,P1328&lt;=0)),"Yes","No")</f>
        <v>No</v>
      </c>
      <c r="R1328" s="0" t="str">
        <f aca="false">IF(AND(M1328=1,P1328&gt;calc_helpers!$B$5),"Yes","No")</f>
        <v>No</v>
      </c>
      <c r="S1328" s="0" t="n">
        <v>0</v>
      </c>
      <c r="T1328" s="0" t="str">
        <f aca="false">IF(S1328&gt;0,"Yes","No")</f>
        <v>No</v>
      </c>
      <c r="U1328" s="0" t="n">
        <v>0</v>
      </c>
      <c r="W1328" s="0" t="str">
        <f aca="false">IF(OR(AND(M1328=1,ISBLANK(V1328)),AND(M1328=0,NOT(ISBLANK(V1328)))),"Yes","No")</f>
        <v>No</v>
      </c>
      <c r="X1328" s="0" t="n">
        <v>67.9</v>
      </c>
      <c r="Y1328" s="3" t="s">
        <v>30</v>
      </c>
      <c r="Z1328" s="0" t="str">
        <f aca="false">IF(M1328=1,P1328,"")</f>
        <v/>
      </c>
    </row>
    <row r="1329" customFormat="false" ht="15" hidden="false" customHeight="false" outlineLevel="0" collapsed="false">
      <c r="A1329" s="0" t="s">
        <v>1373</v>
      </c>
      <c r="B1329" s="2" t="n">
        <v>45777</v>
      </c>
      <c r="C1329" s="3" t="s">
        <v>736</v>
      </c>
      <c r="D1329" s="3" t="s">
        <v>34</v>
      </c>
      <c r="E1329" s="3" t="s">
        <v>35</v>
      </c>
      <c r="F1329" s="3" t="s">
        <v>30</v>
      </c>
      <c r="G1329" s="3" t="s">
        <v>167</v>
      </c>
      <c r="H1329" s="3" t="s">
        <v>168</v>
      </c>
      <c r="I1329" s="3" t="s">
        <v>32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str">
        <f aca="false">IF(OR(NOT(OR(J1329=0,J1329=1)),NOT(OR(K1329=0,K1329=1)),NOT(OR(L1329=0,L1329=1)),NOT(OR(M1329=0,M1329=1)),NOT(OR(U1329=0,U1329=1))),"Yes","No")</f>
        <v>No</v>
      </c>
      <c r="O1329" s="0" t="str">
        <f aca="false">IF(OR(AND(M1329=1,L1329=0),AND(L1329=1,K1329=0),AND(K1329=1,J1329=0)),"Yes","No")</f>
        <v>No</v>
      </c>
      <c r="P1329" s="0" t="n">
        <v>0</v>
      </c>
      <c r="Q1329" s="0" t="str">
        <f aca="false">IF(OR(AND(M1329=0,P1329&gt;0),AND(M1329=1,P1329&lt;=0)),"Yes","No")</f>
        <v>No</v>
      </c>
      <c r="R1329" s="0" t="str">
        <f aca="false">IF(AND(M1329=1,P1329&gt;calc_helpers!$B$5),"Yes","No")</f>
        <v>No</v>
      </c>
      <c r="S1329" s="0" t="n">
        <v>0</v>
      </c>
      <c r="T1329" s="0" t="str">
        <f aca="false">IF(S1329&gt;0,"Yes","No")</f>
        <v>No</v>
      </c>
      <c r="U1329" s="0" t="n">
        <v>0</v>
      </c>
      <c r="W1329" s="0" t="str">
        <f aca="false">IF(OR(AND(M1329=1,ISBLANK(V1329)),AND(M1329=0,NOT(ISBLANK(V1329)))),"Yes","No")</f>
        <v>No</v>
      </c>
      <c r="X1329" s="0" t="n">
        <v>66.9</v>
      </c>
      <c r="Y1329" s="3" t="s">
        <v>30</v>
      </c>
      <c r="Z1329" s="0" t="str">
        <f aca="false">IF(M1329=1,P1329,"")</f>
        <v/>
      </c>
    </row>
    <row r="1330" customFormat="false" ht="15" hidden="false" customHeight="false" outlineLevel="0" collapsed="false">
      <c r="A1330" s="0" t="s">
        <v>1374</v>
      </c>
      <c r="B1330" s="2" t="n">
        <v>45745</v>
      </c>
      <c r="C1330" s="3" t="s">
        <v>736</v>
      </c>
      <c r="D1330" s="3" t="s">
        <v>39</v>
      </c>
      <c r="E1330" s="3" t="s">
        <v>35</v>
      </c>
      <c r="F1330" s="3" t="s">
        <v>30</v>
      </c>
      <c r="G1330" s="3" t="s">
        <v>36</v>
      </c>
      <c r="H1330" s="3" t="s">
        <v>30</v>
      </c>
      <c r="I1330" s="3" t="s">
        <v>37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str">
        <f aca="false">IF(OR(NOT(OR(J1330=0,J1330=1)),NOT(OR(K1330=0,K1330=1)),NOT(OR(L1330=0,L1330=1)),NOT(OR(M1330=0,M1330=1)),NOT(OR(U1330=0,U1330=1))),"Yes","No")</f>
        <v>No</v>
      </c>
      <c r="O1330" s="0" t="str">
        <f aca="false">IF(OR(AND(M1330=1,L1330=0),AND(L1330=1,K1330=0),AND(K1330=1,J1330=0)),"Yes","No")</f>
        <v>No</v>
      </c>
      <c r="P1330" s="0" t="n">
        <v>0</v>
      </c>
      <c r="Q1330" s="0" t="str">
        <f aca="false">IF(OR(AND(M1330=0,P1330&gt;0),AND(M1330=1,P1330&lt;=0)),"Yes","No")</f>
        <v>No</v>
      </c>
      <c r="R1330" s="0" t="str">
        <f aca="false">IF(AND(M1330=1,P1330&gt;calc_helpers!$B$5),"Yes","No")</f>
        <v>No</v>
      </c>
      <c r="S1330" s="0" t="n">
        <v>0</v>
      </c>
      <c r="T1330" s="0" t="str">
        <f aca="false">IF(S1330&gt;0,"Yes","No")</f>
        <v>No</v>
      </c>
      <c r="U1330" s="0" t="n">
        <v>0</v>
      </c>
      <c r="W1330" s="0" t="str">
        <f aca="false">IF(OR(AND(M1330=1,ISBLANK(V1330)),AND(M1330=0,NOT(ISBLANK(V1330)))),"Yes","No")</f>
        <v>No</v>
      </c>
      <c r="X1330" s="0" t="n">
        <v>46.1</v>
      </c>
      <c r="Y1330" s="3" t="s">
        <v>30</v>
      </c>
      <c r="Z1330" s="0" t="str">
        <f aca="false">IF(M1330=1,P1330,"")</f>
        <v/>
      </c>
    </row>
    <row r="1331" customFormat="false" ht="15" hidden="false" customHeight="false" outlineLevel="0" collapsed="false">
      <c r="A1331" s="0" t="s">
        <v>1375</v>
      </c>
      <c r="B1331" s="2" t="n">
        <v>45756</v>
      </c>
      <c r="C1331" s="3" t="s">
        <v>736</v>
      </c>
      <c r="D1331" s="3" t="s">
        <v>34</v>
      </c>
      <c r="E1331" s="3" t="s">
        <v>29</v>
      </c>
      <c r="F1331" s="3" t="s">
        <v>30</v>
      </c>
      <c r="G1331" s="3" t="s">
        <v>50</v>
      </c>
      <c r="H1331" s="3" t="s">
        <v>30</v>
      </c>
      <c r="I1331" s="3" t="s">
        <v>41</v>
      </c>
      <c r="J1331" s="0" t="n">
        <v>1</v>
      </c>
      <c r="K1331" s="0" t="n">
        <v>0</v>
      </c>
      <c r="L1331" s="0" t="n">
        <v>0</v>
      </c>
      <c r="M1331" s="0" t="n">
        <v>0</v>
      </c>
      <c r="N1331" s="0" t="str">
        <f aca="false">IF(OR(NOT(OR(J1331=0,J1331=1)),NOT(OR(K1331=0,K1331=1)),NOT(OR(L1331=0,L1331=1)),NOT(OR(M1331=0,M1331=1)),NOT(OR(U1331=0,U1331=1))),"Yes","No")</f>
        <v>No</v>
      </c>
      <c r="O1331" s="0" t="str">
        <f aca="false">IF(OR(AND(M1331=1,L1331=0),AND(L1331=1,K1331=0),AND(K1331=1,J1331=0)),"Yes","No")</f>
        <v>No</v>
      </c>
      <c r="P1331" s="0" t="n">
        <v>0</v>
      </c>
      <c r="Q1331" s="0" t="str">
        <f aca="false">IF(OR(AND(M1331=0,P1331&gt;0),AND(M1331=1,P1331&lt;=0)),"Yes","No")</f>
        <v>No</v>
      </c>
      <c r="R1331" s="0" t="str">
        <f aca="false">IF(AND(M1331=1,P1331&gt;calc_helpers!$B$5),"Yes","No")</f>
        <v>No</v>
      </c>
      <c r="S1331" s="0" t="n">
        <v>0</v>
      </c>
      <c r="T1331" s="0" t="str">
        <f aca="false">IF(S1331&gt;0,"Yes","No")</f>
        <v>No</v>
      </c>
      <c r="U1331" s="0" t="n">
        <v>0</v>
      </c>
      <c r="W1331" s="0" t="str">
        <f aca="false">IF(OR(AND(M1331=1,ISBLANK(V1331)),AND(M1331=0,NOT(ISBLANK(V1331)))),"Yes","No")</f>
        <v>No</v>
      </c>
      <c r="X1331" s="0" t="n">
        <v>85.6</v>
      </c>
      <c r="Y1331" s="3" t="s">
        <v>30</v>
      </c>
      <c r="Z1331" s="0" t="str">
        <f aca="false">IF(M1331=1,P1331,"")</f>
        <v/>
      </c>
    </row>
    <row r="1332" customFormat="false" ht="15" hidden="false" customHeight="false" outlineLevel="0" collapsed="false">
      <c r="A1332" s="0" t="s">
        <v>1376</v>
      </c>
      <c r="B1332" s="2" t="n">
        <v>45679</v>
      </c>
      <c r="C1332" s="3" t="s">
        <v>736</v>
      </c>
      <c r="D1332" s="3" t="s">
        <v>43</v>
      </c>
      <c r="E1332" s="3" t="s">
        <v>45</v>
      </c>
      <c r="F1332" s="3" t="s">
        <v>30</v>
      </c>
      <c r="G1332" s="3" t="s">
        <v>36</v>
      </c>
      <c r="H1332" s="3" t="s">
        <v>30</v>
      </c>
      <c r="I1332" s="3" t="s">
        <v>37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str">
        <f aca="false">IF(OR(NOT(OR(J1332=0,J1332=1)),NOT(OR(K1332=0,K1332=1)),NOT(OR(L1332=0,L1332=1)),NOT(OR(M1332=0,M1332=1)),NOT(OR(U1332=0,U1332=1))),"Yes","No")</f>
        <v>No</v>
      </c>
      <c r="O1332" s="0" t="str">
        <f aca="false">IF(OR(AND(M1332=1,L1332=0),AND(L1332=1,K1332=0),AND(K1332=1,J1332=0)),"Yes","No")</f>
        <v>No</v>
      </c>
      <c r="P1332" s="0" t="n">
        <v>0</v>
      </c>
      <c r="Q1332" s="0" t="str">
        <f aca="false">IF(OR(AND(M1332=0,P1332&gt;0),AND(M1332=1,P1332&lt;=0)),"Yes","No")</f>
        <v>No</v>
      </c>
      <c r="R1332" s="0" t="str">
        <f aca="false">IF(AND(M1332=1,P1332&gt;calc_helpers!$B$5),"Yes","No")</f>
        <v>No</v>
      </c>
      <c r="S1332" s="0" t="n">
        <v>0</v>
      </c>
      <c r="T1332" s="0" t="str">
        <f aca="false">IF(S1332&gt;0,"Yes","No")</f>
        <v>No</v>
      </c>
      <c r="U1332" s="0" t="n">
        <v>0</v>
      </c>
      <c r="W1332" s="0" t="str">
        <f aca="false">IF(OR(AND(M1332=1,ISBLANK(V1332)),AND(M1332=0,NOT(ISBLANK(V1332)))),"Yes","No")</f>
        <v>No</v>
      </c>
      <c r="X1332" s="0" t="n">
        <v>39.6</v>
      </c>
      <c r="Y1332" s="3" t="s">
        <v>30</v>
      </c>
      <c r="Z1332" s="0" t="str">
        <f aca="false">IF(M1332=1,P1332,"")</f>
        <v/>
      </c>
    </row>
    <row r="1333" customFormat="false" ht="15" hidden="false" customHeight="false" outlineLevel="0" collapsed="false">
      <c r="A1333" s="0" t="s">
        <v>1377</v>
      </c>
      <c r="B1333" s="2" t="n">
        <v>45684</v>
      </c>
      <c r="C1333" s="3" t="s">
        <v>736</v>
      </c>
      <c r="D1333" s="3" t="s">
        <v>43</v>
      </c>
      <c r="E1333" s="3" t="s">
        <v>35</v>
      </c>
      <c r="F1333" s="3" t="s">
        <v>30</v>
      </c>
      <c r="G1333" s="3" t="s">
        <v>36</v>
      </c>
      <c r="H1333" s="3" t="s">
        <v>30</v>
      </c>
      <c r="I1333" s="3" t="s">
        <v>32</v>
      </c>
      <c r="J1333" s="0" t="n">
        <v>1</v>
      </c>
      <c r="K1333" s="0" t="n">
        <v>0</v>
      </c>
      <c r="L1333" s="0" t="n">
        <v>0</v>
      </c>
      <c r="M1333" s="0" t="n">
        <v>0</v>
      </c>
      <c r="N1333" s="0" t="str">
        <f aca="false">IF(OR(NOT(OR(J1333=0,J1333=1)),NOT(OR(K1333=0,K1333=1)),NOT(OR(L1333=0,L1333=1)),NOT(OR(M1333=0,M1333=1)),NOT(OR(U1333=0,U1333=1))),"Yes","No")</f>
        <v>No</v>
      </c>
      <c r="O1333" s="0" t="str">
        <f aca="false">IF(OR(AND(M1333=1,L1333=0),AND(L1333=1,K1333=0),AND(K1333=1,J1333=0)),"Yes","No")</f>
        <v>No</v>
      </c>
      <c r="P1333" s="0" t="n">
        <v>0</v>
      </c>
      <c r="Q1333" s="0" t="str">
        <f aca="false">IF(OR(AND(M1333=0,P1333&gt;0),AND(M1333=1,P1333&lt;=0)),"Yes","No")</f>
        <v>No</v>
      </c>
      <c r="R1333" s="0" t="str">
        <f aca="false">IF(AND(M1333=1,P1333&gt;calc_helpers!$B$5),"Yes","No")</f>
        <v>No</v>
      </c>
      <c r="S1333" s="0" t="n">
        <v>0</v>
      </c>
      <c r="T1333" s="0" t="str">
        <f aca="false">IF(S1333&gt;0,"Yes","No")</f>
        <v>No</v>
      </c>
      <c r="U1333" s="0" t="n">
        <v>0</v>
      </c>
      <c r="W1333" s="0" t="str">
        <f aca="false">IF(OR(AND(M1333=1,ISBLANK(V1333)),AND(M1333=0,NOT(ISBLANK(V1333)))),"Yes","No")</f>
        <v>No</v>
      </c>
      <c r="X1333" s="0" t="n">
        <v>52.5</v>
      </c>
      <c r="Y1333" s="3" t="s">
        <v>30</v>
      </c>
      <c r="Z1333" s="0" t="str">
        <f aca="false">IF(M1333=1,P1333,"")</f>
        <v/>
      </c>
    </row>
    <row r="1334" customFormat="false" ht="15" hidden="false" customHeight="false" outlineLevel="0" collapsed="false">
      <c r="A1334" s="0" t="s">
        <v>1378</v>
      </c>
      <c r="B1334" s="2" t="n">
        <v>45679</v>
      </c>
      <c r="C1334" s="3" t="s">
        <v>736</v>
      </c>
      <c r="D1334" s="3" t="s">
        <v>39</v>
      </c>
      <c r="E1334" s="3" t="s">
        <v>35</v>
      </c>
      <c r="F1334" s="3" t="s">
        <v>30</v>
      </c>
      <c r="G1334" s="3" t="s">
        <v>52</v>
      </c>
      <c r="H1334" s="3" t="s">
        <v>30</v>
      </c>
      <c r="I1334" s="3" t="s">
        <v>41</v>
      </c>
      <c r="J1334" s="0" t="n">
        <v>1</v>
      </c>
      <c r="K1334" s="0" t="n">
        <v>0</v>
      </c>
      <c r="L1334" s="0" t="n">
        <v>0</v>
      </c>
      <c r="M1334" s="0" t="n">
        <v>0</v>
      </c>
      <c r="N1334" s="0" t="str">
        <f aca="false">IF(OR(NOT(OR(J1334=0,J1334=1)),NOT(OR(K1334=0,K1334=1)),NOT(OR(L1334=0,L1334=1)),NOT(OR(M1334=0,M1334=1)),NOT(OR(U1334=0,U1334=1))),"Yes","No")</f>
        <v>No</v>
      </c>
      <c r="O1334" s="0" t="str">
        <f aca="false">IF(OR(AND(M1334=1,L1334=0),AND(L1334=1,K1334=0),AND(K1334=1,J1334=0)),"Yes","No")</f>
        <v>No</v>
      </c>
      <c r="P1334" s="0" t="n">
        <v>0</v>
      </c>
      <c r="Q1334" s="0" t="str">
        <f aca="false">IF(OR(AND(M1334=0,P1334&gt;0),AND(M1334=1,P1334&lt;=0)),"Yes","No")</f>
        <v>No</v>
      </c>
      <c r="R1334" s="0" t="str">
        <f aca="false">IF(AND(M1334=1,P1334&gt;calc_helpers!$B$5),"Yes","No")</f>
        <v>No</v>
      </c>
      <c r="S1334" s="0" t="n">
        <v>0</v>
      </c>
      <c r="T1334" s="0" t="str">
        <f aca="false">IF(S1334&gt;0,"Yes","No")</f>
        <v>No</v>
      </c>
      <c r="U1334" s="0" t="n">
        <v>0</v>
      </c>
      <c r="W1334" s="0" t="str">
        <f aca="false">IF(OR(AND(M1334=1,ISBLANK(V1334)),AND(M1334=0,NOT(ISBLANK(V1334)))),"Yes","No")</f>
        <v>No</v>
      </c>
      <c r="X1334" s="0" t="n">
        <v>73.5</v>
      </c>
      <c r="Y1334" s="3" t="s">
        <v>30</v>
      </c>
      <c r="Z1334" s="0" t="str">
        <f aca="false">IF(M1334=1,P1334,"")</f>
        <v/>
      </c>
    </row>
    <row r="1335" customFormat="false" ht="15" hidden="false" customHeight="false" outlineLevel="0" collapsed="false">
      <c r="A1335" s="0" t="s">
        <v>1379</v>
      </c>
      <c r="B1335" s="2" t="n">
        <v>45663</v>
      </c>
      <c r="C1335" s="3" t="s">
        <v>736</v>
      </c>
      <c r="D1335" s="3" t="s">
        <v>34</v>
      </c>
      <c r="E1335" s="3" t="s">
        <v>29</v>
      </c>
      <c r="F1335" s="3" t="s">
        <v>30</v>
      </c>
      <c r="G1335" s="3" t="s">
        <v>40</v>
      </c>
      <c r="H1335" s="3" t="s">
        <v>30</v>
      </c>
      <c r="I1335" s="3" t="s">
        <v>37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str">
        <f aca="false">IF(OR(NOT(OR(J1335=0,J1335=1)),NOT(OR(K1335=0,K1335=1)),NOT(OR(L1335=0,L1335=1)),NOT(OR(M1335=0,M1335=1)),NOT(OR(U1335=0,U1335=1))),"Yes","No")</f>
        <v>No</v>
      </c>
      <c r="O1335" s="0" t="str">
        <f aca="false">IF(OR(AND(M1335=1,L1335=0),AND(L1335=1,K1335=0),AND(K1335=1,J1335=0)),"Yes","No")</f>
        <v>No</v>
      </c>
      <c r="P1335" s="0" t="n">
        <v>0</v>
      </c>
      <c r="Q1335" s="0" t="str">
        <f aca="false">IF(OR(AND(M1335=0,P1335&gt;0),AND(M1335=1,P1335&lt;=0)),"Yes","No")</f>
        <v>No</v>
      </c>
      <c r="R1335" s="0" t="str">
        <f aca="false">IF(AND(M1335=1,P1335&gt;calc_helpers!$B$5),"Yes","No")</f>
        <v>No</v>
      </c>
      <c r="S1335" s="0" t="n">
        <v>0</v>
      </c>
      <c r="T1335" s="0" t="str">
        <f aca="false">IF(S1335&gt;0,"Yes","No")</f>
        <v>No</v>
      </c>
      <c r="U1335" s="0" t="n">
        <v>0</v>
      </c>
      <c r="W1335" s="0" t="str">
        <f aca="false">IF(OR(AND(M1335=1,ISBLANK(V1335)),AND(M1335=0,NOT(ISBLANK(V1335)))),"Yes","No")</f>
        <v>No</v>
      </c>
      <c r="X1335" s="0" t="n">
        <v>62.5</v>
      </c>
      <c r="Y1335" s="3" t="s">
        <v>30</v>
      </c>
      <c r="Z1335" s="0" t="str">
        <f aca="false">IF(M1335=1,P1335,"")</f>
        <v/>
      </c>
    </row>
    <row r="1336" customFormat="false" ht="15" hidden="false" customHeight="false" outlineLevel="0" collapsed="false">
      <c r="A1336" s="0" t="s">
        <v>1380</v>
      </c>
      <c r="B1336" s="2" t="n">
        <v>45763</v>
      </c>
      <c r="C1336" s="3" t="s">
        <v>736</v>
      </c>
      <c r="D1336" s="3" t="s">
        <v>43</v>
      </c>
      <c r="E1336" s="3" t="s">
        <v>167</v>
      </c>
      <c r="F1336" s="3" t="s">
        <v>168</v>
      </c>
      <c r="G1336" s="3" t="s">
        <v>36</v>
      </c>
      <c r="H1336" s="3" t="s">
        <v>30</v>
      </c>
      <c r="I1336" s="3" t="s">
        <v>37</v>
      </c>
      <c r="J1336" s="0" t="n">
        <v>1</v>
      </c>
      <c r="K1336" s="0" t="n">
        <v>0</v>
      </c>
      <c r="L1336" s="0" t="n">
        <v>0</v>
      </c>
      <c r="M1336" s="0" t="n">
        <v>0</v>
      </c>
      <c r="N1336" s="0" t="str">
        <f aca="false">IF(OR(NOT(OR(J1336=0,J1336=1)),NOT(OR(K1336=0,K1336=1)),NOT(OR(L1336=0,L1336=1)),NOT(OR(M1336=0,M1336=1)),NOT(OR(U1336=0,U1336=1))),"Yes","No")</f>
        <v>No</v>
      </c>
      <c r="O1336" s="0" t="str">
        <f aca="false">IF(OR(AND(M1336=1,L1336=0),AND(L1336=1,K1336=0),AND(K1336=1,J1336=0)),"Yes","No")</f>
        <v>No</v>
      </c>
      <c r="P1336" s="0" t="n">
        <v>0</v>
      </c>
      <c r="Q1336" s="0" t="str">
        <f aca="false">IF(OR(AND(M1336=0,P1336&gt;0),AND(M1336=1,P1336&lt;=0)),"Yes","No")</f>
        <v>No</v>
      </c>
      <c r="R1336" s="0" t="str">
        <f aca="false">IF(AND(M1336=1,P1336&gt;calc_helpers!$B$5),"Yes","No")</f>
        <v>No</v>
      </c>
      <c r="S1336" s="0" t="n">
        <v>0</v>
      </c>
      <c r="T1336" s="0" t="str">
        <f aca="false">IF(S1336&gt;0,"Yes","No")</f>
        <v>No</v>
      </c>
      <c r="U1336" s="0" t="n">
        <v>0</v>
      </c>
      <c r="W1336" s="0" t="str">
        <f aca="false">IF(OR(AND(M1336=1,ISBLANK(V1336)),AND(M1336=0,NOT(ISBLANK(V1336)))),"Yes","No")</f>
        <v>No</v>
      </c>
      <c r="X1336" s="0" t="n">
        <v>76.9</v>
      </c>
      <c r="Y1336" s="3" t="s">
        <v>30</v>
      </c>
      <c r="Z1336" s="0" t="str">
        <f aca="false">IF(M1336=1,P1336,"")</f>
        <v/>
      </c>
    </row>
    <row r="1337" customFormat="false" ht="15" hidden="false" customHeight="false" outlineLevel="0" collapsed="false">
      <c r="A1337" s="0" t="s">
        <v>1381</v>
      </c>
      <c r="B1337" s="2" t="n">
        <v>45761</v>
      </c>
      <c r="C1337" s="3" t="s">
        <v>736</v>
      </c>
      <c r="D1337" s="3" t="s">
        <v>43</v>
      </c>
      <c r="E1337" s="3" t="s">
        <v>35</v>
      </c>
      <c r="F1337" s="3" t="s">
        <v>30</v>
      </c>
      <c r="G1337" s="3" t="s">
        <v>36</v>
      </c>
      <c r="H1337" s="3" t="s">
        <v>30</v>
      </c>
      <c r="I1337" s="3" t="s">
        <v>37</v>
      </c>
      <c r="J1337" s="0" t="n">
        <v>1</v>
      </c>
      <c r="K1337" s="0" t="n">
        <v>0</v>
      </c>
      <c r="L1337" s="0" t="n">
        <v>0</v>
      </c>
      <c r="M1337" s="0" t="n">
        <v>0</v>
      </c>
      <c r="N1337" s="0" t="str">
        <f aca="false">IF(OR(NOT(OR(J1337=0,J1337=1)),NOT(OR(K1337=0,K1337=1)),NOT(OR(L1337=0,L1337=1)),NOT(OR(M1337=0,M1337=1)),NOT(OR(U1337=0,U1337=1))),"Yes","No")</f>
        <v>No</v>
      </c>
      <c r="O1337" s="0" t="str">
        <f aca="false">IF(OR(AND(M1337=1,L1337=0),AND(L1337=1,K1337=0),AND(K1337=1,J1337=0)),"Yes","No")</f>
        <v>No</v>
      </c>
      <c r="P1337" s="0" t="n">
        <v>0</v>
      </c>
      <c r="Q1337" s="0" t="str">
        <f aca="false">IF(OR(AND(M1337=0,P1337&gt;0),AND(M1337=1,P1337&lt;=0)),"Yes","No")</f>
        <v>No</v>
      </c>
      <c r="R1337" s="0" t="str">
        <f aca="false">IF(AND(M1337=1,P1337&gt;calc_helpers!$B$5),"Yes","No")</f>
        <v>No</v>
      </c>
      <c r="S1337" s="0" t="n">
        <v>0</v>
      </c>
      <c r="T1337" s="0" t="str">
        <f aca="false">IF(S1337&gt;0,"Yes","No")</f>
        <v>No</v>
      </c>
      <c r="U1337" s="0" t="n">
        <v>0</v>
      </c>
      <c r="W1337" s="0" t="str">
        <f aca="false">IF(OR(AND(M1337=1,ISBLANK(V1337)),AND(M1337=0,NOT(ISBLANK(V1337)))),"Yes","No")</f>
        <v>No</v>
      </c>
      <c r="X1337" s="0" t="n">
        <v>51.4</v>
      </c>
      <c r="Y1337" s="3" t="s">
        <v>30</v>
      </c>
      <c r="Z1337" s="0" t="str">
        <f aca="false">IF(M1337=1,P1337,"")</f>
        <v/>
      </c>
    </row>
    <row r="1338" customFormat="false" ht="15" hidden="false" customHeight="false" outlineLevel="0" collapsed="false">
      <c r="A1338" s="0" t="s">
        <v>1382</v>
      </c>
      <c r="B1338" s="2" t="n">
        <v>45710</v>
      </c>
      <c r="C1338" s="3" t="s">
        <v>736</v>
      </c>
      <c r="D1338" s="3" t="s">
        <v>34</v>
      </c>
      <c r="E1338" s="3" t="s">
        <v>35</v>
      </c>
      <c r="F1338" s="3" t="s">
        <v>30</v>
      </c>
      <c r="G1338" s="3" t="s">
        <v>40</v>
      </c>
      <c r="H1338" s="3" t="s">
        <v>30</v>
      </c>
      <c r="I1338" s="3" t="s">
        <v>32</v>
      </c>
      <c r="J1338" s="0" t="n">
        <v>1</v>
      </c>
      <c r="K1338" s="0" t="n">
        <v>0</v>
      </c>
      <c r="L1338" s="0" t="n">
        <v>0</v>
      </c>
      <c r="M1338" s="0" t="n">
        <v>0</v>
      </c>
      <c r="N1338" s="0" t="str">
        <f aca="false">IF(OR(NOT(OR(J1338=0,J1338=1)),NOT(OR(K1338=0,K1338=1)),NOT(OR(L1338=0,L1338=1)),NOT(OR(M1338=0,M1338=1)),NOT(OR(U1338=0,U1338=1))),"Yes","No")</f>
        <v>No</v>
      </c>
      <c r="O1338" s="0" t="str">
        <f aca="false">IF(OR(AND(M1338=1,L1338=0),AND(L1338=1,K1338=0),AND(K1338=1,J1338=0)),"Yes","No")</f>
        <v>No</v>
      </c>
      <c r="P1338" s="0" t="n">
        <v>0</v>
      </c>
      <c r="Q1338" s="0" t="str">
        <f aca="false">IF(OR(AND(M1338=0,P1338&gt;0),AND(M1338=1,P1338&lt;=0)),"Yes","No")</f>
        <v>No</v>
      </c>
      <c r="R1338" s="0" t="str">
        <f aca="false">IF(AND(M1338=1,P1338&gt;calc_helpers!$B$5),"Yes","No")</f>
        <v>No</v>
      </c>
      <c r="S1338" s="0" t="n">
        <v>0</v>
      </c>
      <c r="T1338" s="0" t="str">
        <f aca="false">IF(S1338&gt;0,"Yes","No")</f>
        <v>No</v>
      </c>
      <c r="U1338" s="0" t="n">
        <v>0</v>
      </c>
      <c r="W1338" s="0" t="str">
        <f aca="false">IF(OR(AND(M1338=1,ISBLANK(V1338)),AND(M1338=0,NOT(ISBLANK(V1338)))),"Yes","No")</f>
        <v>No</v>
      </c>
      <c r="X1338" s="0" t="n">
        <v>59.3</v>
      </c>
      <c r="Y1338" s="3" t="s">
        <v>30</v>
      </c>
      <c r="Z1338" s="0" t="str">
        <f aca="false">IF(M1338=1,P1338,"")</f>
        <v/>
      </c>
    </row>
    <row r="1339" customFormat="false" ht="15" hidden="false" customHeight="false" outlineLevel="0" collapsed="false">
      <c r="A1339" s="0" t="s">
        <v>1383</v>
      </c>
      <c r="B1339" s="2" t="n">
        <v>45725</v>
      </c>
      <c r="C1339" s="3" t="s">
        <v>736</v>
      </c>
      <c r="D1339" s="3" t="s">
        <v>28</v>
      </c>
      <c r="E1339" s="3" t="s">
        <v>35</v>
      </c>
      <c r="F1339" s="3" t="s">
        <v>30</v>
      </c>
      <c r="G1339" s="3" t="s">
        <v>36</v>
      </c>
      <c r="H1339" s="3" t="s">
        <v>30</v>
      </c>
      <c r="I1339" s="3" t="s">
        <v>32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str">
        <f aca="false">IF(OR(NOT(OR(J1339=0,J1339=1)),NOT(OR(K1339=0,K1339=1)),NOT(OR(L1339=0,L1339=1)),NOT(OR(M1339=0,M1339=1)),NOT(OR(U1339=0,U1339=1))),"Yes","No")</f>
        <v>No</v>
      </c>
      <c r="O1339" s="0" t="str">
        <f aca="false">IF(OR(AND(M1339=1,L1339=0),AND(L1339=1,K1339=0),AND(K1339=1,J1339=0)),"Yes","No")</f>
        <v>No</v>
      </c>
      <c r="P1339" s="0" t="n">
        <v>0</v>
      </c>
      <c r="Q1339" s="0" t="str">
        <f aca="false">IF(OR(AND(M1339=0,P1339&gt;0),AND(M1339=1,P1339&lt;=0)),"Yes","No")</f>
        <v>No</v>
      </c>
      <c r="R1339" s="0" t="str">
        <f aca="false">IF(AND(M1339=1,P1339&gt;calc_helpers!$B$5),"Yes","No")</f>
        <v>No</v>
      </c>
      <c r="S1339" s="0" t="n">
        <v>0</v>
      </c>
      <c r="T1339" s="0" t="str">
        <f aca="false">IF(S1339&gt;0,"Yes","No")</f>
        <v>No</v>
      </c>
      <c r="U1339" s="0" t="n">
        <v>0</v>
      </c>
      <c r="W1339" s="0" t="str">
        <f aca="false">IF(OR(AND(M1339=1,ISBLANK(V1339)),AND(M1339=0,NOT(ISBLANK(V1339)))),"Yes","No")</f>
        <v>No</v>
      </c>
      <c r="X1339" s="0" t="n">
        <v>74.9</v>
      </c>
      <c r="Y1339" s="3" t="s">
        <v>30</v>
      </c>
      <c r="Z1339" s="0" t="str">
        <f aca="false">IF(M1339=1,P1339,"")</f>
        <v/>
      </c>
    </row>
    <row r="1340" customFormat="false" ht="15" hidden="false" customHeight="false" outlineLevel="0" collapsed="false">
      <c r="A1340" s="0" t="s">
        <v>1384</v>
      </c>
      <c r="B1340" s="2" t="n">
        <v>45767</v>
      </c>
      <c r="C1340" s="3" t="s">
        <v>736</v>
      </c>
      <c r="D1340" s="3" t="s">
        <v>34</v>
      </c>
      <c r="E1340" s="3" t="s">
        <v>29</v>
      </c>
      <c r="F1340" s="3" t="s">
        <v>30</v>
      </c>
      <c r="G1340" s="3" t="s">
        <v>36</v>
      </c>
      <c r="H1340" s="3" t="s">
        <v>30</v>
      </c>
      <c r="I1340" s="3" t="s">
        <v>37</v>
      </c>
      <c r="J1340" s="0" t="n">
        <v>1</v>
      </c>
      <c r="K1340" s="0" t="n">
        <v>0</v>
      </c>
      <c r="L1340" s="0" t="n">
        <v>0</v>
      </c>
      <c r="M1340" s="0" t="n">
        <v>0</v>
      </c>
      <c r="N1340" s="0" t="str">
        <f aca="false">IF(OR(NOT(OR(J1340=0,J1340=1)),NOT(OR(K1340=0,K1340=1)),NOT(OR(L1340=0,L1340=1)),NOT(OR(M1340=0,M1340=1)),NOT(OR(U1340=0,U1340=1))),"Yes","No")</f>
        <v>No</v>
      </c>
      <c r="O1340" s="0" t="str">
        <f aca="false">IF(OR(AND(M1340=1,L1340=0),AND(L1340=1,K1340=0),AND(K1340=1,J1340=0)),"Yes","No")</f>
        <v>No</v>
      </c>
      <c r="P1340" s="0" t="n">
        <v>0</v>
      </c>
      <c r="Q1340" s="0" t="str">
        <f aca="false">IF(OR(AND(M1340=0,P1340&gt;0),AND(M1340=1,P1340&lt;=0)),"Yes","No")</f>
        <v>No</v>
      </c>
      <c r="R1340" s="0" t="str">
        <f aca="false">IF(AND(M1340=1,P1340&gt;calc_helpers!$B$5),"Yes","No")</f>
        <v>No</v>
      </c>
      <c r="S1340" s="0" t="n">
        <v>0</v>
      </c>
      <c r="T1340" s="0" t="str">
        <f aca="false">IF(S1340&gt;0,"Yes","No")</f>
        <v>No</v>
      </c>
      <c r="U1340" s="0" t="n">
        <v>0</v>
      </c>
      <c r="W1340" s="0" t="str">
        <f aca="false">IF(OR(AND(M1340=1,ISBLANK(V1340)),AND(M1340=0,NOT(ISBLANK(V1340)))),"Yes","No")</f>
        <v>No</v>
      </c>
      <c r="X1340" s="0" t="n">
        <v>67</v>
      </c>
      <c r="Y1340" s="3" t="s">
        <v>30</v>
      </c>
      <c r="Z1340" s="0" t="str">
        <f aca="false">IF(M1340=1,P1340,"")</f>
        <v/>
      </c>
    </row>
    <row r="1341" customFormat="false" ht="15" hidden="false" customHeight="false" outlineLevel="0" collapsed="false">
      <c r="A1341" s="0" t="s">
        <v>1385</v>
      </c>
      <c r="B1341" s="2" t="n">
        <v>45726</v>
      </c>
      <c r="C1341" s="3" t="s">
        <v>736</v>
      </c>
      <c r="D1341" s="3" t="s">
        <v>43</v>
      </c>
      <c r="E1341" s="3" t="s">
        <v>35</v>
      </c>
      <c r="F1341" s="3" t="s">
        <v>30</v>
      </c>
      <c r="G1341" s="3" t="s">
        <v>31</v>
      </c>
      <c r="H1341" s="3" t="s">
        <v>30</v>
      </c>
      <c r="I1341" s="3" t="s">
        <v>37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str">
        <f aca="false">IF(OR(NOT(OR(J1341=0,J1341=1)),NOT(OR(K1341=0,K1341=1)),NOT(OR(L1341=0,L1341=1)),NOT(OR(M1341=0,M1341=1)),NOT(OR(U1341=0,U1341=1))),"Yes","No")</f>
        <v>No</v>
      </c>
      <c r="O1341" s="0" t="str">
        <f aca="false">IF(OR(AND(M1341=1,L1341=0),AND(L1341=1,K1341=0),AND(K1341=1,J1341=0)),"Yes","No")</f>
        <v>No</v>
      </c>
      <c r="P1341" s="0" t="n">
        <v>0</v>
      </c>
      <c r="Q1341" s="0" t="str">
        <f aca="false">IF(OR(AND(M1341=0,P1341&gt;0),AND(M1341=1,P1341&lt;=0)),"Yes","No")</f>
        <v>No</v>
      </c>
      <c r="R1341" s="0" t="str">
        <f aca="false">IF(AND(M1341=1,P1341&gt;calc_helpers!$B$5),"Yes","No")</f>
        <v>No</v>
      </c>
      <c r="S1341" s="0" t="n">
        <v>0</v>
      </c>
      <c r="T1341" s="0" t="str">
        <f aca="false">IF(S1341&gt;0,"Yes","No")</f>
        <v>No</v>
      </c>
      <c r="U1341" s="0" t="n">
        <v>0</v>
      </c>
      <c r="W1341" s="0" t="str">
        <f aca="false">IF(OR(AND(M1341=1,ISBLANK(V1341)),AND(M1341=0,NOT(ISBLANK(V1341)))),"Yes","No")</f>
        <v>No</v>
      </c>
      <c r="X1341" s="0" t="n">
        <v>63.6</v>
      </c>
      <c r="Y1341" s="3" t="s">
        <v>30</v>
      </c>
      <c r="Z1341" s="0" t="str">
        <f aca="false">IF(M1341=1,P1341,"")</f>
        <v/>
      </c>
    </row>
    <row r="1342" customFormat="false" ht="15" hidden="false" customHeight="false" outlineLevel="0" collapsed="false">
      <c r="A1342" s="0" t="s">
        <v>1386</v>
      </c>
      <c r="B1342" s="2" t="n">
        <v>45709</v>
      </c>
      <c r="C1342" s="3" t="s">
        <v>736</v>
      </c>
      <c r="D1342" s="3" t="s">
        <v>43</v>
      </c>
      <c r="E1342" s="3" t="s">
        <v>35</v>
      </c>
      <c r="F1342" s="3" t="s">
        <v>30</v>
      </c>
      <c r="G1342" s="3" t="s">
        <v>31</v>
      </c>
      <c r="H1342" s="3" t="s">
        <v>30</v>
      </c>
      <c r="I1342" s="3" t="s">
        <v>37</v>
      </c>
      <c r="J1342" s="0" t="n">
        <v>1</v>
      </c>
      <c r="K1342" s="0" t="n">
        <v>1</v>
      </c>
      <c r="L1342" s="0" t="n">
        <v>0</v>
      </c>
      <c r="M1342" s="0" t="n">
        <v>0</v>
      </c>
      <c r="N1342" s="0" t="str">
        <f aca="false">IF(OR(NOT(OR(J1342=0,J1342=1)),NOT(OR(K1342=0,K1342=1)),NOT(OR(L1342=0,L1342=1)),NOT(OR(M1342=0,M1342=1)),NOT(OR(U1342=0,U1342=1))),"Yes","No")</f>
        <v>No</v>
      </c>
      <c r="O1342" s="0" t="str">
        <f aca="false">IF(OR(AND(M1342=1,L1342=0),AND(L1342=1,K1342=0),AND(K1342=1,J1342=0)),"Yes","No")</f>
        <v>No</v>
      </c>
      <c r="P1342" s="0" t="n">
        <v>0</v>
      </c>
      <c r="Q1342" s="0" t="str">
        <f aca="false">IF(OR(AND(M1342=0,P1342&gt;0),AND(M1342=1,P1342&lt;=0)),"Yes","No")</f>
        <v>No</v>
      </c>
      <c r="R1342" s="0" t="str">
        <f aca="false">IF(AND(M1342=1,P1342&gt;calc_helpers!$B$5),"Yes","No")</f>
        <v>No</v>
      </c>
      <c r="S1342" s="0" t="n">
        <v>1</v>
      </c>
      <c r="T1342" s="0" t="str">
        <f aca="false">IF(S1342&gt;0,"Yes","No")</f>
        <v>Yes</v>
      </c>
      <c r="U1342" s="0" t="n">
        <v>0</v>
      </c>
      <c r="W1342" s="0" t="str">
        <f aca="false">IF(OR(AND(M1342=1,ISBLANK(V1342)),AND(M1342=0,NOT(ISBLANK(V1342)))),"Yes","No")</f>
        <v>No</v>
      </c>
      <c r="X1342" s="0" t="n">
        <v>58.4</v>
      </c>
      <c r="Y1342" s="3" t="s">
        <v>30</v>
      </c>
      <c r="Z1342" s="0" t="str">
        <f aca="false">IF(M1342=1,P1342,"")</f>
        <v/>
      </c>
    </row>
    <row r="1343" customFormat="false" ht="15" hidden="false" customHeight="false" outlineLevel="0" collapsed="false">
      <c r="A1343" s="0" t="s">
        <v>1387</v>
      </c>
      <c r="B1343" s="2" t="n">
        <v>45663</v>
      </c>
      <c r="C1343" s="3" t="s">
        <v>736</v>
      </c>
      <c r="D1343" s="3" t="s">
        <v>28</v>
      </c>
      <c r="E1343" s="3" t="s">
        <v>29</v>
      </c>
      <c r="F1343" s="3" t="s">
        <v>30</v>
      </c>
      <c r="G1343" s="3" t="s">
        <v>52</v>
      </c>
      <c r="H1343" s="3" t="s">
        <v>30</v>
      </c>
      <c r="I1343" s="3" t="s">
        <v>37</v>
      </c>
      <c r="J1343" s="0" t="n">
        <v>1</v>
      </c>
      <c r="K1343" s="0" t="n">
        <v>0</v>
      </c>
      <c r="L1343" s="0" t="n">
        <v>0</v>
      </c>
      <c r="M1343" s="0" t="n">
        <v>0</v>
      </c>
      <c r="N1343" s="0" t="str">
        <f aca="false">IF(OR(NOT(OR(J1343=0,J1343=1)),NOT(OR(K1343=0,K1343=1)),NOT(OR(L1343=0,L1343=1)),NOT(OR(M1343=0,M1343=1)),NOT(OR(U1343=0,U1343=1))),"Yes","No")</f>
        <v>No</v>
      </c>
      <c r="O1343" s="0" t="str">
        <f aca="false">IF(OR(AND(M1343=1,L1343=0),AND(L1343=1,K1343=0),AND(K1343=1,J1343=0)),"Yes","No")</f>
        <v>No</v>
      </c>
      <c r="P1343" s="0" t="n">
        <v>0</v>
      </c>
      <c r="Q1343" s="0" t="str">
        <f aca="false">IF(OR(AND(M1343=0,P1343&gt;0),AND(M1343=1,P1343&lt;=0)),"Yes","No")</f>
        <v>No</v>
      </c>
      <c r="R1343" s="0" t="str">
        <f aca="false">IF(AND(M1343=1,P1343&gt;calc_helpers!$B$5),"Yes","No")</f>
        <v>No</v>
      </c>
      <c r="S1343" s="0" t="n">
        <v>0</v>
      </c>
      <c r="T1343" s="0" t="str">
        <f aca="false">IF(S1343&gt;0,"Yes","No")</f>
        <v>No</v>
      </c>
      <c r="U1343" s="0" t="n">
        <v>0</v>
      </c>
      <c r="W1343" s="0" t="str">
        <f aca="false">IF(OR(AND(M1343=1,ISBLANK(V1343)),AND(M1343=0,NOT(ISBLANK(V1343)))),"Yes","No")</f>
        <v>No</v>
      </c>
      <c r="X1343" s="0" t="n">
        <v>36.8</v>
      </c>
      <c r="Y1343" s="3" t="s">
        <v>30</v>
      </c>
      <c r="Z1343" s="0" t="str">
        <f aca="false">IF(M1343=1,P1343,"")</f>
        <v/>
      </c>
    </row>
    <row r="1344" customFormat="false" ht="15" hidden="false" customHeight="false" outlineLevel="0" collapsed="false">
      <c r="A1344" s="0" t="s">
        <v>1388</v>
      </c>
      <c r="B1344" s="2" t="n">
        <v>45764</v>
      </c>
      <c r="C1344" s="3" t="s">
        <v>736</v>
      </c>
      <c r="D1344" s="3" t="s">
        <v>43</v>
      </c>
      <c r="E1344" s="3" t="s">
        <v>35</v>
      </c>
      <c r="F1344" s="3" t="s">
        <v>30</v>
      </c>
      <c r="G1344" s="3" t="s">
        <v>36</v>
      </c>
      <c r="H1344" s="3" t="s">
        <v>30</v>
      </c>
      <c r="I1344" s="3" t="s">
        <v>41</v>
      </c>
      <c r="J1344" s="0" t="n">
        <v>1</v>
      </c>
      <c r="K1344" s="0" t="n">
        <v>0</v>
      </c>
      <c r="L1344" s="0" t="n">
        <v>0</v>
      </c>
      <c r="M1344" s="0" t="n">
        <v>0</v>
      </c>
      <c r="N1344" s="0" t="str">
        <f aca="false">IF(OR(NOT(OR(J1344=0,J1344=1)),NOT(OR(K1344=0,K1344=1)),NOT(OR(L1344=0,L1344=1)),NOT(OR(M1344=0,M1344=1)),NOT(OR(U1344=0,U1344=1))),"Yes","No")</f>
        <v>No</v>
      </c>
      <c r="O1344" s="0" t="str">
        <f aca="false">IF(OR(AND(M1344=1,L1344=0),AND(L1344=1,K1344=0),AND(K1344=1,J1344=0)),"Yes","No")</f>
        <v>No</v>
      </c>
      <c r="P1344" s="0" t="n">
        <v>0</v>
      </c>
      <c r="Q1344" s="0" t="str">
        <f aca="false">IF(OR(AND(M1344=0,P1344&gt;0),AND(M1344=1,P1344&lt;=0)),"Yes","No")</f>
        <v>No</v>
      </c>
      <c r="R1344" s="0" t="str">
        <f aca="false">IF(AND(M1344=1,P1344&gt;calc_helpers!$B$5),"Yes","No")</f>
        <v>No</v>
      </c>
      <c r="S1344" s="0" t="n">
        <v>0</v>
      </c>
      <c r="T1344" s="0" t="str">
        <f aca="false">IF(S1344&gt;0,"Yes","No")</f>
        <v>No</v>
      </c>
      <c r="U1344" s="0" t="n">
        <v>0</v>
      </c>
      <c r="W1344" s="0" t="str">
        <f aca="false">IF(OR(AND(M1344=1,ISBLANK(V1344)),AND(M1344=0,NOT(ISBLANK(V1344)))),"Yes","No")</f>
        <v>No</v>
      </c>
      <c r="X1344" s="0" t="n">
        <v>71.6</v>
      </c>
      <c r="Y1344" s="3" t="s">
        <v>30</v>
      </c>
      <c r="Z1344" s="0" t="str">
        <f aca="false">IF(M1344=1,P1344,"")</f>
        <v/>
      </c>
    </row>
    <row r="1345" customFormat="false" ht="15" hidden="false" customHeight="false" outlineLevel="0" collapsed="false">
      <c r="A1345" s="0" t="s">
        <v>1389</v>
      </c>
      <c r="B1345" s="2" t="n">
        <v>45800</v>
      </c>
      <c r="C1345" s="3" t="s">
        <v>736</v>
      </c>
      <c r="D1345" s="3" t="s">
        <v>43</v>
      </c>
      <c r="E1345" s="3" t="s">
        <v>35</v>
      </c>
      <c r="F1345" s="3" t="s">
        <v>30</v>
      </c>
      <c r="G1345" s="3" t="s">
        <v>31</v>
      </c>
      <c r="H1345" s="3" t="s">
        <v>30</v>
      </c>
      <c r="I1345" s="3" t="s">
        <v>32</v>
      </c>
      <c r="J1345" s="0" t="n">
        <v>1</v>
      </c>
      <c r="K1345" s="0" t="n">
        <v>1</v>
      </c>
      <c r="L1345" s="0" t="n">
        <v>0</v>
      </c>
      <c r="M1345" s="0" t="n">
        <v>0</v>
      </c>
      <c r="N1345" s="0" t="str">
        <f aca="false">IF(OR(NOT(OR(J1345=0,J1345=1)),NOT(OR(K1345=0,K1345=1)),NOT(OR(L1345=0,L1345=1)),NOT(OR(M1345=0,M1345=1)),NOT(OR(U1345=0,U1345=1))),"Yes","No")</f>
        <v>No</v>
      </c>
      <c r="O1345" s="0" t="str">
        <f aca="false">IF(OR(AND(M1345=1,L1345=0),AND(L1345=1,K1345=0),AND(K1345=1,J1345=0)),"Yes","No")</f>
        <v>No</v>
      </c>
      <c r="P1345" s="0" t="n">
        <v>0</v>
      </c>
      <c r="Q1345" s="0" t="str">
        <f aca="false">IF(OR(AND(M1345=0,P1345&gt;0),AND(M1345=1,P1345&lt;=0)),"Yes","No")</f>
        <v>No</v>
      </c>
      <c r="R1345" s="0" t="str">
        <f aca="false">IF(AND(M1345=1,P1345&gt;calc_helpers!$B$5),"Yes","No")</f>
        <v>No</v>
      </c>
      <c r="S1345" s="0" t="n">
        <v>1</v>
      </c>
      <c r="T1345" s="0" t="str">
        <f aca="false">IF(S1345&gt;0,"Yes","No")</f>
        <v>Yes</v>
      </c>
      <c r="U1345" s="0" t="n">
        <v>0</v>
      </c>
      <c r="W1345" s="0" t="str">
        <f aca="false">IF(OR(AND(M1345=1,ISBLANK(V1345)),AND(M1345=0,NOT(ISBLANK(V1345)))),"Yes","No")</f>
        <v>No</v>
      </c>
      <c r="X1345" s="0" t="n">
        <v>79.7</v>
      </c>
      <c r="Y1345" s="3" t="s">
        <v>30</v>
      </c>
      <c r="Z1345" s="0" t="str">
        <f aca="false">IF(M1345=1,P1345,"")</f>
        <v/>
      </c>
    </row>
    <row r="1346" customFormat="false" ht="15" hidden="false" customHeight="false" outlineLevel="0" collapsed="false">
      <c r="A1346" s="0" t="s">
        <v>1390</v>
      </c>
      <c r="B1346" s="2" t="n">
        <v>45730</v>
      </c>
      <c r="C1346" s="3" t="s">
        <v>736</v>
      </c>
      <c r="D1346" s="3" t="s">
        <v>34</v>
      </c>
      <c r="E1346" s="3" t="s">
        <v>29</v>
      </c>
      <c r="F1346" s="3" t="s">
        <v>30</v>
      </c>
      <c r="G1346" s="3" t="s">
        <v>36</v>
      </c>
      <c r="H1346" s="3" t="s">
        <v>30</v>
      </c>
      <c r="I1346" s="3" t="s">
        <v>32</v>
      </c>
      <c r="J1346" s="0" t="n">
        <v>1</v>
      </c>
      <c r="K1346" s="0" t="n">
        <v>0</v>
      </c>
      <c r="L1346" s="0" t="n">
        <v>0</v>
      </c>
      <c r="M1346" s="0" t="n">
        <v>0</v>
      </c>
      <c r="N1346" s="0" t="str">
        <f aca="false">IF(OR(NOT(OR(J1346=0,J1346=1)),NOT(OR(K1346=0,K1346=1)),NOT(OR(L1346=0,L1346=1)),NOT(OR(M1346=0,M1346=1)),NOT(OR(U1346=0,U1346=1))),"Yes","No")</f>
        <v>No</v>
      </c>
      <c r="O1346" s="0" t="str">
        <f aca="false">IF(OR(AND(M1346=1,L1346=0),AND(L1346=1,K1346=0),AND(K1346=1,J1346=0)),"Yes","No")</f>
        <v>No</v>
      </c>
      <c r="P1346" s="0" t="n">
        <v>0</v>
      </c>
      <c r="Q1346" s="0" t="str">
        <f aca="false">IF(OR(AND(M1346=0,P1346&gt;0),AND(M1346=1,P1346&lt;=0)),"Yes","No")</f>
        <v>No</v>
      </c>
      <c r="R1346" s="0" t="str">
        <f aca="false">IF(AND(M1346=1,P1346&gt;calc_helpers!$B$5),"Yes","No")</f>
        <v>No</v>
      </c>
      <c r="S1346" s="0" t="n">
        <v>1</v>
      </c>
      <c r="T1346" s="0" t="str">
        <f aca="false">IF(S1346&gt;0,"Yes","No")</f>
        <v>Yes</v>
      </c>
      <c r="U1346" s="0" t="n">
        <v>0</v>
      </c>
      <c r="W1346" s="0" t="str">
        <f aca="false">IF(OR(AND(M1346=1,ISBLANK(V1346)),AND(M1346=0,NOT(ISBLANK(V1346)))),"Yes","No")</f>
        <v>No</v>
      </c>
      <c r="X1346" s="0" t="n">
        <v>56.5</v>
      </c>
      <c r="Y1346" s="3" t="s">
        <v>30</v>
      </c>
      <c r="Z1346" s="0" t="str">
        <f aca="false">IF(M1346=1,P1346,"")</f>
        <v/>
      </c>
    </row>
    <row r="1347" customFormat="false" ht="15" hidden="false" customHeight="false" outlineLevel="0" collapsed="false">
      <c r="A1347" s="0" t="s">
        <v>1391</v>
      </c>
      <c r="B1347" s="2" t="n">
        <v>45768</v>
      </c>
      <c r="C1347" s="3" t="s">
        <v>736</v>
      </c>
      <c r="D1347" s="3" t="s">
        <v>28</v>
      </c>
      <c r="E1347" s="3" t="s">
        <v>35</v>
      </c>
      <c r="F1347" s="3" t="s">
        <v>30</v>
      </c>
      <c r="G1347" s="3" t="s">
        <v>52</v>
      </c>
      <c r="H1347" s="3" t="s">
        <v>30</v>
      </c>
      <c r="I1347" s="3" t="s">
        <v>41</v>
      </c>
      <c r="J1347" s="0" t="n">
        <v>1</v>
      </c>
      <c r="K1347" s="0" t="n">
        <v>0</v>
      </c>
      <c r="L1347" s="0" t="n">
        <v>0</v>
      </c>
      <c r="M1347" s="0" t="n">
        <v>0</v>
      </c>
      <c r="N1347" s="0" t="str">
        <f aca="false">IF(OR(NOT(OR(J1347=0,J1347=1)),NOT(OR(K1347=0,K1347=1)),NOT(OR(L1347=0,L1347=1)),NOT(OR(M1347=0,M1347=1)),NOT(OR(U1347=0,U1347=1))),"Yes","No")</f>
        <v>No</v>
      </c>
      <c r="O1347" s="0" t="str">
        <f aca="false">IF(OR(AND(M1347=1,L1347=0),AND(L1347=1,K1347=0),AND(K1347=1,J1347=0)),"Yes","No")</f>
        <v>No</v>
      </c>
      <c r="P1347" s="0" t="n">
        <v>0</v>
      </c>
      <c r="Q1347" s="0" t="str">
        <f aca="false">IF(OR(AND(M1347=0,P1347&gt;0),AND(M1347=1,P1347&lt;=0)),"Yes","No")</f>
        <v>No</v>
      </c>
      <c r="R1347" s="0" t="str">
        <f aca="false">IF(AND(M1347=1,P1347&gt;calc_helpers!$B$5),"Yes","No")</f>
        <v>No</v>
      </c>
      <c r="S1347" s="0" t="n">
        <v>0</v>
      </c>
      <c r="T1347" s="0" t="str">
        <f aca="false">IF(S1347&gt;0,"Yes","No")</f>
        <v>No</v>
      </c>
      <c r="U1347" s="0" t="n">
        <v>0</v>
      </c>
      <c r="W1347" s="0" t="str">
        <f aca="false">IF(OR(AND(M1347=1,ISBLANK(V1347)),AND(M1347=0,NOT(ISBLANK(V1347)))),"Yes","No")</f>
        <v>No</v>
      </c>
      <c r="X1347" s="0" t="n">
        <v>44.7</v>
      </c>
      <c r="Y1347" s="3" t="s">
        <v>30</v>
      </c>
      <c r="Z1347" s="0" t="str">
        <f aca="false">IF(M1347=1,P1347,"")</f>
        <v/>
      </c>
    </row>
    <row r="1348" customFormat="false" ht="15" hidden="false" customHeight="false" outlineLevel="0" collapsed="false">
      <c r="A1348" s="0" t="s">
        <v>1392</v>
      </c>
      <c r="B1348" s="2" t="n">
        <v>45660</v>
      </c>
      <c r="C1348" s="3" t="s">
        <v>736</v>
      </c>
      <c r="D1348" s="3" t="s">
        <v>43</v>
      </c>
      <c r="E1348" s="3" t="s">
        <v>35</v>
      </c>
      <c r="F1348" s="3" t="s">
        <v>30</v>
      </c>
      <c r="G1348" s="3" t="s">
        <v>52</v>
      </c>
      <c r="H1348" s="3" t="s">
        <v>30</v>
      </c>
      <c r="I1348" s="3" t="s">
        <v>37</v>
      </c>
      <c r="J1348" s="0" t="n">
        <v>1</v>
      </c>
      <c r="K1348" s="0" t="n">
        <v>1</v>
      </c>
      <c r="L1348" s="0" t="n">
        <v>1</v>
      </c>
      <c r="M1348" s="0" t="n">
        <v>0</v>
      </c>
      <c r="N1348" s="0" t="str">
        <f aca="false">IF(OR(NOT(OR(J1348=0,J1348=1)),NOT(OR(K1348=0,K1348=1)),NOT(OR(L1348=0,L1348=1)),NOT(OR(M1348=0,M1348=1)),NOT(OR(U1348=0,U1348=1))),"Yes","No")</f>
        <v>No</v>
      </c>
      <c r="O1348" s="0" t="str">
        <f aca="false">IF(OR(AND(M1348=1,L1348=0),AND(L1348=1,K1348=0),AND(K1348=1,J1348=0)),"Yes","No")</f>
        <v>No</v>
      </c>
      <c r="P1348" s="0" t="n">
        <v>0</v>
      </c>
      <c r="Q1348" s="0" t="str">
        <f aca="false">IF(OR(AND(M1348=0,P1348&gt;0),AND(M1348=1,P1348&lt;=0)),"Yes","No")</f>
        <v>No</v>
      </c>
      <c r="R1348" s="0" t="str">
        <f aca="false">IF(AND(M1348=1,P1348&gt;calc_helpers!$B$5),"Yes","No")</f>
        <v>No</v>
      </c>
      <c r="S1348" s="0" t="n">
        <v>1</v>
      </c>
      <c r="T1348" s="0" t="str">
        <f aca="false">IF(S1348&gt;0,"Yes","No")</f>
        <v>Yes</v>
      </c>
      <c r="U1348" s="0" t="n">
        <v>0</v>
      </c>
      <c r="W1348" s="0" t="str">
        <f aca="false">IF(OR(AND(M1348=1,ISBLANK(V1348)),AND(M1348=0,NOT(ISBLANK(V1348)))),"Yes","No")</f>
        <v>No</v>
      </c>
      <c r="X1348" s="0" t="n">
        <v>66</v>
      </c>
      <c r="Y1348" s="3" t="s">
        <v>30</v>
      </c>
      <c r="Z1348" s="0" t="str">
        <f aca="false">IF(M1348=1,P1348,"")</f>
        <v/>
      </c>
    </row>
    <row r="1349" customFormat="false" ht="15" hidden="false" customHeight="false" outlineLevel="0" collapsed="false">
      <c r="A1349" s="0" t="s">
        <v>1393</v>
      </c>
      <c r="B1349" s="2" t="n">
        <v>45786</v>
      </c>
      <c r="C1349" s="3" t="s">
        <v>736</v>
      </c>
      <c r="D1349" s="3" t="s">
        <v>28</v>
      </c>
      <c r="E1349" s="3" t="s">
        <v>29</v>
      </c>
      <c r="F1349" s="3" t="s">
        <v>30</v>
      </c>
      <c r="G1349" s="3" t="s">
        <v>36</v>
      </c>
      <c r="H1349" s="3" t="s">
        <v>30</v>
      </c>
      <c r="I1349" s="3" t="s">
        <v>32</v>
      </c>
      <c r="J1349" s="0" t="n">
        <v>1</v>
      </c>
      <c r="K1349" s="0" t="n">
        <v>0</v>
      </c>
      <c r="L1349" s="0" t="n">
        <v>0</v>
      </c>
      <c r="M1349" s="0" t="n">
        <v>0</v>
      </c>
      <c r="N1349" s="0" t="str">
        <f aca="false">IF(OR(NOT(OR(J1349=0,J1349=1)),NOT(OR(K1349=0,K1349=1)),NOT(OR(L1349=0,L1349=1)),NOT(OR(M1349=0,M1349=1)),NOT(OR(U1349=0,U1349=1))),"Yes","No")</f>
        <v>No</v>
      </c>
      <c r="O1349" s="0" t="str">
        <f aca="false">IF(OR(AND(M1349=1,L1349=0),AND(L1349=1,K1349=0),AND(K1349=1,J1349=0)),"Yes","No")</f>
        <v>No</v>
      </c>
      <c r="P1349" s="0" t="n">
        <v>0</v>
      </c>
      <c r="Q1349" s="0" t="str">
        <f aca="false">IF(OR(AND(M1349=0,P1349&gt;0),AND(M1349=1,P1349&lt;=0)),"Yes","No")</f>
        <v>No</v>
      </c>
      <c r="R1349" s="0" t="str">
        <f aca="false">IF(AND(M1349=1,P1349&gt;calc_helpers!$B$5),"Yes","No")</f>
        <v>No</v>
      </c>
      <c r="S1349" s="0" t="n">
        <v>0</v>
      </c>
      <c r="T1349" s="0" t="str">
        <f aca="false">IF(S1349&gt;0,"Yes","No")</f>
        <v>No</v>
      </c>
      <c r="U1349" s="0" t="n">
        <v>0</v>
      </c>
      <c r="W1349" s="0" t="str">
        <f aca="false">IF(OR(AND(M1349=1,ISBLANK(V1349)),AND(M1349=0,NOT(ISBLANK(V1349)))),"Yes","No")</f>
        <v>No</v>
      </c>
      <c r="X1349" s="0" t="n">
        <v>73</v>
      </c>
      <c r="Y1349" s="3" t="s">
        <v>30</v>
      </c>
      <c r="Z1349" s="0" t="str">
        <f aca="false">IF(M1349=1,P1349,"")</f>
        <v/>
      </c>
    </row>
    <row r="1350" customFormat="false" ht="15" hidden="false" customHeight="false" outlineLevel="0" collapsed="false">
      <c r="A1350" s="0" t="s">
        <v>1394</v>
      </c>
      <c r="B1350" s="2" t="n">
        <v>45799</v>
      </c>
      <c r="C1350" s="3" t="s">
        <v>736</v>
      </c>
      <c r="D1350" s="3" t="s">
        <v>43</v>
      </c>
      <c r="E1350" s="3" t="s">
        <v>35</v>
      </c>
      <c r="F1350" s="3" t="s">
        <v>30</v>
      </c>
      <c r="G1350" s="3" t="s">
        <v>36</v>
      </c>
      <c r="H1350" s="3" t="s">
        <v>30</v>
      </c>
      <c r="I1350" s="3" t="s">
        <v>32</v>
      </c>
      <c r="J1350" s="0" t="n">
        <v>1</v>
      </c>
      <c r="K1350" s="0" t="n">
        <v>1</v>
      </c>
      <c r="L1350" s="0" t="n">
        <v>1</v>
      </c>
      <c r="M1350" s="0" t="n">
        <v>0</v>
      </c>
      <c r="N1350" s="0" t="str">
        <f aca="false">IF(OR(NOT(OR(J1350=0,J1350=1)),NOT(OR(K1350=0,K1350=1)),NOT(OR(L1350=0,L1350=1)),NOT(OR(M1350=0,M1350=1)),NOT(OR(U1350=0,U1350=1))),"Yes","No")</f>
        <v>No</v>
      </c>
      <c r="O1350" s="0" t="str">
        <f aca="false">IF(OR(AND(M1350=1,L1350=0),AND(L1350=1,K1350=0),AND(K1350=1,J1350=0)),"Yes","No")</f>
        <v>No</v>
      </c>
      <c r="P1350" s="0" t="n">
        <v>0</v>
      </c>
      <c r="Q1350" s="0" t="str">
        <f aca="false">IF(OR(AND(M1350=0,P1350&gt;0),AND(M1350=1,P1350&lt;=0)),"Yes","No")</f>
        <v>No</v>
      </c>
      <c r="R1350" s="0" t="str">
        <f aca="false">IF(AND(M1350=1,P1350&gt;calc_helpers!$B$5),"Yes","No")</f>
        <v>No</v>
      </c>
      <c r="S1350" s="0" t="n">
        <v>1</v>
      </c>
      <c r="T1350" s="0" t="str">
        <f aca="false">IF(S1350&gt;0,"Yes","No")</f>
        <v>Yes</v>
      </c>
      <c r="U1350" s="0" t="n">
        <v>0</v>
      </c>
      <c r="W1350" s="0" t="str">
        <f aca="false">IF(OR(AND(M1350=1,ISBLANK(V1350)),AND(M1350=0,NOT(ISBLANK(V1350)))),"Yes","No")</f>
        <v>No</v>
      </c>
      <c r="X1350" s="0" t="n">
        <v>72.5</v>
      </c>
      <c r="Y1350" s="3" t="s">
        <v>30</v>
      </c>
      <c r="Z1350" s="0" t="str">
        <f aca="false">IF(M1350=1,P1350,"")</f>
        <v/>
      </c>
    </row>
    <row r="1351" customFormat="false" ht="15" hidden="false" customHeight="false" outlineLevel="0" collapsed="false">
      <c r="A1351" s="0" t="s">
        <v>1395</v>
      </c>
      <c r="B1351" s="2" t="n">
        <v>45784</v>
      </c>
      <c r="C1351" s="3" t="s">
        <v>736</v>
      </c>
      <c r="D1351" s="3" t="s">
        <v>43</v>
      </c>
      <c r="E1351" s="3" t="s">
        <v>29</v>
      </c>
      <c r="F1351" s="3" t="s">
        <v>30</v>
      </c>
      <c r="G1351" s="3" t="s">
        <v>40</v>
      </c>
      <c r="H1351" s="3" t="s">
        <v>30</v>
      </c>
      <c r="I1351" s="3" t="s">
        <v>37</v>
      </c>
      <c r="J1351" s="0" t="n">
        <v>1</v>
      </c>
      <c r="K1351" s="0" t="n">
        <v>1</v>
      </c>
      <c r="L1351" s="0" t="n">
        <v>1</v>
      </c>
      <c r="M1351" s="0" t="n">
        <v>1</v>
      </c>
      <c r="N1351" s="0" t="str">
        <f aca="false">IF(OR(NOT(OR(J1351=0,J1351=1)),NOT(OR(K1351=0,K1351=1)),NOT(OR(L1351=0,L1351=1)),NOT(OR(M1351=0,M1351=1)),NOT(OR(U1351=0,U1351=1))),"Yes","No")</f>
        <v>No</v>
      </c>
      <c r="O1351" s="0" t="str">
        <f aca="false">IF(OR(AND(M1351=1,L1351=0),AND(L1351=1,K1351=0),AND(K1351=1,J1351=0)),"Yes","No")</f>
        <v>No</v>
      </c>
      <c r="P1351" s="0" t="n">
        <v>323.6</v>
      </c>
      <c r="Q1351" s="0" t="str">
        <f aca="false">IF(OR(AND(M1351=0,P1351&gt;0),AND(M1351=1,P1351&lt;=0)),"Yes","No")</f>
        <v>No</v>
      </c>
      <c r="R1351" s="0" t="str">
        <f aca="false">IF(AND(M1351=1,P1351&gt;calc_helpers!$B$5),"Yes","No")</f>
        <v>No</v>
      </c>
      <c r="S1351" s="0" t="n">
        <v>0</v>
      </c>
      <c r="T1351" s="0" t="str">
        <f aca="false">IF(S1351&gt;0,"Yes","No")</f>
        <v>No</v>
      </c>
      <c r="U1351" s="0" t="n">
        <v>0</v>
      </c>
      <c r="V1351" s="0" t="n">
        <v>6</v>
      </c>
      <c r="W1351" s="0" t="str">
        <f aca="false">IF(OR(AND(M1351=1,ISBLANK(V1351)),AND(M1351=0,NOT(ISBLANK(V1351)))),"Yes","No")</f>
        <v>No</v>
      </c>
      <c r="X1351" s="0" t="n">
        <v>100</v>
      </c>
      <c r="Y1351" s="3" t="s">
        <v>30</v>
      </c>
      <c r="Z1351" s="3" t="n">
        <f aca="false">IF(M1351=1,P1351,"")</f>
        <v>323.6</v>
      </c>
    </row>
    <row r="1352" customFormat="false" ht="15" hidden="false" customHeight="false" outlineLevel="0" collapsed="false">
      <c r="A1352" s="0" t="s">
        <v>1396</v>
      </c>
      <c r="B1352" s="2" t="n">
        <v>45696</v>
      </c>
      <c r="C1352" s="3" t="s">
        <v>736</v>
      </c>
      <c r="D1352" s="3" t="s">
        <v>39</v>
      </c>
      <c r="E1352" s="3" t="s">
        <v>35</v>
      </c>
      <c r="F1352" s="3" t="s">
        <v>30</v>
      </c>
      <c r="G1352" s="3" t="s">
        <v>52</v>
      </c>
      <c r="H1352" s="3" t="s">
        <v>30</v>
      </c>
      <c r="I1352" s="3" t="s">
        <v>37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str">
        <f aca="false">IF(OR(NOT(OR(J1352=0,J1352=1)),NOT(OR(K1352=0,K1352=1)),NOT(OR(L1352=0,L1352=1)),NOT(OR(M1352=0,M1352=1)),NOT(OR(U1352=0,U1352=1))),"Yes","No")</f>
        <v>No</v>
      </c>
      <c r="O1352" s="0" t="str">
        <f aca="false">IF(OR(AND(M1352=1,L1352=0),AND(L1352=1,K1352=0),AND(K1352=1,J1352=0)),"Yes","No")</f>
        <v>No</v>
      </c>
      <c r="P1352" s="0" t="n">
        <v>0</v>
      </c>
      <c r="Q1352" s="0" t="str">
        <f aca="false">IF(OR(AND(M1352=0,P1352&gt;0),AND(M1352=1,P1352&lt;=0)),"Yes","No")</f>
        <v>No</v>
      </c>
      <c r="R1352" s="0" t="str">
        <f aca="false">IF(AND(M1352=1,P1352&gt;calc_helpers!$B$5),"Yes","No")</f>
        <v>No</v>
      </c>
      <c r="S1352" s="0" t="n">
        <v>1</v>
      </c>
      <c r="T1352" s="0" t="str">
        <f aca="false">IF(S1352&gt;0,"Yes","No")</f>
        <v>Yes</v>
      </c>
      <c r="U1352" s="0" t="n">
        <v>0</v>
      </c>
      <c r="W1352" s="0" t="str">
        <f aca="false">IF(OR(AND(M1352=1,ISBLANK(V1352)),AND(M1352=0,NOT(ISBLANK(V1352)))),"Yes","No")</f>
        <v>No</v>
      </c>
      <c r="X1352" s="0" t="n">
        <v>90.5</v>
      </c>
      <c r="Y1352" s="3" t="s">
        <v>30</v>
      </c>
      <c r="Z1352" s="0" t="str">
        <f aca="false">IF(M1352=1,P1352,"")</f>
        <v/>
      </c>
    </row>
    <row r="1353" customFormat="false" ht="15" hidden="false" customHeight="false" outlineLevel="0" collapsed="false">
      <c r="A1353" s="0" t="s">
        <v>1397</v>
      </c>
      <c r="B1353" s="2" t="n">
        <v>45750</v>
      </c>
      <c r="C1353" s="3" t="s">
        <v>736</v>
      </c>
      <c r="D1353" s="3" t="s">
        <v>28</v>
      </c>
      <c r="E1353" s="3" t="s">
        <v>45</v>
      </c>
      <c r="F1353" s="3" t="s">
        <v>30</v>
      </c>
      <c r="G1353" s="3" t="s">
        <v>52</v>
      </c>
      <c r="H1353" s="3" t="s">
        <v>30</v>
      </c>
      <c r="I1353" s="3" t="s">
        <v>32</v>
      </c>
      <c r="J1353" s="0" t="n">
        <v>1</v>
      </c>
      <c r="K1353" s="0" t="n">
        <v>0</v>
      </c>
      <c r="L1353" s="0" t="n">
        <v>0</v>
      </c>
      <c r="M1353" s="0" t="n">
        <v>0</v>
      </c>
      <c r="N1353" s="0" t="str">
        <f aca="false">IF(OR(NOT(OR(J1353=0,J1353=1)),NOT(OR(K1353=0,K1353=1)),NOT(OR(L1353=0,L1353=1)),NOT(OR(M1353=0,M1353=1)),NOT(OR(U1353=0,U1353=1))),"Yes","No")</f>
        <v>No</v>
      </c>
      <c r="O1353" s="0" t="str">
        <f aca="false">IF(OR(AND(M1353=1,L1353=0),AND(L1353=1,K1353=0),AND(K1353=1,J1353=0)),"Yes","No")</f>
        <v>No</v>
      </c>
      <c r="P1353" s="0" t="n">
        <v>0</v>
      </c>
      <c r="Q1353" s="0" t="str">
        <f aca="false">IF(OR(AND(M1353=0,P1353&gt;0),AND(M1353=1,P1353&lt;=0)),"Yes","No")</f>
        <v>No</v>
      </c>
      <c r="R1353" s="0" t="str">
        <f aca="false">IF(AND(M1353=1,P1353&gt;calc_helpers!$B$5),"Yes","No")</f>
        <v>No</v>
      </c>
      <c r="S1353" s="0" t="n">
        <v>0</v>
      </c>
      <c r="T1353" s="0" t="str">
        <f aca="false">IF(S1353&gt;0,"Yes","No")</f>
        <v>No</v>
      </c>
      <c r="U1353" s="0" t="n">
        <v>0</v>
      </c>
      <c r="W1353" s="0" t="str">
        <f aca="false">IF(OR(AND(M1353=1,ISBLANK(V1353)),AND(M1353=0,NOT(ISBLANK(V1353)))),"Yes","No")</f>
        <v>No</v>
      </c>
      <c r="X1353" s="0" t="n">
        <v>70.2</v>
      </c>
      <c r="Y1353" s="3" t="s">
        <v>30</v>
      </c>
      <c r="Z1353" s="0" t="str">
        <f aca="false">IF(M1353=1,P1353,"")</f>
        <v/>
      </c>
    </row>
    <row r="1354" customFormat="false" ht="15" hidden="false" customHeight="false" outlineLevel="0" collapsed="false">
      <c r="A1354" s="0" t="s">
        <v>1398</v>
      </c>
      <c r="B1354" s="2" t="n">
        <v>45764</v>
      </c>
      <c r="C1354" s="3" t="s">
        <v>736</v>
      </c>
      <c r="D1354" s="3" t="s">
        <v>39</v>
      </c>
      <c r="E1354" s="3" t="s">
        <v>29</v>
      </c>
      <c r="F1354" s="3" t="s">
        <v>30</v>
      </c>
      <c r="G1354" s="3" t="s">
        <v>40</v>
      </c>
      <c r="H1354" s="3" t="s">
        <v>30</v>
      </c>
      <c r="I1354" s="3" t="s">
        <v>37</v>
      </c>
      <c r="J1354" s="0" t="n">
        <v>1</v>
      </c>
      <c r="K1354" s="0" t="n">
        <v>0</v>
      </c>
      <c r="L1354" s="0" t="n">
        <v>0</v>
      </c>
      <c r="M1354" s="0" t="n">
        <v>0</v>
      </c>
      <c r="N1354" s="0" t="str">
        <f aca="false">IF(OR(NOT(OR(J1354=0,J1354=1)),NOT(OR(K1354=0,K1354=1)),NOT(OR(L1354=0,L1354=1)),NOT(OR(M1354=0,M1354=1)),NOT(OR(U1354=0,U1354=1))),"Yes","No")</f>
        <v>No</v>
      </c>
      <c r="O1354" s="0" t="str">
        <f aca="false">IF(OR(AND(M1354=1,L1354=0),AND(L1354=1,K1354=0),AND(K1354=1,J1354=0)),"Yes","No")</f>
        <v>No</v>
      </c>
      <c r="P1354" s="0" t="n">
        <v>0</v>
      </c>
      <c r="Q1354" s="0" t="str">
        <f aca="false">IF(OR(AND(M1354=0,P1354&gt;0),AND(M1354=1,P1354&lt;=0)),"Yes","No")</f>
        <v>No</v>
      </c>
      <c r="R1354" s="0" t="str">
        <f aca="false">IF(AND(M1354=1,P1354&gt;calc_helpers!$B$5),"Yes","No")</f>
        <v>No</v>
      </c>
      <c r="S1354" s="0" t="n">
        <v>1</v>
      </c>
      <c r="T1354" s="0" t="str">
        <f aca="false">IF(S1354&gt;0,"Yes","No")</f>
        <v>Yes</v>
      </c>
      <c r="U1354" s="0" t="n">
        <v>0</v>
      </c>
      <c r="W1354" s="0" t="str">
        <f aca="false">IF(OR(AND(M1354=1,ISBLANK(V1354)),AND(M1354=0,NOT(ISBLANK(V1354)))),"Yes","No")</f>
        <v>No</v>
      </c>
      <c r="X1354" s="0" t="n">
        <v>67.1</v>
      </c>
      <c r="Y1354" s="3" t="s">
        <v>30</v>
      </c>
      <c r="Z1354" s="0" t="str">
        <f aca="false">IF(M1354=1,P1354,"")</f>
        <v/>
      </c>
    </row>
    <row r="1355" customFormat="false" ht="15" hidden="false" customHeight="false" outlineLevel="0" collapsed="false">
      <c r="A1355" s="0" t="s">
        <v>1399</v>
      </c>
      <c r="B1355" s="2" t="n">
        <v>45781</v>
      </c>
      <c r="C1355" s="3" t="s">
        <v>736</v>
      </c>
      <c r="D1355" s="3" t="s">
        <v>39</v>
      </c>
      <c r="E1355" s="3" t="s">
        <v>35</v>
      </c>
      <c r="F1355" s="3" t="s">
        <v>30</v>
      </c>
      <c r="G1355" s="3" t="s">
        <v>36</v>
      </c>
      <c r="H1355" s="3" t="s">
        <v>30</v>
      </c>
      <c r="I1355" s="3" t="s">
        <v>37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str">
        <f aca="false">IF(OR(NOT(OR(J1355=0,J1355=1)),NOT(OR(K1355=0,K1355=1)),NOT(OR(L1355=0,L1355=1)),NOT(OR(M1355=0,M1355=1)),NOT(OR(U1355=0,U1355=1))),"Yes","No")</f>
        <v>No</v>
      </c>
      <c r="O1355" s="0" t="str">
        <f aca="false">IF(OR(AND(M1355=1,L1355=0),AND(L1355=1,K1355=0),AND(K1355=1,J1355=0)),"Yes","No")</f>
        <v>No</v>
      </c>
      <c r="P1355" s="0" t="n">
        <v>0</v>
      </c>
      <c r="Q1355" s="0" t="str">
        <f aca="false">IF(OR(AND(M1355=0,P1355&gt;0),AND(M1355=1,P1355&lt;=0)),"Yes","No")</f>
        <v>No</v>
      </c>
      <c r="R1355" s="0" t="str">
        <f aca="false">IF(AND(M1355=1,P1355&gt;calc_helpers!$B$5),"Yes","No")</f>
        <v>No</v>
      </c>
      <c r="S1355" s="0" t="n">
        <v>0</v>
      </c>
      <c r="T1355" s="0" t="str">
        <f aca="false">IF(S1355&gt;0,"Yes","No")</f>
        <v>No</v>
      </c>
      <c r="U1355" s="0" t="n">
        <v>0</v>
      </c>
      <c r="W1355" s="0" t="str">
        <f aca="false">IF(OR(AND(M1355=1,ISBLANK(V1355)),AND(M1355=0,NOT(ISBLANK(V1355)))),"Yes","No")</f>
        <v>No</v>
      </c>
      <c r="X1355" s="0" t="n">
        <v>54.5</v>
      </c>
      <c r="Y1355" s="3" t="s">
        <v>30</v>
      </c>
      <c r="Z1355" s="0" t="str">
        <f aca="false">IF(M1355=1,P1355,"")</f>
        <v/>
      </c>
    </row>
    <row r="1356" customFormat="false" ht="15" hidden="false" customHeight="false" outlineLevel="0" collapsed="false">
      <c r="A1356" s="0" t="s">
        <v>1400</v>
      </c>
      <c r="B1356" s="2" t="n">
        <v>45788</v>
      </c>
      <c r="C1356" s="3" t="s">
        <v>736</v>
      </c>
      <c r="D1356" s="3" t="s">
        <v>34</v>
      </c>
      <c r="E1356" s="3" t="s">
        <v>29</v>
      </c>
      <c r="F1356" s="3" t="s">
        <v>30</v>
      </c>
      <c r="G1356" s="3" t="s">
        <v>36</v>
      </c>
      <c r="H1356" s="3" t="s">
        <v>30</v>
      </c>
      <c r="I1356" s="3" t="s">
        <v>37</v>
      </c>
      <c r="J1356" s="0" t="n">
        <v>1</v>
      </c>
      <c r="K1356" s="0" t="n">
        <v>0</v>
      </c>
      <c r="L1356" s="0" t="n">
        <v>0</v>
      </c>
      <c r="M1356" s="0" t="n">
        <v>0</v>
      </c>
      <c r="N1356" s="0" t="str">
        <f aca="false">IF(OR(NOT(OR(J1356=0,J1356=1)),NOT(OR(K1356=0,K1356=1)),NOT(OR(L1356=0,L1356=1)),NOT(OR(M1356=0,M1356=1)),NOT(OR(U1356=0,U1356=1))),"Yes","No")</f>
        <v>No</v>
      </c>
      <c r="O1356" s="0" t="str">
        <f aca="false">IF(OR(AND(M1356=1,L1356=0),AND(L1356=1,K1356=0),AND(K1356=1,J1356=0)),"Yes","No")</f>
        <v>No</v>
      </c>
      <c r="P1356" s="0" t="n">
        <v>0</v>
      </c>
      <c r="Q1356" s="0" t="str">
        <f aca="false">IF(OR(AND(M1356=0,P1356&gt;0),AND(M1356=1,P1356&lt;=0)),"Yes","No")</f>
        <v>No</v>
      </c>
      <c r="R1356" s="0" t="str">
        <f aca="false">IF(AND(M1356=1,P1356&gt;calc_helpers!$B$5),"Yes","No")</f>
        <v>No</v>
      </c>
      <c r="S1356" s="0" t="n">
        <v>0</v>
      </c>
      <c r="T1356" s="0" t="str">
        <f aca="false">IF(S1356&gt;0,"Yes","No")</f>
        <v>No</v>
      </c>
      <c r="U1356" s="0" t="n">
        <v>0</v>
      </c>
      <c r="W1356" s="0" t="str">
        <f aca="false">IF(OR(AND(M1356=1,ISBLANK(V1356)),AND(M1356=0,NOT(ISBLANK(V1356)))),"Yes","No")</f>
        <v>No</v>
      </c>
      <c r="X1356" s="0" t="n">
        <v>63.4</v>
      </c>
      <c r="Y1356" s="3" t="s">
        <v>30</v>
      </c>
      <c r="Z1356" s="0" t="str">
        <f aca="false">IF(M1356=1,P1356,"")</f>
        <v/>
      </c>
    </row>
    <row r="1357" customFormat="false" ht="15" hidden="false" customHeight="false" outlineLevel="0" collapsed="false">
      <c r="A1357" s="0" t="s">
        <v>1401</v>
      </c>
      <c r="B1357" s="2" t="n">
        <v>45717</v>
      </c>
      <c r="C1357" s="3" t="s">
        <v>736</v>
      </c>
      <c r="D1357" s="3" t="s">
        <v>28</v>
      </c>
      <c r="E1357" s="3" t="s">
        <v>29</v>
      </c>
      <c r="F1357" s="3" t="s">
        <v>30</v>
      </c>
      <c r="G1357" s="3" t="s">
        <v>167</v>
      </c>
      <c r="H1357" s="3" t="s">
        <v>168</v>
      </c>
      <c r="I1357" s="3" t="s">
        <v>37</v>
      </c>
      <c r="J1357" s="0" t="n">
        <v>1</v>
      </c>
      <c r="K1357" s="0" t="n">
        <v>1</v>
      </c>
      <c r="L1357" s="0" t="n">
        <v>1</v>
      </c>
      <c r="M1357" s="0" t="n">
        <v>0</v>
      </c>
      <c r="N1357" s="0" t="str">
        <f aca="false">IF(OR(NOT(OR(J1357=0,J1357=1)),NOT(OR(K1357=0,K1357=1)),NOT(OR(L1357=0,L1357=1)),NOT(OR(M1357=0,M1357=1)),NOT(OR(U1357=0,U1357=1))),"Yes","No")</f>
        <v>No</v>
      </c>
      <c r="O1357" s="0" t="str">
        <f aca="false">IF(OR(AND(M1357=1,L1357=0),AND(L1357=1,K1357=0),AND(K1357=1,J1357=0)),"Yes","No")</f>
        <v>No</v>
      </c>
      <c r="P1357" s="0" t="n">
        <v>0</v>
      </c>
      <c r="Q1357" s="0" t="str">
        <f aca="false">IF(OR(AND(M1357=0,P1357&gt;0),AND(M1357=1,P1357&lt;=0)),"Yes","No")</f>
        <v>No</v>
      </c>
      <c r="R1357" s="0" t="str">
        <f aca="false">IF(AND(M1357=1,P1357&gt;calc_helpers!$B$5),"Yes","No")</f>
        <v>No</v>
      </c>
      <c r="S1357" s="0" t="n">
        <v>0</v>
      </c>
      <c r="T1357" s="0" t="str">
        <f aca="false">IF(S1357&gt;0,"Yes","No")</f>
        <v>No</v>
      </c>
      <c r="U1357" s="0" t="n">
        <v>0</v>
      </c>
      <c r="W1357" s="0" t="str">
        <f aca="false">IF(OR(AND(M1357=1,ISBLANK(V1357)),AND(M1357=0,NOT(ISBLANK(V1357)))),"Yes","No")</f>
        <v>No</v>
      </c>
      <c r="X1357" s="0" t="n">
        <v>84.3</v>
      </c>
      <c r="Y1357" s="3" t="s">
        <v>30</v>
      </c>
      <c r="Z1357" s="0" t="str">
        <f aca="false">IF(M1357=1,P1357,"")</f>
        <v/>
      </c>
    </row>
    <row r="1358" customFormat="false" ht="15" hidden="false" customHeight="false" outlineLevel="0" collapsed="false">
      <c r="A1358" s="0" t="s">
        <v>1402</v>
      </c>
      <c r="B1358" s="2" t="n">
        <v>45708</v>
      </c>
      <c r="C1358" s="3" t="s">
        <v>736</v>
      </c>
      <c r="D1358" s="3" t="s">
        <v>34</v>
      </c>
      <c r="E1358" s="3" t="s">
        <v>29</v>
      </c>
      <c r="F1358" s="3" t="s">
        <v>30</v>
      </c>
      <c r="G1358" s="3" t="s">
        <v>36</v>
      </c>
      <c r="H1358" s="3" t="s">
        <v>30</v>
      </c>
      <c r="I1358" s="3" t="s">
        <v>37</v>
      </c>
      <c r="J1358" s="0" t="n">
        <v>1</v>
      </c>
      <c r="K1358" s="0" t="n">
        <v>0</v>
      </c>
      <c r="L1358" s="0" t="n">
        <v>0</v>
      </c>
      <c r="M1358" s="0" t="n">
        <v>0</v>
      </c>
      <c r="N1358" s="0" t="str">
        <f aca="false">IF(OR(NOT(OR(J1358=0,J1358=1)),NOT(OR(K1358=0,K1358=1)),NOT(OR(L1358=0,L1358=1)),NOT(OR(M1358=0,M1358=1)),NOT(OR(U1358=0,U1358=1))),"Yes","No")</f>
        <v>No</v>
      </c>
      <c r="O1358" s="0" t="str">
        <f aca="false">IF(OR(AND(M1358=1,L1358=0),AND(L1358=1,K1358=0),AND(K1358=1,J1358=0)),"Yes","No")</f>
        <v>No</v>
      </c>
      <c r="P1358" s="0" t="n">
        <v>0</v>
      </c>
      <c r="Q1358" s="0" t="str">
        <f aca="false">IF(OR(AND(M1358=0,P1358&gt;0),AND(M1358=1,P1358&lt;=0)),"Yes","No")</f>
        <v>No</v>
      </c>
      <c r="R1358" s="0" t="str">
        <f aca="false">IF(AND(M1358=1,P1358&gt;calc_helpers!$B$5),"Yes","No")</f>
        <v>No</v>
      </c>
      <c r="S1358" s="0" t="n">
        <v>1</v>
      </c>
      <c r="T1358" s="0" t="str">
        <f aca="false">IF(S1358&gt;0,"Yes","No")</f>
        <v>Yes</v>
      </c>
      <c r="U1358" s="0" t="n">
        <v>0</v>
      </c>
      <c r="W1358" s="0" t="str">
        <f aca="false">IF(OR(AND(M1358=1,ISBLANK(V1358)),AND(M1358=0,NOT(ISBLANK(V1358)))),"Yes","No")</f>
        <v>No</v>
      </c>
      <c r="X1358" s="0" t="n">
        <v>55</v>
      </c>
      <c r="Y1358" s="3" t="s">
        <v>30</v>
      </c>
      <c r="Z1358" s="0" t="str">
        <f aca="false">IF(M1358=1,P1358,"")</f>
        <v/>
      </c>
    </row>
    <row r="1359" customFormat="false" ht="15" hidden="false" customHeight="false" outlineLevel="0" collapsed="false">
      <c r="A1359" s="0" t="s">
        <v>1403</v>
      </c>
      <c r="B1359" s="2" t="n">
        <v>45786</v>
      </c>
      <c r="C1359" s="3" t="s">
        <v>736</v>
      </c>
      <c r="D1359" s="3" t="s">
        <v>34</v>
      </c>
      <c r="E1359" s="3" t="s">
        <v>35</v>
      </c>
      <c r="F1359" s="3" t="s">
        <v>30</v>
      </c>
      <c r="G1359" s="3" t="s">
        <v>52</v>
      </c>
      <c r="H1359" s="3" t="s">
        <v>30</v>
      </c>
      <c r="I1359" s="3" t="s">
        <v>37</v>
      </c>
      <c r="J1359" s="0" t="n">
        <v>1</v>
      </c>
      <c r="K1359" s="0" t="n">
        <v>0</v>
      </c>
      <c r="L1359" s="0" t="n">
        <v>0</v>
      </c>
      <c r="M1359" s="0" t="n">
        <v>0</v>
      </c>
      <c r="N1359" s="0" t="str">
        <f aca="false">IF(OR(NOT(OR(J1359=0,J1359=1)),NOT(OR(K1359=0,K1359=1)),NOT(OR(L1359=0,L1359=1)),NOT(OR(M1359=0,M1359=1)),NOT(OR(U1359=0,U1359=1))),"Yes","No")</f>
        <v>No</v>
      </c>
      <c r="O1359" s="0" t="str">
        <f aca="false">IF(OR(AND(M1359=1,L1359=0),AND(L1359=1,K1359=0),AND(K1359=1,J1359=0)),"Yes","No")</f>
        <v>No</v>
      </c>
      <c r="P1359" s="0" t="n">
        <v>0</v>
      </c>
      <c r="Q1359" s="0" t="str">
        <f aca="false">IF(OR(AND(M1359=0,P1359&gt;0),AND(M1359=1,P1359&lt;=0)),"Yes","No")</f>
        <v>No</v>
      </c>
      <c r="R1359" s="0" t="str">
        <f aca="false">IF(AND(M1359=1,P1359&gt;calc_helpers!$B$5),"Yes","No")</f>
        <v>No</v>
      </c>
      <c r="S1359" s="0" t="n">
        <v>0</v>
      </c>
      <c r="T1359" s="0" t="str">
        <f aca="false">IF(S1359&gt;0,"Yes","No")</f>
        <v>No</v>
      </c>
      <c r="U1359" s="0" t="n">
        <v>0</v>
      </c>
      <c r="W1359" s="0" t="str">
        <f aca="false">IF(OR(AND(M1359=1,ISBLANK(V1359)),AND(M1359=0,NOT(ISBLANK(V1359)))),"Yes","No")</f>
        <v>No</v>
      </c>
      <c r="X1359" s="0" t="n">
        <v>63.6</v>
      </c>
      <c r="Y1359" s="3" t="s">
        <v>30</v>
      </c>
      <c r="Z1359" s="0" t="str">
        <f aca="false">IF(M1359=1,P1359,"")</f>
        <v/>
      </c>
    </row>
    <row r="1360" customFormat="false" ht="15" hidden="false" customHeight="false" outlineLevel="0" collapsed="false">
      <c r="A1360" s="0" t="s">
        <v>1404</v>
      </c>
      <c r="B1360" s="2" t="n">
        <v>45777</v>
      </c>
      <c r="C1360" s="3" t="s">
        <v>736</v>
      </c>
      <c r="D1360" s="3" t="s">
        <v>34</v>
      </c>
      <c r="E1360" s="3" t="s">
        <v>35</v>
      </c>
      <c r="F1360" s="3" t="s">
        <v>30</v>
      </c>
      <c r="G1360" s="3" t="s">
        <v>36</v>
      </c>
      <c r="H1360" s="3" t="s">
        <v>30</v>
      </c>
      <c r="I1360" s="3" t="s">
        <v>37</v>
      </c>
      <c r="J1360" s="0" t="n">
        <v>1</v>
      </c>
      <c r="K1360" s="0" t="n">
        <v>0</v>
      </c>
      <c r="L1360" s="0" t="n">
        <v>0</v>
      </c>
      <c r="M1360" s="0" t="n">
        <v>0</v>
      </c>
      <c r="N1360" s="0" t="str">
        <f aca="false">IF(OR(NOT(OR(J1360=0,J1360=1)),NOT(OR(K1360=0,K1360=1)),NOT(OR(L1360=0,L1360=1)),NOT(OR(M1360=0,M1360=1)),NOT(OR(U1360=0,U1360=1))),"Yes","No")</f>
        <v>No</v>
      </c>
      <c r="O1360" s="0" t="str">
        <f aca="false">IF(OR(AND(M1360=1,L1360=0),AND(L1360=1,K1360=0),AND(K1360=1,J1360=0)),"Yes","No")</f>
        <v>No</v>
      </c>
      <c r="P1360" s="0" t="n">
        <v>0</v>
      </c>
      <c r="Q1360" s="0" t="str">
        <f aca="false">IF(OR(AND(M1360=0,P1360&gt;0),AND(M1360=1,P1360&lt;=0)),"Yes","No")</f>
        <v>No</v>
      </c>
      <c r="R1360" s="0" t="str">
        <f aca="false">IF(AND(M1360=1,P1360&gt;calc_helpers!$B$5),"Yes","No")</f>
        <v>No</v>
      </c>
      <c r="S1360" s="0" t="n">
        <v>0</v>
      </c>
      <c r="T1360" s="0" t="str">
        <f aca="false">IF(S1360&gt;0,"Yes","No")</f>
        <v>No</v>
      </c>
      <c r="U1360" s="0" t="n">
        <v>0</v>
      </c>
      <c r="W1360" s="0" t="str">
        <f aca="false">IF(OR(AND(M1360=1,ISBLANK(V1360)),AND(M1360=0,NOT(ISBLANK(V1360)))),"Yes","No")</f>
        <v>No</v>
      </c>
      <c r="X1360" s="0" t="n">
        <v>55.5</v>
      </c>
      <c r="Y1360" s="3" t="s">
        <v>30</v>
      </c>
      <c r="Z1360" s="0" t="str">
        <f aca="false">IF(M1360=1,P1360,"")</f>
        <v/>
      </c>
    </row>
    <row r="1361" customFormat="false" ht="15" hidden="false" customHeight="false" outlineLevel="0" collapsed="false">
      <c r="A1361" s="0" t="s">
        <v>1405</v>
      </c>
      <c r="B1361" s="2" t="n">
        <v>45664</v>
      </c>
      <c r="C1361" s="3" t="s">
        <v>736</v>
      </c>
      <c r="D1361" s="3" t="s">
        <v>43</v>
      </c>
      <c r="E1361" s="3" t="s">
        <v>35</v>
      </c>
      <c r="F1361" s="3" t="s">
        <v>30</v>
      </c>
      <c r="G1361" s="3" t="s">
        <v>52</v>
      </c>
      <c r="H1361" s="3" t="s">
        <v>30</v>
      </c>
      <c r="I1361" s="3" t="s">
        <v>32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str">
        <f aca="false">IF(OR(NOT(OR(J1361=0,J1361=1)),NOT(OR(K1361=0,K1361=1)),NOT(OR(L1361=0,L1361=1)),NOT(OR(M1361=0,M1361=1)),NOT(OR(U1361=0,U1361=1))),"Yes","No")</f>
        <v>No</v>
      </c>
      <c r="O1361" s="0" t="str">
        <f aca="false">IF(OR(AND(M1361=1,L1361=0),AND(L1361=1,K1361=0),AND(K1361=1,J1361=0)),"Yes","No")</f>
        <v>No</v>
      </c>
      <c r="P1361" s="0" t="n">
        <v>0</v>
      </c>
      <c r="Q1361" s="0" t="str">
        <f aca="false">IF(OR(AND(M1361=0,P1361&gt;0),AND(M1361=1,P1361&lt;=0)),"Yes","No")</f>
        <v>No</v>
      </c>
      <c r="R1361" s="0" t="str">
        <f aca="false">IF(AND(M1361=1,P1361&gt;calc_helpers!$B$5),"Yes","No")</f>
        <v>No</v>
      </c>
      <c r="S1361" s="0" t="n">
        <v>0</v>
      </c>
      <c r="T1361" s="0" t="str">
        <f aca="false">IF(S1361&gt;0,"Yes","No")</f>
        <v>No</v>
      </c>
      <c r="U1361" s="0" t="n">
        <v>0</v>
      </c>
      <c r="W1361" s="0" t="str">
        <f aca="false">IF(OR(AND(M1361=1,ISBLANK(V1361)),AND(M1361=0,NOT(ISBLANK(V1361)))),"Yes","No")</f>
        <v>No</v>
      </c>
      <c r="X1361" s="0" t="n">
        <v>50.5</v>
      </c>
      <c r="Y1361" s="3" t="s">
        <v>30</v>
      </c>
      <c r="Z1361" s="0" t="str">
        <f aca="false">IF(M1361=1,P1361,"")</f>
        <v/>
      </c>
    </row>
    <row r="1362" customFormat="false" ht="15" hidden="false" customHeight="false" outlineLevel="0" collapsed="false">
      <c r="A1362" s="0" t="s">
        <v>1406</v>
      </c>
      <c r="B1362" s="2" t="n">
        <v>45777</v>
      </c>
      <c r="C1362" s="3" t="s">
        <v>736</v>
      </c>
      <c r="D1362" s="3" t="s">
        <v>28</v>
      </c>
      <c r="E1362" s="3" t="s">
        <v>35</v>
      </c>
      <c r="F1362" s="3" t="s">
        <v>30</v>
      </c>
      <c r="G1362" s="3" t="s">
        <v>52</v>
      </c>
      <c r="H1362" s="3" t="s">
        <v>30</v>
      </c>
      <c r="I1362" s="3" t="s">
        <v>32</v>
      </c>
      <c r="J1362" s="0" t="n">
        <v>1</v>
      </c>
      <c r="K1362" s="0" t="n">
        <v>0</v>
      </c>
      <c r="L1362" s="0" t="n">
        <v>0</v>
      </c>
      <c r="M1362" s="0" t="n">
        <v>0</v>
      </c>
      <c r="N1362" s="0" t="str">
        <f aca="false">IF(OR(NOT(OR(J1362=0,J1362=1)),NOT(OR(K1362=0,K1362=1)),NOT(OR(L1362=0,L1362=1)),NOT(OR(M1362=0,M1362=1)),NOT(OR(U1362=0,U1362=1))),"Yes","No")</f>
        <v>No</v>
      </c>
      <c r="O1362" s="0" t="str">
        <f aca="false">IF(OR(AND(M1362=1,L1362=0),AND(L1362=1,K1362=0),AND(K1362=1,J1362=0)),"Yes","No")</f>
        <v>No</v>
      </c>
      <c r="P1362" s="0" t="n">
        <v>0</v>
      </c>
      <c r="Q1362" s="0" t="str">
        <f aca="false">IF(OR(AND(M1362=0,P1362&gt;0),AND(M1362=1,P1362&lt;=0)),"Yes","No")</f>
        <v>No</v>
      </c>
      <c r="R1362" s="0" t="str">
        <f aca="false">IF(AND(M1362=1,P1362&gt;calc_helpers!$B$5),"Yes","No")</f>
        <v>No</v>
      </c>
      <c r="S1362" s="0" t="n">
        <v>0</v>
      </c>
      <c r="T1362" s="0" t="str">
        <f aca="false">IF(S1362&gt;0,"Yes","No")</f>
        <v>No</v>
      </c>
      <c r="U1362" s="0" t="n">
        <v>0</v>
      </c>
      <c r="W1362" s="0" t="str">
        <f aca="false">IF(OR(AND(M1362=1,ISBLANK(V1362)),AND(M1362=0,NOT(ISBLANK(V1362)))),"Yes","No")</f>
        <v>No</v>
      </c>
      <c r="X1362" s="0" t="n">
        <v>45.3</v>
      </c>
      <c r="Y1362" s="3" t="s">
        <v>30</v>
      </c>
      <c r="Z1362" s="0" t="str">
        <f aca="false">IF(M1362=1,P1362,"")</f>
        <v/>
      </c>
    </row>
    <row r="1363" customFormat="false" ht="15" hidden="false" customHeight="false" outlineLevel="0" collapsed="false">
      <c r="A1363" s="0" t="s">
        <v>1407</v>
      </c>
      <c r="B1363" s="2" t="n">
        <v>45800</v>
      </c>
      <c r="C1363" s="3" t="s">
        <v>736</v>
      </c>
      <c r="D1363" s="3" t="s">
        <v>39</v>
      </c>
      <c r="E1363" s="3" t="s">
        <v>35</v>
      </c>
      <c r="F1363" s="3" t="s">
        <v>30</v>
      </c>
      <c r="G1363" s="3" t="s">
        <v>36</v>
      </c>
      <c r="H1363" s="3" t="s">
        <v>30</v>
      </c>
      <c r="I1363" s="3" t="s">
        <v>32</v>
      </c>
      <c r="J1363" s="0" t="n">
        <v>1</v>
      </c>
      <c r="K1363" s="0" t="n">
        <v>0</v>
      </c>
      <c r="L1363" s="0" t="n">
        <v>0</v>
      </c>
      <c r="M1363" s="0" t="n">
        <v>0</v>
      </c>
      <c r="N1363" s="0" t="str">
        <f aca="false">IF(OR(NOT(OR(J1363=0,J1363=1)),NOT(OR(K1363=0,K1363=1)),NOT(OR(L1363=0,L1363=1)),NOT(OR(M1363=0,M1363=1)),NOT(OR(U1363=0,U1363=1))),"Yes","No")</f>
        <v>No</v>
      </c>
      <c r="O1363" s="0" t="str">
        <f aca="false">IF(OR(AND(M1363=1,L1363=0),AND(L1363=1,K1363=0),AND(K1363=1,J1363=0)),"Yes","No")</f>
        <v>No</v>
      </c>
      <c r="P1363" s="0" t="n">
        <v>0</v>
      </c>
      <c r="Q1363" s="0" t="str">
        <f aca="false">IF(OR(AND(M1363=0,P1363&gt;0),AND(M1363=1,P1363&lt;=0)),"Yes","No")</f>
        <v>No</v>
      </c>
      <c r="R1363" s="0" t="str">
        <f aca="false">IF(AND(M1363=1,P1363&gt;calc_helpers!$B$5),"Yes","No")</f>
        <v>No</v>
      </c>
      <c r="S1363" s="0" t="n">
        <v>0</v>
      </c>
      <c r="T1363" s="0" t="str">
        <f aca="false">IF(S1363&gt;0,"Yes","No")</f>
        <v>No</v>
      </c>
      <c r="U1363" s="0" t="n">
        <v>0</v>
      </c>
      <c r="W1363" s="0" t="str">
        <f aca="false">IF(OR(AND(M1363=1,ISBLANK(V1363)),AND(M1363=0,NOT(ISBLANK(V1363)))),"Yes","No")</f>
        <v>No</v>
      </c>
      <c r="X1363" s="0" t="n">
        <v>33.6</v>
      </c>
      <c r="Y1363" s="3" t="s">
        <v>30</v>
      </c>
      <c r="Z1363" s="0" t="str">
        <f aca="false">IF(M1363=1,P1363,"")</f>
        <v/>
      </c>
    </row>
    <row r="1364" customFormat="false" ht="15" hidden="false" customHeight="false" outlineLevel="0" collapsed="false">
      <c r="A1364" s="0" t="s">
        <v>1408</v>
      </c>
      <c r="B1364" s="2" t="n">
        <v>45728</v>
      </c>
      <c r="C1364" s="3" t="s">
        <v>736</v>
      </c>
      <c r="D1364" s="3" t="s">
        <v>43</v>
      </c>
      <c r="E1364" s="3" t="s">
        <v>35</v>
      </c>
      <c r="F1364" s="3" t="s">
        <v>30</v>
      </c>
      <c r="G1364" s="3" t="s">
        <v>40</v>
      </c>
      <c r="H1364" s="3" t="s">
        <v>30</v>
      </c>
      <c r="I1364" s="3" t="s">
        <v>41</v>
      </c>
      <c r="J1364" s="0" t="n">
        <v>1</v>
      </c>
      <c r="K1364" s="0" t="n">
        <v>1</v>
      </c>
      <c r="L1364" s="0" t="n">
        <v>1</v>
      </c>
      <c r="M1364" s="0" t="n">
        <v>0</v>
      </c>
      <c r="N1364" s="0" t="str">
        <f aca="false">IF(OR(NOT(OR(J1364=0,J1364=1)),NOT(OR(K1364=0,K1364=1)),NOT(OR(L1364=0,L1364=1)),NOT(OR(M1364=0,M1364=1)),NOT(OR(U1364=0,U1364=1))),"Yes","No")</f>
        <v>No</v>
      </c>
      <c r="O1364" s="0" t="str">
        <f aca="false">IF(OR(AND(M1364=1,L1364=0),AND(L1364=1,K1364=0),AND(K1364=1,J1364=0)),"Yes","No")</f>
        <v>No</v>
      </c>
      <c r="P1364" s="0" t="n">
        <v>0</v>
      </c>
      <c r="Q1364" s="0" t="str">
        <f aca="false">IF(OR(AND(M1364=0,P1364&gt;0),AND(M1364=1,P1364&lt;=0)),"Yes","No")</f>
        <v>No</v>
      </c>
      <c r="R1364" s="0" t="str">
        <f aca="false">IF(AND(M1364=1,P1364&gt;calc_helpers!$B$5),"Yes","No")</f>
        <v>No</v>
      </c>
      <c r="S1364" s="0" t="n">
        <v>0</v>
      </c>
      <c r="T1364" s="0" t="str">
        <f aca="false">IF(S1364&gt;0,"Yes","No")</f>
        <v>No</v>
      </c>
      <c r="U1364" s="0" t="n">
        <v>0</v>
      </c>
      <c r="W1364" s="0" t="str">
        <f aca="false">IF(OR(AND(M1364=1,ISBLANK(V1364)),AND(M1364=0,NOT(ISBLANK(V1364)))),"Yes","No")</f>
        <v>No</v>
      </c>
      <c r="X1364" s="0" t="n">
        <v>88.2</v>
      </c>
      <c r="Y1364" s="3" t="s">
        <v>30</v>
      </c>
      <c r="Z1364" s="0" t="str">
        <f aca="false">IF(M1364=1,P1364,"")</f>
        <v/>
      </c>
    </row>
    <row r="1365" customFormat="false" ht="15" hidden="false" customHeight="false" outlineLevel="0" collapsed="false">
      <c r="A1365" s="0" t="s">
        <v>1409</v>
      </c>
      <c r="B1365" s="2" t="n">
        <v>45705</v>
      </c>
      <c r="C1365" s="3" t="s">
        <v>736</v>
      </c>
      <c r="D1365" s="3" t="s">
        <v>28</v>
      </c>
      <c r="E1365" s="3" t="s">
        <v>35</v>
      </c>
      <c r="F1365" s="3" t="s">
        <v>30</v>
      </c>
      <c r="G1365" s="3" t="s">
        <v>36</v>
      </c>
      <c r="H1365" s="3" t="s">
        <v>30</v>
      </c>
      <c r="I1365" s="3" t="s">
        <v>41</v>
      </c>
      <c r="J1365" s="0" t="n">
        <v>1</v>
      </c>
      <c r="K1365" s="0" t="n">
        <v>0</v>
      </c>
      <c r="L1365" s="0" t="n">
        <v>0</v>
      </c>
      <c r="M1365" s="0" t="n">
        <v>0</v>
      </c>
      <c r="N1365" s="0" t="str">
        <f aca="false">IF(OR(NOT(OR(J1365=0,J1365=1)),NOT(OR(K1365=0,K1365=1)),NOT(OR(L1365=0,L1365=1)),NOT(OR(M1365=0,M1365=1)),NOT(OR(U1365=0,U1365=1))),"Yes","No")</f>
        <v>No</v>
      </c>
      <c r="O1365" s="0" t="str">
        <f aca="false">IF(OR(AND(M1365=1,L1365=0),AND(L1365=1,K1365=0),AND(K1365=1,J1365=0)),"Yes","No")</f>
        <v>No</v>
      </c>
      <c r="P1365" s="0" t="n">
        <v>0</v>
      </c>
      <c r="Q1365" s="0" t="str">
        <f aca="false">IF(OR(AND(M1365=0,P1365&gt;0),AND(M1365=1,P1365&lt;=0)),"Yes","No")</f>
        <v>No</v>
      </c>
      <c r="R1365" s="0" t="str">
        <f aca="false">IF(AND(M1365=1,P1365&gt;calc_helpers!$B$5),"Yes","No")</f>
        <v>No</v>
      </c>
      <c r="S1365" s="0" t="n">
        <v>0</v>
      </c>
      <c r="T1365" s="0" t="str">
        <f aca="false">IF(S1365&gt;0,"Yes","No")</f>
        <v>No</v>
      </c>
      <c r="U1365" s="0" t="n">
        <v>0</v>
      </c>
      <c r="W1365" s="0" t="str">
        <f aca="false">IF(OR(AND(M1365=1,ISBLANK(V1365)),AND(M1365=0,NOT(ISBLANK(V1365)))),"Yes","No")</f>
        <v>No</v>
      </c>
      <c r="X1365" s="0" t="n">
        <v>51.8</v>
      </c>
      <c r="Y1365" s="3" t="s">
        <v>30</v>
      </c>
      <c r="Z1365" s="0" t="str">
        <f aca="false">IF(M1365=1,P1365,"")</f>
        <v/>
      </c>
    </row>
    <row r="1366" customFormat="false" ht="15" hidden="false" customHeight="false" outlineLevel="0" collapsed="false">
      <c r="A1366" s="0" t="s">
        <v>1410</v>
      </c>
      <c r="B1366" s="2" t="n">
        <v>45804</v>
      </c>
      <c r="C1366" s="3" t="s">
        <v>736</v>
      </c>
      <c r="D1366" s="3" t="s">
        <v>28</v>
      </c>
      <c r="E1366" s="3" t="s">
        <v>29</v>
      </c>
      <c r="F1366" s="3" t="s">
        <v>30</v>
      </c>
      <c r="G1366" s="3" t="s">
        <v>36</v>
      </c>
      <c r="H1366" s="3" t="s">
        <v>30</v>
      </c>
      <c r="I1366" s="3" t="s">
        <v>32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str">
        <f aca="false">IF(OR(NOT(OR(J1366=0,J1366=1)),NOT(OR(K1366=0,K1366=1)),NOT(OR(L1366=0,L1366=1)),NOT(OR(M1366=0,M1366=1)),NOT(OR(U1366=0,U1366=1))),"Yes","No")</f>
        <v>No</v>
      </c>
      <c r="O1366" s="0" t="str">
        <f aca="false">IF(OR(AND(M1366=1,L1366=0),AND(L1366=1,K1366=0),AND(K1366=1,J1366=0)),"Yes","No")</f>
        <v>No</v>
      </c>
      <c r="P1366" s="0" t="n">
        <v>0</v>
      </c>
      <c r="Q1366" s="0" t="str">
        <f aca="false">IF(OR(AND(M1366=0,P1366&gt;0),AND(M1366=1,P1366&lt;=0)),"Yes","No")</f>
        <v>No</v>
      </c>
      <c r="R1366" s="0" t="str">
        <f aca="false">IF(AND(M1366=1,P1366&gt;calc_helpers!$B$5),"Yes","No")</f>
        <v>No</v>
      </c>
      <c r="S1366" s="0" t="n">
        <v>0</v>
      </c>
      <c r="T1366" s="0" t="str">
        <f aca="false">IF(S1366&gt;0,"Yes","No")</f>
        <v>No</v>
      </c>
      <c r="U1366" s="0" t="n">
        <v>0</v>
      </c>
      <c r="W1366" s="0" t="str">
        <f aca="false">IF(OR(AND(M1366=1,ISBLANK(V1366)),AND(M1366=0,NOT(ISBLANK(V1366)))),"Yes","No")</f>
        <v>No</v>
      </c>
      <c r="X1366" s="0" t="n">
        <v>87.9</v>
      </c>
      <c r="Y1366" s="3" t="s">
        <v>30</v>
      </c>
      <c r="Z1366" s="0" t="str">
        <f aca="false">IF(M1366=1,P1366,"")</f>
        <v/>
      </c>
    </row>
    <row r="1367" customFormat="false" ht="15" hidden="false" customHeight="false" outlineLevel="0" collapsed="false">
      <c r="A1367" s="0" t="s">
        <v>1411</v>
      </c>
      <c r="B1367" s="2" t="n">
        <v>45787</v>
      </c>
      <c r="C1367" s="3" t="s">
        <v>736</v>
      </c>
      <c r="D1367" s="3" t="s">
        <v>43</v>
      </c>
      <c r="E1367" s="3" t="s">
        <v>35</v>
      </c>
      <c r="F1367" s="3" t="s">
        <v>30</v>
      </c>
      <c r="G1367" s="3" t="s">
        <v>52</v>
      </c>
      <c r="H1367" s="3" t="s">
        <v>30</v>
      </c>
      <c r="I1367" s="3" t="s">
        <v>41</v>
      </c>
      <c r="J1367" s="0" t="n">
        <v>1</v>
      </c>
      <c r="K1367" s="0" t="n">
        <v>0</v>
      </c>
      <c r="L1367" s="0" t="n">
        <v>0</v>
      </c>
      <c r="M1367" s="0" t="n">
        <v>0</v>
      </c>
      <c r="N1367" s="0" t="str">
        <f aca="false">IF(OR(NOT(OR(J1367=0,J1367=1)),NOT(OR(K1367=0,K1367=1)),NOT(OR(L1367=0,L1367=1)),NOT(OR(M1367=0,M1367=1)),NOT(OR(U1367=0,U1367=1))),"Yes","No")</f>
        <v>No</v>
      </c>
      <c r="O1367" s="0" t="str">
        <f aca="false">IF(OR(AND(M1367=1,L1367=0),AND(L1367=1,K1367=0),AND(K1367=1,J1367=0)),"Yes","No")</f>
        <v>No</v>
      </c>
      <c r="P1367" s="0" t="n">
        <v>0</v>
      </c>
      <c r="Q1367" s="0" t="str">
        <f aca="false">IF(OR(AND(M1367=0,P1367&gt;0),AND(M1367=1,P1367&lt;=0)),"Yes","No")</f>
        <v>No</v>
      </c>
      <c r="R1367" s="0" t="str">
        <f aca="false">IF(AND(M1367=1,P1367&gt;calc_helpers!$B$5),"Yes","No")</f>
        <v>No</v>
      </c>
      <c r="S1367" s="0" t="n">
        <v>2</v>
      </c>
      <c r="T1367" s="0" t="str">
        <f aca="false">IF(S1367&gt;0,"Yes","No")</f>
        <v>Yes</v>
      </c>
      <c r="U1367" s="0" t="n">
        <v>0</v>
      </c>
      <c r="W1367" s="0" t="str">
        <f aca="false">IF(OR(AND(M1367=1,ISBLANK(V1367)),AND(M1367=0,NOT(ISBLANK(V1367)))),"Yes","No")</f>
        <v>No</v>
      </c>
      <c r="X1367" s="0" t="n">
        <v>70.5</v>
      </c>
      <c r="Y1367" s="3" t="s">
        <v>30</v>
      </c>
      <c r="Z1367" s="0" t="str">
        <f aca="false">IF(M1367=1,P1367,"")</f>
        <v/>
      </c>
    </row>
    <row r="1368" customFormat="false" ht="15" hidden="false" customHeight="false" outlineLevel="0" collapsed="false">
      <c r="A1368" s="0" t="s">
        <v>1412</v>
      </c>
      <c r="B1368" s="2" t="n">
        <v>45677</v>
      </c>
      <c r="C1368" s="3" t="s">
        <v>736</v>
      </c>
      <c r="D1368" s="3" t="s">
        <v>28</v>
      </c>
      <c r="E1368" s="3" t="s">
        <v>35</v>
      </c>
      <c r="F1368" s="3" t="s">
        <v>30</v>
      </c>
      <c r="G1368" s="3" t="s">
        <v>36</v>
      </c>
      <c r="H1368" s="3" t="s">
        <v>30</v>
      </c>
      <c r="I1368" s="3" t="s">
        <v>32</v>
      </c>
      <c r="J1368" s="0" t="n">
        <v>1</v>
      </c>
      <c r="K1368" s="0" t="n">
        <v>1</v>
      </c>
      <c r="L1368" s="0" t="n">
        <v>0</v>
      </c>
      <c r="M1368" s="0" t="n">
        <v>0</v>
      </c>
      <c r="N1368" s="0" t="str">
        <f aca="false">IF(OR(NOT(OR(J1368=0,J1368=1)),NOT(OR(K1368=0,K1368=1)),NOT(OR(L1368=0,L1368=1)),NOT(OR(M1368=0,M1368=1)),NOT(OR(U1368=0,U1368=1))),"Yes","No")</f>
        <v>No</v>
      </c>
      <c r="O1368" s="0" t="str">
        <f aca="false">IF(OR(AND(M1368=1,L1368=0),AND(L1368=1,K1368=0),AND(K1368=1,J1368=0)),"Yes","No")</f>
        <v>No</v>
      </c>
      <c r="P1368" s="0" t="n">
        <v>0</v>
      </c>
      <c r="Q1368" s="0" t="str">
        <f aca="false">IF(OR(AND(M1368=0,P1368&gt;0),AND(M1368=1,P1368&lt;=0)),"Yes","No")</f>
        <v>No</v>
      </c>
      <c r="R1368" s="0" t="str">
        <f aca="false">IF(AND(M1368=1,P1368&gt;calc_helpers!$B$5),"Yes","No")</f>
        <v>No</v>
      </c>
      <c r="S1368" s="0" t="n">
        <v>2</v>
      </c>
      <c r="T1368" s="0" t="str">
        <f aca="false">IF(S1368&gt;0,"Yes","No")</f>
        <v>Yes</v>
      </c>
      <c r="U1368" s="0" t="n">
        <v>0</v>
      </c>
      <c r="W1368" s="0" t="str">
        <f aca="false">IF(OR(AND(M1368=1,ISBLANK(V1368)),AND(M1368=0,NOT(ISBLANK(V1368)))),"Yes","No")</f>
        <v>No</v>
      </c>
      <c r="X1368" s="0" t="n">
        <v>58.5</v>
      </c>
      <c r="Y1368" s="3" t="s">
        <v>30</v>
      </c>
      <c r="Z1368" s="0" t="str">
        <f aca="false">IF(M1368=1,P1368,"")</f>
        <v/>
      </c>
    </row>
    <row r="1369" customFormat="false" ht="15" hidden="false" customHeight="false" outlineLevel="0" collapsed="false">
      <c r="A1369" s="0" t="s">
        <v>1413</v>
      </c>
      <c r="B1369" s="2" t="n">
        <v>45676</v>
      </c>
      <c r="C1369" s="3" t="s">
        <v>736</v>
      </c>
      <c r="D1369" s="3" t="s">
        <v>39</v>
      </c>
      <c r="E1369" s="3" t="s">
        <v>35</v>
      </c>
      <c r="F1369" s="3" t="s">
        <v>30</v>
      </c>
      <c r="G1369" s="3" t="s">
        <v>50</v>
      </c>
      <c r="H1369" s="3" t="s">
        <v>30</v>
      </c>
      <c r="I1369" s="3" t="s">
        <v>37</v>
      </c>
      <c r="J1369" s="0" t="n">
        <v>1</v>
      </c>
      <c r="K1369" s="0" t="n">
        <v>0</v>
      </c>
      <c r="L1369" s="0" t="n">
        <v>0</v>
      </c>
      <c r="M1369" s="0" t="n">
        <v>0</v>
      </c>
      <c r="N1369" s="0" t="str">
        <f aca="false">IF(OR(NOT(OR(J1369=0,J1369=1)),NOT(OR(K1369=0,K1369=1)),NOT(OR(L1369=0,L1369=1)),NOT(OR(M1369=0,M1369=1)),NOT(OR(U1369=0,U1369=1))),"Yes","No")</f>
        <v>No</v>
      </c>
      <c r="O1369" s="0" t="str">
        <f aca="false">IF(OR(AND(M1369=1,L1369=0),AND(L1369=1,K1369=0),AND(K1369=1,J1369=0)),"Yes","No")</f>
        <v>No</v>
      </c>
      <c r="P1369" s="0" t="n">
        <v>0</v>
      </c>
      <c r="Q1369" s="0" t="str">
        <f aca="false">IF(OR(AND(M1369=0,P1369&gt;0),AND(M1369=1,P1369&lt;=0)),"Yes","No")</f>
        <v>No</v>
      </c>
      <c r="R1369" s="0" t="str">
        <f aca="false">IF(AND(M1369=1,P1369&gt;calc_helpers!$B$5),"Yes","No")</f>
        <v>No</v>
      </c>
      <c r="S1369" s="0" t="n">
        <v>0</v>
      </c>
      <c r="T1369" s="0" t="str">
        <f aca="false">IF(S1369&gt;0,"Yes","No")</f>
        <v>No</v>
      </c>
      <c r="U1369" s="0" t="n">
        <v>0</v>
      </c>
      <c r="W1369" s="0" t="str">
        <f aca="false">IF(OR(AND(M1369=1,ISBLANK(V1369)),AND(M1369=0,NOT(ISBLANK(V1369)))),"Yes","No")</f>
        <v>No</v>
      </c>
      <c r="X1369" s="0" t="n">
        <v>65.6</v>
      </c>
      <c r="Y1369" s="3" t="s">
        <v>30</v>
      </c>
      <c r="Z1369" s="0" t="str">
        <f aca="false">IF(M1369=1,P1369,"")</f>
        <v/>
      </c>
    </row>
    <row r="1370" customFormat="false" ht="15" hidden="false" customHeight="false" outlineLevel="0" collapsed="false">
      <c r="A1370" s="0" t="s">
        <v>1414</v>
      </c>
      <c r="B1370" s="2" t="n">
        <v>45723</v>
      </c>
      <c r="C1370" s="3" t="s">
        <v>736</v>
      </c>
      <c r="D1370" s="3" t="s">
        <v>34</v>
      </c>
      <c r="E1370" s="3" t="s">
        <v>29</v>
      </c>
      <c r="F1370" s="3" t="s">
        <v>30</v>
      </c>
      <c r="G1370" s="3" t="s">
        <v>40</v>
      </c>
      <c r="H1370" s="3" t="s">
        <v>30</v>
      </c>
      <c r="I1370" s="3" t="s">
        <v>32</v>
      </c>
      <c r="J1370" s="0" t="n">
        <v>1</v>
      </c>
      <c r="K1370" s="0" t="n">
        <v>1</v>
      </c>
      <c r="L1370" s="0" t="n">
        <v>0</v>
      </c>
      <c r="M1370" s="0" t="n">
        <v>0</v>
      </c>
      <c r="N1370" s="0" t="str">
        <f aca="false">IF(OR(NOT(OR(J1370=0,J1370=1)),NOT(OR(K1370=0,K1370=1)),NOT(OR(L1370=0,L1370=1)),NOT(OR(M1370=0,M1370=1)),NOT(OR(U1370=0,U1370=1))),"Yes","No")</f>
        <v>No</v>
      </c>
      <c r="O1370" s="0" t="str">
        <f aca="false">IF(OR(AND(M1370=1,L1370=0),AND(L1370=1,K1370=0),AND(K1370=1,J1370=0)),"Yes","No")</f>
        <v>No</v>
      </c>
      <c r="P1370" s="0" t="n">
        <v>0</v>
      </c>
      <c r="Q1370" s="0" t="str">
        <f aca="false">IF(OR(AND(M1370=0,P1370&gt;0),AND(M1370=1,P1370&lt;=0)),"Yes","No")</f>
        <v>No</v>
      </c>
      <c r="R1370" s="0" t="str">
        <f aca="false">IF(AND(M1370=1,P1370&gt;calc_helpers!$B$5),"Yes","No")</f>
        <v>No</v>
      </c>
      <c r="S1370" s="0" t="n">
        <v>0</v>
      </c>
      <c r="T1370" s="0" t="str">
        <f aca="false">IF(S1370&gt;0,"Yes","No")</f>
        <v>No</v>
      </c>
      <c r="U1370" s="0" t="n">
        <v>0</v>
      </c>
      <c r="W1370" s="0" t="str">
        <f aca="false">IF(OR(AND(M1370=1,ISBLANK(V1370)),AND(M1370=0,NOT(ISBLANK(V1370)))),"Yes","No")</f>
        <v>No</v>
      </c>
      <c r="X1370" s="0" t="n">
        <v>62.7</v>
      </c>
      <c r="Y1370" s="3" t="s">
        <v>30</v>
      </c>
      <c r="Z1370" s="0" t="str">
        <f aca="false">IF(M1370=1,P1370,"")</f>
        <v/>
      </c>
    </row>
    <row r="1371" customFormat="false" ht="15" hidden="false" customHeight="false" outlineLevel="0" collapsed="false">
      <c r="A1371" s="0" t="s">
        <v>1415</v>
      </c>
      <c r="B1371" s="2" t="n">
        <v>45690</v>
      </c>
      <c r="C1371" s="3" t="s">
        <v>736</v>
      </c>
      <c r="D1371" s="3" t="s">
        <v>39</v>
      </c>
      <c r="E1371" s="3" t="s">
        <v>35</v>
      </c>
      <c r="F1371" s="3" t="s">
        <v>30</v>
      </c>
      <c r="G1371" s="3" t="s">
        <v>36</v>
      </c>
      <c r="H1371" s="3" t="s">
        <v>30</v>
      </c>
      <c r="I1371" s="3" t="s">
        <v>37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str">
        <f aca="false">IF(OR(NOT(OR(J1371=0,J1371=1)),NOT(OR(K1371=0,K1371=1)),NOT(OR(L1371=0,L1371=1)),NOT(OR(M1371=0,M1371=1)),NOT(OR(U1371=0,U1371=1))),"Yes","No")</f>
        <v>No</v>
      </c>
      <c r="O1371" s="0" t="str">
        <f aca="false">IF(OR(AND(M1371=1,L1371=0),AND(L1371=1,K1371=0),AND(K1371=1,J1371=0)),"Yes","No")</f>
        <v>No</v>
      </c>
      <c r="P1371" s="0" t="n">
        <v>0</v>
      </c>
      <c r="Q1371" s="0" t="str">
        <f aca="false">IF(OR(AND(M1371=0,P1371&gt;0),AND(M1371=1,P1371&lt;=0)),"Yes","No")</f>
        <v>No</v>
      </c>
      <c r="R1371" s="0" t="str">
        <f aca="false">IF(AND(M1371=1,P1371&gt;calc_helpers!$B$5),"Yes","No")</f>
        <v>No</v>
      </c>
      <c r="S1371" s="0" t="n">
        <v>1</v>
      </c>
      <c r="T1371" s="0" t="str">
        <f aca="false">IF(S1371&gt;0,"Yes","No")</f>
        <v>Yes</v>
      </c>
      <c r="U1371" s="0" t="n">
        <v>0</v>
      </c>
      <c r="W1371" s="0" t="str">
        <f aca="false">IF(OR(AND(M1371=1,ISBLANK(V1371)),AND(M1371=0,NOT(ISBLANK(V1371)))),"Yes","No")</f>
        <v>No</v>
      </c>
      <c r="X1371" s="0" t="n">
        <v>50.9</v>
      </c>
      <c r="Y1371" s="3" t="s">
        <v>30</v>
      </c>
      <c r="Z1371" s="0" t="str">
        <f aca="false">IF(M1371=1,P1371,"")</f>
        <v/>
      </c>
    </row>
    <row r="1372" customFormat="false" ht="15" hidden="false" customHeight="false" outlineLevel="0" collapsed="false">
      <c r="A1372" s="0" t="s">
        <v>1416</v>
      </c>
      <c r="B1372" s="2" t="n">
        <v>45723</v>
      </c>
      <c r="C1372" s="3" t="s">
        <v>736</v>
      </c>
      <c r="D1372" s="3" t="s">
        <v>28</v>
      </c>
      <c r="E1372" s="3" t="s">
        <v>35</v>
      </c>
      <c r="F1372" s="3" t="s">
        <v>30</v>
      </c>
      <c r="G1372" s="3" t="s">
        <v>36</v>
      </c>
      <c r="H1372" s="3" t="s">
        <v>30</v>
      </c>
      <c r="I1372" s="3" t="s">
        <v>37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str">
        <f aca="false">IF(OR(NOT(OR(J1372=0,J1372=1)),NOT(OR(K1372=0,K1372=1)),NOT(OR(L1372=0,L1372=1)),NOT(OR(M1372=0,M1372=1)),NOT(OR(U1372=0,U1372=1))),"Yes","No")</f>
        <v>No</v>
      </c>
      <c r="O1372" s="0" t="str">
        <f aca="false">IF(OR(AND(M1372=1,L1372=0),AND(L1372=1,K1372=0),AND(K1372=1,J1372=0)),"Yes","No")</f>
        <v>No</v>
      </c>
      <c r="P1372" s="0" t="n">
        <v>0</v>
      </c>
      <c r="Q1372" s="0" t="str">
        <f aca="false">IF(OR(AND(M1372=0,P1372&gt;0),AND(M1372=1,P1372&lt;=0)),"Yes","No")</f>
        <v>No</v>
      </c>
      <c r="R1372" s="0" t="str">
        <f aca="false">IF(AND(M1372=1,P1372&gt;calc_helpers!$B$5),"Yes","No")</f>
        <v>No</v>
      </c>
      <c r="S1372" s="0" t="n">
        <v>1</v>
      </c>
      <c r="T1372" s="0" t="str">
        <f aca="false">IF(S1372&gt;0,"Yes","No")</f>
        <v>Yes</v>
      </c>
      <c r="U1372" s="0" t="n">
        <v>0</v>
      </c>
      <c r="W1372" s="0" t="str">
        <f aca="false">IF(OR(AND(M1372=1,ISBLANK(V1372)),AND(M1372=0,NOT(ISBLANK(V1372)))),"Yes","No")</f>
        <v>No</v>
      </c>
      <c r="X1372" s="0" t="n">
        <v>60.6</v>
      </c>
      <c r="Y1372" s="3" t="s">
        <v>30</v>
      </c>
      <c r="Z1372" s="0" t="str">
        <f aca="false">IF(M1372=1,P1372,"")</f>
        <v/>
      </c>
    </row>
    <row r="1373" customFormat="false" ht="15" hidden="false" customHeight="false" outlineLevel="0" collapsed="false">
      <c r="A1373" s="0" t="s">
        <v>1417</v>
      </c>
      <c r="B1373" s="2" t="n">
        <v>45746</v>
      </c>
      <c r="C1373" s="3" t="s">
        <v>736</v>
      </c>
      <c r="D1373" s="3" t="s">
        <v>39</v>
      </c>
      <c r="E1373" s="3" t="s">
        <v>29</v>
      </c>
      <c r="F1373" s="3" t="s">
        <v>30</v>
      </c>
      <c r="G1373" s="3" t="s">
        <v>36</v>
      </c>
      <c r="H1373" s="3" t="s">
        <v>30</v>
      </c>
      <c r="I1373" s="3" t="s">
        <v>37</v>
      </c>
      <c r="J1373" s="0" t="n">
        <v>1</v>
      </c>
      <c r="K1373" s="0" t="n">
        <v>1</v>
      </c>
      <c r="L1373" s="0" t="n">
        <v>1</v>
      </c>
      <c r="M1373" s="0" t="n">
        <v>0</v>
      </c>
      <c r="N1373" s="0" t="str">
        <f aca="false">IF(OR(NOT(OR(J1373=0,J1373=1)),NOT(OR(K1373=0,K1373=1)),NOT(OR(L1373=0,L1373=1)),NOT(OR(M1373=0,M1373=1)),NOT(OR(U1373=0,U1373=1))),"Yes","No")</f>
        <v>No</v>
      </c>
      <c r="O1373" s="0" t="str">
        <f aca="false">IF(OR(AND(M1373=1,L1373=0),AND(L1373=1,K1373=0),AND(K1373=1,J1373=0)),"Yes","No")</f>
        <v>No</v>
      </c>
      <c r="P1373" s="0" t="n">
        <v>0</v>
      </c>
      <c r="Q1373" s="0" t="str">
        <f aca="false">IF(OR(AND(M1373=0,P1373&gt;0),AND(M1373=1,P1373&lt;=0)),"Yes","No")</f>
        <v>No</v>
      </c>
      <c r="R1373" s="0" t="str">
        <f aca="false">IF(AND(M1373=1,P1373&gt;calc_helpers!$B$5),"Yes","No")</f>
        <v>No</v>
      </c>
      <c r="S1373" s="0" t="n">
        <v>0</v>
      </c>
      <c r="T1373" s="0" t="str">
        <f aca="false">IF(S1373&gt;0,"Yes","No")</f>
        <v>No</v>
      </c>
      <c r="U1373" s="0" t="n">
        <v>0</v>
      </c>
      <c r="W1373" s="0" t="str">
        <f aca="false">IF(OR(AND(M1373=1,ISBLANK(V1373)),AND(M1373=0,NOT(ISBLANK(V1373)))),"Yes","No")</f>
        <v>No</v>
      </c>
      <c r="X1373" s="0" t="n">
        <v>76.6</v>
      </c>
      <c r="Y1373" s="3" t="s">
        <v>30</v>
      </c>
      <c r="Z1373" s="0" t="str">
        <f aca="false">IF(M1373=1,P1373,"")</f>
        <v/>
      </c>
    </row>
    <row r="1374" customFormat="false" ht="15" hidden="false" customHeight="false" outlineLevel="0" collapsed="false">
      <c r="A1374" s="0" t="s">
        <v>1418</v>
      </c>
      <c r="B1374" s="2" t="n">
        <v>45782</v>
      </c>
      <c r="C1374" s="3" t="s">
        <v>736</v>
      </c>
      <c r="D1374" s="3" t="s">
        <v>39</v>
      </c>
      <c r="E1374" s="3" t="s">
        <v>29</v>
      </c>
      <c r="F1374" s="3" t="s">
        <v>30</v>
      </c>
      <c r="G1374" s="3" t="s">
        <v>40</v>
      </c>
      <c r="H1374" s="3" t="s">
        <v>30</v>
      </c>
      <c r="I1374" s="3" t="s">
        <v>37</v>
      </c>
      <c r="J1374" s="0" t="n">
        <v>1</v>
      </c>
      <c r="K1374" s="0" t="n">
        <v>1</v>
      </c>
      <c r="L1374" s="0" t="n">
        <v>1</v>
      </c>
      <c r="M1374" s="0" t="n">
        <v>0</v>
      </c>
      <c r="N1374" s="0" t="str">
        <f aca="false">IF(OR(NOT(OR(J1374=0,J1374=1)),NOT(OR(K1374=0,K1374=1)),NOT(OR(L1374=0,L1374=1)),NOT(OR(M1374=0,M1374=1)),NOT(OR(U1374=0,U1374=1))),"Yes","No")</f>
        <v>No</v>
      </c>
      <c r="O1374" s="0" t="str">
        <f aca="false">IF(OR(AND(M1374=1,L1374=0),AND(L1374=1,K1374=0),AND(K1374=1,J1374=0)),"Yes","No")</f>
        <v>No</v>
      </c>
      <c r="P1374" s="0" t="n">
        <v>0</v>
      </c>
      <c r="Q1374" s="0" t="str">
        <f aca="false">IF(OR(AND(M1374=0,P1374&gt;0),AND(M1374=1,P1374&lt;=0)),"Yes","No")</f>
        <v>No</v>
      </c>
      <c r="R1374" s="0" t="str">
        <f aca="false">IF(AND(M1374=1,P1374&gt;calc_helpers!$B$5),"Yes","No")</f>
        <v>No</v>
      </c>
      <c r="S1374" s="0" t="n">
        <v>0</v>
      </c>
      <c r="T1374" s="0" t="str">
        <f aca="false">IF(S1374&gt;0,"Yes","No")</f>
        <v>No</v>
      </c>
      <c r="U1374" s="0" t="n">
        <v>0</v>
      </c>
      <c r="W1374" s="0" t="str">
        <f aca="false">IF(OR(AND(M1374=1,ISBLANK(V1374)),AND(M1374=0,NOT(ISBLANK(V1374)))),"Yes","No")</f>
        <v>No</v>
      </c>
      <c r="X1374" s="0" t="n">
        <v>54.4</v>
      </c>
      <c r="Y1374" s="3" t="s">
        <v>30</v>
      </c>
      <c r="Z1374" s="0" t="str">
        <f aca="false">IF(M1374=1,P1374,"")</f>
        <v/>
      </c>
    </row>
    <row r="1375" customFormat="false" ht="15" hidden="false" customHeight="false" outlineLevel="0" collapsed="false">
      <c r="A1375" s="0" t="s">
        <v>1419</v>
      </c>
      <c r="B1375" s="2" t="n">
        <v>45758</v>
      </c>
      <c r="C1375" s="3" t="s">
        <v>736</v>
      </c>
      <c r="D1375" s="3" t="s">
        <v>43</v>
      </c>
      <c r="E1375" s="3" t="s">
        <v>35</v>
      </c>
      <c r="F1375" s="3" t="s">
        <v>30</v>
      </c>
      <c r="G1375" s="3" t="s">
        <v>52</v>
      </c>
      <c r="H1375" s="3" t="s">
        <v>30</v>
      </c>
      <c r="I1375" s="3" t="s">
        <v>37</v>
      </c>
      <c r="J1375" s="0" t="n">
        <v>1</v>
      </c>
      <c r="K1375" s="0" t="n">
        <v>0</v>
      </c>
      <c r="L1375" s="0" t="n">
        <v>0</v>
      </c>
      <c r="M1375" s="0" t="n">
        <v>0</v>
      </c>
      <c r="N1375" s="0" t="str">
        <f aca="false">IF(OR(NOT(OR(J1375=0,J1375=1)),NOT(OR(K1375=0,K1375=1)),NOT(OR(L1375=0,L1375=1)),NOT(OR(M1375=0,M1375=1)),NOT(OR(U1375=0,U1375=1))),"Yes","No")</f>
        <v>No</v>
      </c>
      <c r="O1375" s="0" t="str">
        <f aca="false">IF(OR(AND(M1375=1,L1375=0),AND(L1375=1,K1375=0),AND(K1375=1,J1375=0)),"Yes","No")</f>
        <v>No</v>
      </c>
      <c r="P1375" s="0" t="n">
        <v>0</v>
      </c>
      <c r="Q1375" s="0" t="str">
        <f aca="false">IF(OR(AND(M1375=0,P1375&gt;0),AND(M1375=1,P1375&lt;=0)),"Yes","No")</f>
        <v>No</v>
      </c>
      <c r="R1375" s="0" t="str">
        <f aca="false">IF(AND(M1375=1,P1375&gt;calc_helpers!$B$5),"Yes","No")</f>
        <v>No</v>
      </c>
      <c r="S1375" s="0" t="n">
        <v>0</v>
      </c>
      <c r="T1375" s="0" t="str">
        <f aca="false">IF(S1375&gt;0,"Yes","No")</f>
        <v>No</v>
      </c>
      <c r="U1375" s="0" t="n">
        <v>0</v>
      </c>
      <c r="W1375" s="0" t="str">
        <f aca="false">IF(OR(AND(M1375=1,ISBLANK(V1375)),AND(M1375=0,NOT(ISBLANK(V1375)))),"Yes","No")</f>
        <v>No</v>
      </c>
      <c r="X1375" s="0" t="n">
        <v>31.2</v>
      </c>
      <c r="Y1375" s="3" t="s">
        <v>30</v>
      </c>
      <c r="Z1375" s="0" t="str">
        <f aca="false">IF(M1375=1,P1375,"")</f>
        <v/>
      </c>
    </row>
    <row r="1376" customFormat="false" ht="15" hidden="false" customHeight="false" outlineLevel="0" collapsed="false">
      <c r="A1376" s="0" t="s">
        <v>1420</v>
      </c>
      <c r="B1376" s="2" t="n">
        <v>45741</v>
      </c>
      <c r="C1376" s="3" t="s">
        <v>736</v>
      </c>
      <c r="D1376" s="3" t="s">
        <v>34</v>
      </c>
      <c r="E1376" s="3" t="s">
        <v>29</v>
      </c>
      <c r="F1376" s="3" t="s">
        <v>30</v>
      </c>
      <c r="G1376" s="3" t="s">
        <v>31</v>
      </c>
      <c r="H1376" s="3" t="s">
        <v>30</v>
      </c>
      <c r="I1376" s="3" t="s">
        <v>41</v>
      </c>
      <c r="J1376" s="0" t="n">
        <v>1</v>
      </c>
      <c r="K1376" s="0" t="n">
        <v>0</v>
      </c>
      <c r="L1376" s="0" t="n">
        <v>0</v>
      </c>
      <c r="M1376" s="0" t="n">
        <v>0</v>
      </c>
      <c r="N1376" s="0" t="str">
        <f aca="false">IF(OR(NOT(OR(J1376=0,J1376=1)),NOT(OR(K1376=0,K1376=1)),NOT(OR(L1376=0,L1376=1)),NOT(OR(M1376=0,M1376=1)),NOT(OR(U1376=0,U1376=1))),"Yes","No")</f>
        <v>No</v>
      </c>
      <c r="O1376" s="0" t="str">
        <f aca="false">IF(OR(AND(M1376=1,L1376=0),AND(L1376=1,K1376=0),AND(K1376=1,J1376=0)),"Yes","No")</f>
        <v>No</v>
      </c>
      <c r="P1376" s="0" t="n">
        <v>0</v>
      </c>
      <c r="Q1376" s="0" t="str">
        <f aca="false">IF(OR(AND(M1376=0,P1376&gt;0),AND(M1376=1,P1376&lt;=0)),"Yes","No")</f>
        <v>No</v>
      </c>
      <c r="R1376" s="0" t="str">
        <f aca="false">IF(AND(M1376=1,P1376&gt;calc_helpers!$B$5),"Yes","No")</f>
        <v>No</v>
      </c>
      <c r="S1376" s="0" t="n">
        <v>0</v>
      </c>
      <c r="T1376" s="0" t="str">
        <f aca="false">IF(S1376&gt;0,"Yes","No")</f>
        <v>No</v>
      </c>
      <c r="U1376" s="0" t="n">
        <v>0</v>
      </c>
      <c r="W1376" s="0" t="str">
        <f aca="false">IF(OR(AND(M1376=1,ISBLANK(V1376)),AND(M1376=0,NOT(ISBLANK(V1376)))),"Yes","No")</f>
        <v>No</v>
      </c>
      <c r="X1376" s="0" t="n">
        <v>72.4</v>
      </c>
      <c r="Y1376" s="3" t="s">
        <v>30</v>
      </c>
      <c r="Z1376" s="0" t="str">
        <f aca="false">IF(M1376=1,P1376,"")</f>
        <v/>
      </c>
    </row>
    <row r="1377" customFormat="false" ht="15" hidden="false" customHeight="false" outlineLevel="0" collapsed="false">
      <c r="A1377" s="0" t="s">
        <v>1421</v>
      </c>
      <c r="B1377" s="2" t="n">
        <v>45740</v>
      </c>
      <c r="C1377" s="3" t="s">
        <v>736</v>
      </c>
      <c r="D1377" s="3" t="s">
        <v>28</v>
      </c>
      <c r="E1377" s="3" t="s">
        <v>35</v>
      </c>
      <c r="F1377" s="3" t="s">
        <v>30</v>
      </c>
      <c r="G1377" s="3" t="s">
        <v>36</v>
      </c>
      <c r="H1377" s="3" t="s">
        <v>30</v>
      </c>
      <c r="I1377" s="3" t="s">
        <v>41</v>
      </c>
      <c r="J1377" s="0" t="n">
        <v>1</v>
      </c>
      <c r="K1377" s="0" t="n">
        <v>0</v>
      </c>
      <c r="L1377" s="0" t="n">
        <v>0</v>
      </c>
      <c r="M1377" s="0" t="n">
        <v>0</v>
      </c>
      <c r="N1377" s="0" t="str">
        <f aca="false">IF(OR(NOT(OR(J1377=0,J1377=1)),NOT(OR(K1377=0,K1377=1)),NOT(OR(L1377=0,L1377=1)),NOT(OR(M1377=0,M1377=1)),NOT(OR(U1377=0,U1377=1))),"Yes","No")</f>
        <v>No</v>
      </c>
      <c r="O1377" s="0" t="str">
        <f aca="false">IF(OR(AND(M1377=1,L1377=0),AND(L1377=1,K1377=0),AND(K1377=1,J1377=0)),"Yes","No")</f>
        <v>No</v>
      </c>
      <c r="P1377" s="0" t="n">
        <v>0</v>
      </c>
      <c r="Q1377" s="0" t="str">
        <f aca="false">IF(OR(AND(M1377=0,P1377&gt;0),AND(M1377=1,P1377&lt;=0)),"Yes","No")</f>
        <v>No</v>
      </c>
      <c r="R1377" s="0" t="str">
        <f aca="false">IF(AND(M1377=1,P1377&gt;calc_helpers!$B$5),"Yes","No")</f>
        <v>No</v>
      </c>
      <c r="S1377" s="0" t="n">
        <v>0</v>
      </c>
      <c r="T1377" s="0" t="str">
        <f aca="false">IF(S1377&gt;0,"Yes","No")</f>
        <v>No</v>
      </c>
      <c r="U1377" s="0" t="n">
        <v>0</v>
      </c>
      <c r="W1377" s="0" t="str">
        <f aca="false">IF(OR(AND(M1377=1,ISBLANK(V1377)),AND(M1377=0,NOT(ISBLANK(V1377)))),"Yes","No")</f>
        <v>No</v>
      </c>
      <c r="X1377" s="0" t="n">
        <v>74.5</v>
      </c>
      <c r="Y1377" s="3" t="s">
        <v>30</v>
      </c>
      <c r="Z1377" s="0" t="str">
        <f aca="false">IF(M1377=1,P1377,"")</f>
        <v/>
      </c>
    </row>
    <row r="1378" customFormat="false" ht="15" hidden="false" customHeight="false" outlineLevel="0" collapsed="false">
      <c r="A1378" s="0" t="s">
        <v>1422</v>
      </c>
      <c r="B1378" s="2" t="n">
        <v>45774</v>
      </c>
      <c r="C1378" s="3" t="s">
        <v>736</v>
      </c>
      <c r="D1378" s="3" t="s">
        <v>39</v>
      </c>
      <c r="E1378" s="3" t="s">
        <v>35</v>
      </c>
      <c r="F1378" s="3" t="s">
        <v>30</v>
      </c>
      <c r="G1378" s="3" t="s">
        <v>36</v>
      </c>
      <c r="H1378" s="3" t="s">
        <v>30</v>
      </c>
      <c r="I1378" s="3" t="s">
        <v>32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str">
        <f aca="false">IF(OR(NOT(OR(J1378=0,J1378=1)),NOT(OR(K1378=0,K1378=1)),NOT(OR(L1378=0,L1378=1)),NOT(OR(M1378=0,M1378=1)),NOT(OR(U1378=0,U1378=1))),"Yes","No")</f>
        <v>No</v>
      </c>
      <c r="O1378" s="0" t="str">
        <f aca="false">IF(OR(AND(M1378=1,L1378=0),AND(L1378=1,K1378=0),AND(K1378=1,J1378=0)),"Yes","No")</f>
        <v>No</v>
      </c>
      <c r="P1378" s="0" t="n">
        <v>0</v>
      </c>
      <c r="Q1378" s="0" t="str">
        <f aca="false">IF(OR(AND(M1378=0,P1378&gt;0),AND(M1378=1,P1378&lt;=0)),"Yes","No")</f>
        <v>No</v>
      </c>
      <c r="R1378" s="0" t="str">
        <f aca="false">IF(AND(M1378=1,P1378&gt;calc_helpers!$B$5),"Yes","No")</f>
        <v>No</v>
      </c>
      <c r="S1378" s="0" t="n">
        <v>0</v>
      </c>
      <c r="T1378" s="0" t="str">
        <f aca="false">IF(S1378&gt;0,"Yes","No")</f>
        <v>No</v>
      </c>
      <c r="U1378" s="0" t="n">
        <v>0</v>
      </c>
      <c r="W1378" s="0" t="str">
        <f aca="false">IF(OR(AND(M1378=1,ISBLANK(V1378)),AND(M1378=0,NOT(ISBLANK(V1378)))),"Yes","No")</f>
        <v>No</v>
      </c>
      <c r="X1378" s="0" t="n">
        <v>52.6</v>
      </c>
      <c r="Y1378" s="3" t="s">
        <v>30</v>
      </c>
      <c r="Z1378" s="0" t="str">
        <f aca="false">IF(M1378=1,P1378,"")</f>
        <v/>
      </c>
    </row>
    <row r="1379" customFormat="false" ht="15" hidden="false" customHeight="false" outlineLevel="0" collapsed="false">
      <c r="A1379" s="0" t="s">
        <v>1423</v>
      </c>
      <c r="B1379" s="2" t="n">
        <v>45682</v>
      </c>
      <c r="C1379" s="3" t="s">
        <v>736</v>
      </c>
      <c r="D1379" s="3" t="s">
        <v>28</v>
      </c>
      <c r="E1379" s="3" t="s">
        <v>29</v>
      </c>
      <c r="F1379" s="3" t="s">
        <v>30</v>
      </c>
      <c r="G1379" s="3" t="s">
        <v>40</v>
      </c>
      <c r="H1379" s="3" t="s">
        <v>30</v>
      </c>
      <c r="I1379" s="3" t="s">
        <v>37</v>
      </c>
      <c r="J1379" s="0" t="n">
        <v>1</v>
      </c>
      <c r="K1379" s="0" t="n">
        <v>0</v>
      </c>
      <c r="L1379" s="0" t="n">
        <v>0</v>
      </c>
      <c r="M1379" s="0" t="n">
        <v>0</v>
      </c>
      <c r="N1379" s="0" t="str">
        <f aca="false">IF(OR(NOT(OR(J1379=0,J1379=1)),NOT(OR(K1379=0,K1379=1)),NOT(OR(L1379=0,L1379=1)),NOT(OR(M1379=0,M1379=1)),NOT(OR(U1379=0,U1379=1))),"Yes","No")</f>
        <v>No</v>
      </c>
      <c r="O1379" s="0" t="str">
        <f aca="false">IF(OR(AND(M1379=1,L1379=0),AND(L1379=1,K1379=0),AND(K1379=1,J1379=0)),"Yes","No")</f>
        <v>No</v>
      </c>
      <c r="P1379" s="0" t="n">
        <v>0</v>
      </c>
      <c r="Q1379" s="0" t="str">
        <f aca="false">IF(OR(AND(M1379=0,P1379&gt;0),AND(M1379=1,P1379&lt;=0)),"Yes","No")</f>
        <v>No</v>
      </c>
      <c r="R1379" s="0" t="str">
        <f aca="false">IF(AND(M1379=1,P1379&gt;calc_helpers!$B$5),"Yes","No")</f>
        <v>No</v>
      </c>
      <c r="S1379" s="0" t="n">
        <v>0</v>
      </c>
      <c r="T1379" s="0" t="str">
        <f aca="false">IF(S1379&gt;0,"Yes","No")</f>
        <v>No</v>
      </c>
      <c r="U1379" s="0" t="n">
        <v>0</v>
      </c>
      <c r="W1379" s="0" t="str">
        <f aca="false">IF(OR(AND(M1379=1,ISBLANK(V1379)),AND(M1379=0,NOT(ISBLANK(V1379)))),"Yes","No")</f>
        <v>No</v>
      </c>
      <c r="X1379" s="0" t="n">
        <v>75.4</v>
      </c>
      <c r="Y1379" s="3" t="s">
        <v>30</v>
      </c>
      <c r="Z1379" s="0" t="str">
        <f aca="false">IF(M1379=1,P1379,"")</f>
        <v/>
      </c>
    </row>
    <row r="1380" customFormat="false" ht="15" hidden="false" customHeight="false" outlineLevel="0" collapsed="false">
      <c r="A1380" s="0" t="s">
        <v>1424</v>
      </c>
      <c r="B1380" s="2" t="n">
        <v>45705</v>
      </c>
      <c r="C1380" s="3" t="s">
        <v>736</v>
      </c>
      <c r="D1380" s="3" t="s">
        <v>28</v>
      </c>
      <c r="E1380" s="3" t="s">
        <v>45</v>
      </c>
      <c r="F1380" s="3" t="s">
        <v>30</v>
      </c>
      <c r="G1380" s="3" t="s">
        <v>52</v>
      </c>
      <c r="H1380" s="3" t="s">
        <v>30</v>
      </c>
      <c r="I1380" s="3" t="s">
        <v>32</v>
      </c>
      <c r="J1380" s="0" t="n">
        <v>1</v>
      </c>
      <c r="K1380" s="0" t="n">
        <v>1</v>
      </c>
      <c r="L1380" s="0" t="n">
        <v>1</v>
      </c>
      <c r="M1380" s="0" t="n">
        <v>1</v>
      </c>
      <c r="N1380" s="0" t="str">
        <f aca="false">IF(OR(NOT(OR(J1380=0,J1380=1)),NOT(OR(K1380=0,K1380=1)),NOT(OR(L1380=0,L1380=1)),NOT(OR(M1380=0,M1380=1)),NOT(OR(U1380=0,U1380=1))),"Yes","No")</f>
        <v>No</v>
      </c>
      <c r="O1380" s="0" t="str">
        <f aca="false">IF(OR(AND(M1380=1,L1380=0),AND(L1380=1,K1380=0),AND(K1380=1,J1380=0)),"Yes","No")</f>
        <v>No</v>
      </c>
      <c r="P1380" s="0" t="n">
        <v>751.33</v>
      </c>
      <c r="Q1380" s="0" t="str">
        <f aca="false">IF(OR(AND(M1380=0,P1380&gt;0),AND(M1380=1,P1380&lt;=0)),"Yes","No")</f>
        <v>No</v>
      </c>
      <c r="R1380" s="0" t="str">
        <f aca="false">IF(AND(M1380=1,P1380&gt;calc_helpers!$B$5),"Yes","No")</f>
        <v>No</v>
      </c>
      <c r="S1380" s="0" t="n">
        <v>0</v>
      </c>
      <c r="T1380" s="0" t="str">
        <f aca="false">IF(S1380&gt;0,"Yes","No")</f>
        <v>No</v>
      </c>
      <c r="U1380" s="0" t="n">
        <v>0</v>
      </c>
      <c r="V1380" s="0" t="n">
        <v>9</v>
      </c>
      <c r="W1380" s="0" t="str">
        <f aca="false">IF(OR(AND(M1380=1,ISBLANK(V1380)),AND(M1380=0,NOT(ISBLANK(V1380)))),"Yes","No")</f>
        <v>No</v>
      </c>
      <c r="X1380" s="0" t="n">
        <v>34</v>
      </c>
      <c r="Y1380" s="3" t="s">
        <v>30</v>
      </c>
      <c r="Z1380" s="3" t="n">
        <f aca="false">IF(M1380=1,P1380,"")</f>
        <v>751.33</v>
      </c>
    </row>
    <row r="1381" customFormat="false" ht="15" hidden="false" customHeight="false" outlineLevel="0" collapsed="false">
      <c r="A1381" s="0" t="s">
        <v>1425</v>
      </c>
      <c r="B1381" s="2" t="n">
        <v>45760</v>
      </c>
      <c r="C1381" s="3" t="s">
        <v>736</v>
      </c>
      <c r="D1381" s="3" t="s">
        <v>43</v>
      </c>
      <c r="E1381" s="3" t="s">
        <v>29</v>
      </c>
      <c r="F1381" s="3" t="s">
        <v>30</v>
      </c>
      <c r="G1381" s="3" t="s">
        <v>36</v>
      </c>
      <c r="H1381" s="3" t="s">
        <v>30</v>
      </c>
      <c r="I1381" s="3" t="s">
        <v>37</v>
      </c>
      <c r="J1381" s="0" t="n">
        <v>1</v>
      </c>
      <c r="K1381" s="0" t="n">
        <v>0</v>
      </c>
      <c r="L1381" s="0" t="n">
        <v>0</v>
      </c>
      <c r="M1381" s="0" t="n">
        <v>0</v>
      </c>
      <c r="N1381" s="0" t="str">
        <f aca="false">IF(OR(NOT(OR(J1381=0,J1381=1)),NOT(OR(K1381=0,K1381=1)),NOT(OR(L1381=0,L1381=1)),NOT(OR(M1381=0,M1381=1)),NOT(OR(U1381=0,U1381=1))),"Yes","No")</f>
        <v>No</v>
      </c>
      <c r="O1381" s="0" t="str">
        <f aca="false">IF(OR(AND(M1381=1,L1381=0),AND(L1381=1,K1381=0),AND(K1381=1,J1381=0)),"Yes","No")</f>
        <v>No</v>
      </c>
      <c r="P1381" s="0" t="n">
        <v>0</v>
      </c>
      <c r="Q1381" s="0" t="str">
        <f aca="false">IF(OR(AND(M1381=0,P1381&gt;0),AND(M1381=1,P1381&lt;=0)),"Yes","No")</f>
        <v>No</v>
      </c>
      <c r="R1381" s="0" t="str">
        <f aca="false">IF(AND(M1381=1,P1381&gt;calc_helpers!$B$5),"Yes","No")</f>
        <v>No</v>
      </c>
      <c r="S1381" s="0" t="n">
        <v>0</v>
      </c>
      <c r="T1381" s="0" t="str">
        <f aca="false">IF(S1381&gt;0,"Yes","No")</f>
        <v>No</v>
      </c>
      <c r="U1381" s="0" t="n">
        <v>0</v>
      </c>
      <c r="W1381" s="0" t="str">
        <f aca="false">IF(OR(AND(M1381=1,ISBLANK(V1381)),AND(M1381=0,NOT(ISBLANK(V1381)))),"Yes","No")</f>
        <v>No</v>
      </c>
      <c r="X1381" s="0" t="n">
        <v>67.1</v>
      </c>
      <c r="Y1381" s="3" t="s">
        <v>30</v>
      </c>
      <c r="Z1381" s="0" t="str">
        <f aca="false">IF(M1381=1,P1381,"")</f>
        <v/>
      </c>
    </row>
    <row r="1382" customFormat="false" ht="15" hidden="false" customHeight="false" outlineLevel="0" collapsed="false">
      <c r="A1382" s="0" t="s">
        <v>1426</v>
      </c>
      <c r="B1382" s="2" t="n">
        <v>45780</v>
      </c>
      <c r="C1382" s="3" t="s">
        <v>736</v>
      </c>
      <c r="D1382" s="3" t="s">
        <v>34</v>
      </c>
      <c r="E1382" s="3" t="s">
        <v>29</v>
      </c>
      <c r="F1382" s="3" t="s">
        <v>30</v>
      </c>
      <c r="G1382" s="3" t="s">
        <v>40</v>
      </c>
      <c r="H1382" s="3" t="s">
        <v>30</v>
      </c>
      <c r="I1382" s="3" t="s">
        <v>41</v>
      </c>
      <c r="J1382" s="0" t="n">
        <v>1</v>
      </c>
      <c r="K1382" s="0" t="n">
        <v>0</v>
      </c>
      <c r="L1382" s="0" t="n">
        <v>0</v>
      </c>
      <c r="M1382" s="0" t="n">
        <v>0</v>
      </c>
      <c r="N1382" s="0" t="str">
        <f aca="false">IF(OR(NOT(OR(J1382=0,J1382=1)),NOT(OR(K1382=0,K1382=1)),NOT(OR(L1382=0,L1382=1)),NOT(OR(M1382=0,M1382=1)),NOT(OR(U1382=0,U1382=1))),"Yes","No")</f>
        <v>No</v>
      </c>
      <c r="O1382" s="0" t="str">
        <f aca="false">IF(OR(AND(M1382=1,L1382=0),AND(L1382=1,K1382=0),AND(K1382=1,J1382=0)),"Yes","No")</f>
        <v>No</v>
      </c>
      <c r="P1382" s="0" t="n">
        <v>0</v>
      </c>
      <c r="Q1382" s="0" t="str">
        <f aca="false">IF(OR(AND(M1382=0,P1382&gt;0),AND(M1382=1,P1382&lt;=0)),"Yes","No")</f>
        <v>No</v>
      </c>
      <c r="R1382" s="0" t="str">
        <f aca="false">IF(AND(M1382=1,P1382&gt;calc_helpers!$B$5),"Yes","No")</f>
        <v>No</v>
      </c>
      <c r="S1382" s="0" t="n">
        <v>0</v>
      </c>
      <c r="T1382" s="0" t="str">
        <f aca="false">IF(S1382&gt;0,"Yes","No")</f>
        <v>No</v>
      </c>
      <c r="U1382" s="0" t="n">
        <v>0</v>
      </c>
      <c r="W1382" s="0" t="str">
        <f aca="false">IF(OR(AND(M1382=1,ISBLANK(V1382)),AND(M1382=0,NOT(ISBLANK(V1382)))),"Yes","No")</f>
        <v>No</v>
      </c>
      <c r="X1382" s="0" t="n">
        <v>37.3</v>
      </c>
      <c r="Y1382" s="3" t="s">
        <v>30</v>
      </c>
      <c r="Z1382" s="0" t="str">
        <f aca="false">IF(M1382=1,P1382,"")</f>
        <v/>
      </c>
    </row>
    <row r="1383" customFormat="false" ht="15" hidden="false" customHeight="false" outlineLevel="0" collapsed="false">
      <c r="A1383" s="0" t="s">
        <v>1427</v>
      </c>
      <c r="B1383" s="2" t="n">
        <v>45776</v>
      </c>
      <c r="C1383" s="3" t="s">
        <v>736</v>
      </c>
      <c r="D1383" s="3" t="s">
        <v>34</v>
      </c>
      <c r="E1383" s="3" t="s">
        <v>35</v>
      </c>
      <c r="F1383" s="3" t="s">
        <v>30</v>
      </c>
      <c r="G1383" s="3" t="s">
        <v>31</v>
      </c>
      <c r="H1383" s="3" t="s">
        <v>30</v>
      </c>
      <c r="I1383" s="3" t="s">
        <v>37</v>
      </c>
      <c r="J1383" s="0" t="n">
        <v>1</v>
      </c>
      <c r="K1383" s="0" t="n">
        <v>0</v>
      </c>
      <c r="L1383" s="0" t="n">
        <v>0</v>
      </c>
      <c r="M1383" s="0" t="n">
        <v>0</v>
      </c>
      <c r="N1383" s="0" t="str">
        <f aca="false">IF(OR(NOT(OR(J1383=0,J1383=1)),NOT(OR(K1383=0,K1383=1)),NOT(OR(L1383=0,L1383=1)),NOT(OR(M1383=0,M1383=1)),NOT(OR(U1383=0,U1383=1))),"Yes","No")</f>
        <v>No</v>
      </c>
      <c r="O1383" s="0" t="str">
        <f aca="false">IF(OR(AND(M1383=1,L1383=0),AND(L1383=1,K1383=0),AND(K1383=1,J1383=0)),"Yes","No")</f>
        <v>No</v>
      </c>
      <c r="P1383" s="0" t="n">
        <v>0</v>
      </c>
      <c r="Q1383" s="0" t="str">
        <f aca="false">IF(OR(AND(M1383=0,P1383&gt;0),AND(M1383=1,P1383&lt;=0)),"Yes","No")</f>
        <v>No</v>
      </c>
      <c r="R1383" s="0" t="str">
        <f aca="false">IF(AND(M1383=1,P1383&gt;calc_helpers!$B$5),"Yes","No")</f>
        <v>No</v>
      </c>
      <c r="S1383" s="0" t="n">
        <v>0</v>
      </c>
      <c r="T1383" s="0" t="str">
        <f aca="false">IF(S1383&gt;0,"Yes","No")</f>
        <v>No</v>
      </c>
      <c r="U1383" s="0" t="n">
        <v>0</v>
      </c>
      <c r="W1383" s="0" t="str">
        <f aca="false">IF(OR(AND(M1383=1,ISBLANK(V1383)),AND(M1383=0,NOT(ISBLANK(V1383)))),"Yes","No")</f>
        <v>No</v>
      </c>
      <c r="X1383" s="0" t="n">
        <v>54.7</v>
      </c>
      <c r="Y1383" s="3" t="s">
        <v>30</v>
      </c>
      <c r="Z1383" s="0" t="str">
        <f aca="false">IF(M1383=1,P1383,"")</f>
        <v/>
      </c>
    </row>
    <row r="1384" customFormat="false" ht="15" hidden="false" customHeight="false" outlineLevel="0" collapsed="false">
      <c r="A1384" s="0" t="s">
        <v>1428</v>
      </c>
      <c r="B1384" s="2" t="n">
        <v>45780</v>
      </c>
      <c r="C1384" s="3" t="s">
        <v>736</v>
      </c>
      <c r="D1384" s="3" t="s">
        <v>39</v>
      </c>
      <c r="E1384" s="3" t="s">
        <v>29</v>
      </c>
      <c r="F1384" s="3" t="s">
        <v>30</v>
      </c>
      <c r="G1384" s="3" t="s">
        <v>40</v>
      </c>
      <c r="H1384" s="3" t="s">
        <v>30</v>
      </c>
      <c r="I1384" s="3" t="s">
        <v>37</v>
      </c>
      <c r="J1384" s="0" t="n">
        <v>1</v>
      </c>
      <c r="K1384" s="0" t="n">
        <v>0</v>
      </c>
      <c r="L1384" s="0" t="n">
        <v>0</v>
      </c>
      <c r="M1384" s="0" t="n">
        <v>0</v>
      </c>
      <c r="N1384" s="0" t="str">
        <f aca="false">IF(OR(NOT(OR(J1384=0,J1384=1)),NOT(OR(K1384=0,K1384=1)),NOT(OR(L1384=0,L1384=1)),NOT(OR(M1384=0,M1384=1)),NOT(OR(U1384=0,U1384=1))),"Yes","No")</f>
        <v>No</v>
      </c>
      <c r="O1384" s="0" t="str">
        <f aca="false">IF(OR(AND(M1384=1,L1384=0),AND(L1384=1,K1384=0),AND(K1384=1,J1384=0)),"Yes","No")</f>
        <v>No</v>
      </c>
      <c r="P1384" s="0" t="n">
        <v>0</v>
      </c>
      <c r="Q1384" s="0" t="str">
        <f aca="false">IF(OR(AND(M1384=0,P1384&gt;0),AND(M1384=1,P1384&lt;=0)),"Yes","No")</f>
        <v>No</v>
      </c>
      <c r="R1384" s="0" t="str">
        <f aca="false">IF(AND(M1384=1,P1384&gt;calc_helpers!$B$5),"Yes","No")</f>
        <v>No</v>
      </c>
      <c r="S1384" s="0" t="n">
        <v>0</v>
      </c>
      <c r="T1384" s="0" t="str">
        <f aca="false">IF(S1384&gt;0,"Yes","No")</f>
        <v>No</v>
      </c>
      <c r="U1384" s="0" t="n">
        <v>0</v>
      </c>
      <c r="W1384" s="0" t="str">
        <f aca="false">IF(OR(AND(M1384=1,ISBLANK(V1384)),AND(M1384=0,NOT(ISBLANK(V1384)))),"Yes","No")</f>
        <v>No</v>
      </c>
      <c r="X1384" s="0" t="n">
        <v>51.8</v>
      </c>
      <c r="Y1384" s="3" t="s">
        <v>30</v>
      </c>
      <c r="Z1384" s="0" t="str">
        <f aca="false">IF(M1384=1,P1384,"")</f>
        <v/>
      </c>
    </row>
    <row r="1385" customFormat="false" ht="15" hidden="false" customHeight="false" outlineLevel="0" collapsed="false">
      <c r="A1385" s="0" t="s">
        <v>1429</v>
      </c>
      <c r="B1385" s="2" t="n">
        <v>45775</v>
      </c>
      <c r="C1385" s="3" t="s">
        <v>736</v>
      </c>
      <c r="D1385" s="3" t="s">
        <v>34</v>
      </c>
      <c r="E1385" s="3" t="s">
        <v>35</v>
      </c>
      <c r="F1385" s="3" t="s">
        <v>30</v>
      </c>
      <c r="G1385" s="3" t="s">
        <v>40</v>
      </c>
      <c r="H1385" s="3" t="s">
        <v>30</v>
      </c>
      <c r="I1385" s="3" t="s">
        <v>37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str">
        <f aca="false">IF(OR(NOT(OR(J1385=0,J1385=1)),NOT(OR(K1385=0,K1385=1)),NOT(OR(L1385=0,L1385=1)),NOT(OR(M1385=0,M1385=1)),NOT(OR(U1385=0,U1385=1))),"Yes","No")</f>
        <v>No</v>
      </c>
      <c r="O1385" s="0" t="str">
        <f aca="false">IF(OR(AND(M1385=1,L1385=0),AND(L1385=1,K1385=0),AND(K1385=1,J1385=0)),"Yes","No")</f>
        <v>No</v>
      </c>
      <c r="P1385" s="0" t="n">
        <v>0</v>
      </c>
      <c r="Q1385" s="0" t="str">
        <f aca="false">IF(OR(AND(M1385=0,P1385&gt;0),AND(M1385=1,P1385&lt;=0)),"Yes","No")</f>
        <v>No</v>
      </c>
      <c r="R1385" s="0" t="str">
        <f aca="false">IF(AND(M1385=1,P1385&gt;calc_helpers!$B$5),"Yes","No")</f>
        <v>No</v>
      </c>
      <c r="S1385" s="0" t="n">
        <v>0</v>
      </c>
      <c r="T1385" s="0" t="str">
        <f aca="false">IF(S1385&gt;0,"Yes","No")</f>
        <v>No</v>
      </c>
      <c r="U1385" s="0" t="n">
        <v>0</v>
      </c>
      <c r="W1385" s="0" t="str">
        <f aca="false">IF(OR(AND(M1385=1,ISBLANK(V1385)),AND(M1385=0,NOT(ISBLANK(V1385)))),"Yes","No")</f>
        <v>No</v>
      </c>
      <c r="X1385" s="0" t="n">
        <v>49.2</v>
      </c>
      <c r="Y1385" s="3" t="s">
        <v>30</v>
      </c>
      <c r="Z1385" s="0" t="str">
        <f aca="false">IF(M1385=1,P1385,"")</f>
        <v/>
      </c>
    </row>
    <row r="1386" customFormat="false" ht="15" hidden="false" customHeight="false" outlineLevel="0" collapsed="false">
      <c r="A1386" s="0" t="s">
        <v>1430</v>
      </c>
      <c r="B1386" s="2" t="n">
        <v>45678</v>
      </c>
      <c r="C1386" s="3" t="s">
        <v>736</v>
      </c>
      <c r="D1386" s="3" t="s">
        <v>34</v>
      </c>
      <c r="E1386" s="3" t="s">
        <v>35</v>
      </c>
      <c r="F1386" s="3" t="s">
        <v>30</v>
      </c>
      <c r="G1386" s="3" t="s">
        <v>36</v>
      </c>
      <c r="H1386" s="3" t="s">
        <v>30</v>
      </c>
      <c r="I1386" s="3" t="s">
        <v>37</v>
      </c>
      <c r="J1386" s="0" t="n">
        <v>1</v>
      </c>
      <c r="K1386" s="0" t="n">
        <v>0</v>
      </c>
      <c r="L1386" s="0" t="n">
        <v>0</v>
      </c>
      <c r="M1386" s="0" t="n">
        <v>0</v>
      </c>
      <c r="N1386" s="0" t="str">
        <f aca="false">IF(OR(NOT(OR(J1386=0,J1386=1)),NOT(OR(K1386=0,K1386=1)),NOT(OR(L1386=0,L1386=1)),NOT(OR(M1386=0,M1386=1)),NOT(OR(U1386=0,U1386=1))),"Yes","No")</f>
        <v>No</v>
      </c>
      <c r="O1386" s="0" t="str">
        <f aca="false">IF(OR(AND(M1386=1,L1386=0),AND(L1386=1,K1386=0),AND(K1386=1,J1386=0)),"Yes","No")</f>
        <v>No</v>
      </c>
      <c r="P1386" s="0" t="n">
        <v>0</v>
      </c>
      <c r="Q1386" s="0" t="str">
        <f aca="false">IF(OR(AND(M1386=0,P1386&gt;0),AND(M1386=1,P1386&lt;=0)),"Yes","No")</f>
        <v>No</v>
      </c>
      <c r="R1386" s="0" t="str">
        <f aca="false">IF(AND(M1386=1,P1386&gt;calc_helpers!$B$5),"Yes","No")</f>
        <v>No</v>
      </c>
      <c r="S1386" s="0" t="n">
        <v>2</v>
      </c>
      <c r="T1386" s="0" t="str">
        <f aca="false">IF(S1386&gt;0,"Yes","No")</f>
        <v>Yes</v>
      </c>
      <c r="U1386" s="0" t="n">
        <v>0</v>
      </c>
      <c r="W1386" s="0" t="str">
        <f aca="false">IF(OR(AND(M1386=1,ISBLANK(V1386)),AND(M1386=0,NOT(ISBLANK(V1386)))),"Yes","No")</f>
        <v>No</v>
      </c>
      <c r="X1386" s="0" t="n">
        <v>58.8</v>
      </c>
      <c r="Y1386" s="3" t="s">
        <v>30</v>
      </c>
      <c r="Z1386" s="0" t="str">
        <f aca="false">IF(M1386=1,P1386,"")</f>
        <v/>
      </c>
    </row>
    <row r="1387" customFormat="false" ht="15" hidden="false" customHeight="false" outlineLevel="0" collapsed="false">
      <c r="A1387" s="0" t="s">
        <v>1431</v>
      </c>
      <c r="B1387" s="2" t="n">
        <v>45678</v>
      </c>
      <c r="C1387" s="3" t="s">
        <v>736</v>
      </c>
      <c r="D1387" s="3" t="s">
        <v>28</v>
      </c>
      <c r="E1387" s="3" t="s">
        <v>45</v>
      </c>
      <c r="F1387" s="3" t="s">
        <v>30</v>
      </c>
      <c r="G1387" s="3" t="s">
        <v>40</v>
      </c>
      <c r="H1387" s="3" t="s">
        <v>30</v>
      </c>
      <c r="I1387" s="3" t="s">
        <v>32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str">
        <f aca="false">IF(OR(NOT(OR(J1387=0,J1387=1)),NOT(OR(K1387=0,K1387=1)),NOT(OR(L1387=0,L1387=1)),NOT(OR(M1387=0,M1387=1)),NOT(OR(U1387=0,U1387=1))),"Yes","No")</f>
        <v>No</v>
      </c>
      <c r="O1387" s="0" t="str">
        <f aca="false">IF(OR(AND(M1387=1,L1387=0),AND(L1387=1,K1387=0),AND(K1387=1,J1387=0)),"Yes","No")</f>
        <v>No</v>
      </c>
      <c r="P1387" s="0" t="n">
        <v>0</v>
      </c>
      <c r="Q1387" s="0" t="str">
        <f aca="false">IF(OR(AND(M1387=0,P1387&gt;0),AND(M1387=1,P1387&lt;=0)),"Yes","No")</f>
        <v>No</v>
      </c>
      <c r="R1387" s="0" t="str">
        <f aca="false">IF(AND(M1387=1,P1387&gt;calc_helpers!$B$5),"Yes","No")</f>
        <v>No</v>
      </c>
      <c r="S1387" s="0" t="n">
        <v>1</v>
      </c>
      <c r="T1387" s="0" t="str">
        <f aca="false">IF(S1387&gt;0,"Yes","No")</f>
        <v>Yes</v>
      </c>
      <c r="U1387" s="0" t="n">
        <v>0</v>
      </c>
      <c r="W1387" s="0" t="str">
        <f aca="false">IF(OR(AND(M1387=1,ISBLANK(V1387)),AND(M1387=0,NOT(ISBLANK(V1387)))),"Yes","No")</f>
        <v>No</v>
      </c>
      <c r="X1387" s="0" t="n">
        <v>59.1</v>
      </c>
      <c r="Y1387" s="3" t="s">
        <v>30</v>
      </c>
      <c r="Z1387" s="0" t="str">
        <f aca="false">IF(M1387=1,P1387,"")</f>
        <v/>
      </c>
    </row>
    <row r="1388" customFormat="false" ht="15" hidden="false" customHeight="false" outlineLevel="0" collapsed="false">
      <c r="A1388" s="0" t="s">
        <v>1432</v>
      </c>
      <c r="B1388" s="2" t="n">
        <v>45798</v>
      </c>
      <c r="C1388" s="3" t="s">
        <v>736</v>
      </c>
      <c r="D1388" s="3" t="s">
        <v>34</v>
      </c>
      <c r="E1388" s="3" t="s">
        <v>29</v>
      </c>
      <c r="F1388" s="3" t="s">
        <v>30</v>
      </c>
      <c r="G1388" s="3" t="s">
        <v>40</v>
      </c>
      <c r="H1388" s="3" t="s">
        <v>30</v>
      </c>
      <c r="I1388" s="3" t="s">
        <v>37</v>
      </c>
      <c r="J1388" s="0" t="n">
        <v>1</v>
      </c>
      <c r="K1388" s="0" t="n">
        <v>0</v>
      </c>
      <c r="L1388" s="0" t="n">
        <v>0</v>
      </c>
      <c r="M1388" s="0" t="n">
        <v>0</v>
      </c>
      <c r="N1388" s="0" t="str">
        <f aca="false">IF(OR(NOT(OR(J1388=0,J1388=1)),NOT(OR(K1388=0,K1388=1)),NOT(OR(L1388=0,L1388=1)),NOT(OR(M1388=0,M1388=1)),NOT(OR(U1388=0,U1388=1))),"Yes","No")</f>
        <v>No</v>
      </c>
      <c r="O1388" s="0" t="str">
        <f aca="false">IF(OR(AND(M1388=1,L1388=0),AND(L1388=1,K1388=0),AND(K1388=1,J1388=0)),"Yes","No")</f>
        <v>No</v>
      </c>
      <c r="P1388" s="0" t="n">
        <v>0</v>
      </c>
      <c r="Q1388" s="0" t="str">
        <f aca="false">IF(OR(AND(M1388=0,P1388&gt;0),AND(M1388=1,P1388&lt;=0)),"Yes","No")</f>
        <v>No</v>
      </c>
      <c r="R1388" s="0" t="str">
        <f aca="false">IF(AND(M1388=1,P1388&gt;calc_helpers!$B$5),"Yes","No")</f>
        <v>No</v>
      </c>
      <c r="S1388" s="0" t="n">
        <v>2</v>
      </c>
      <c r="T1388" s="0" t="str">
        <f aca="false">IF(S1388&gt;0,"Yes","No")</f>
        <v>Yes</v>
      </c>
      <c r="U1388" s="0" t="n">
        <v>0</v>
      </c>
      <c r="W1388" s="0" t="str">
        <f aca="false">IF(OR(AND(M1388=1,ISBLANK(V1388)),AND(M1388=0,NOT(ISBLANK(V1388)))),"Yes","No")</f>
        <v>No</v>
      </c>
      <c r="X1388" s="0" t="n">
        <v>49.6</v>
      </c>
      <c r="Y1388" s="3" t="s">
        <v>30</v>
      </c>
      <c r="Z1388" s="0" t="str">
        <f aca="false">IF(M1388=1,P1388,"")</f>
        <v/>
      </c>
    </row>
    <row r="1389" customFormat="false" ht="15" hidden="false" customHeight="false" outlineLevel="0" collapsed="false">
      <c r="A1389" s="0" t="s">
        <v>1433</v>
      </c>
      <c r="B1389" s="2" t="n">
        <v>45662</v>
      </c>
      <c r="C1389" s="3" t="s">
        <v>736</v>
      </c>
      <c r="D1389" s="3" t="s">
        <v>28</v>
      </c>
      <c r="E1389" s="3" t="s">
        <v>35</v>
      </c>
      <c r="F1389" s="3" t="s">
        <v>30</v>
      </c>
      <c r="G1389" s="3" t="s">
        <v>50</v>
      </c>
      <c r="H1389" s="3" t="s">
        <v>30</v>
      </c>
      <c r="I1389" s="3" t="s">
        <v>37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str">
        <f aca="false">IF(OR(NOT(OR(J1389=0,J1389=1)),NOT(OR(K1389=0,K1389=1)),NOT(OR(L1389=0,L1389=1)),NOT(OR(M1389=0,M1389=1)),NOT(OR(U1389=0,U1389=1))),"Yes","No")</f>
        <v>No</v>
      </c>
      <c r="O1389" s="0" t="str">
        <f aca="false">IF(OR(AND(M1389=1,L1389=0),AND(L1389=1,K1389=0),AND(K1389=1,J1389=0)),"Yes","No")</f>
        <v>No</v>
      </c>
      <c r="P1389" s="0" t="n">
        <v>0</v>
      </c>
      <c r="Q1389" s="0" t="str">
        <f aca="false">IF(OR(AND(M1389=0,P1389&gt;0),AND(M1389=1,P1389&lt;=0)),"Yes","No")</f>
        <v>No</v>
      </c>
      <c r="R1389" s="0" t="str">
        <f aca="false">IF(AND(M1389=1,P1389&gt;calc_helpers!$B$5),"Yes","No")</f>
        <v>No</v>
      </c>
      <c r="S1389" s="0" t="n">
        <v>0</v>
      </c>
      <c r="T1389" s="0" t="str">
        <f aca="false">IF(S1389&gt;0,"Yes","No")</f>
        <v>No</v>
      </c>
      <c r="U1389" s="0" t="n">
        <v>0</v>
      </c>
      <c r="W1389" s="0" t="str">
        <f aca="false">IF(OR(AND(M1389=1,ISBLANK(V1389)),AND(M1389=0,NOT(ISBLANK(V1389)))),"Yes","No")</f>
        <v>No</v>
      </c>
      <c r="X1389" s="0" t="n">
        <v>58.2</v>
      </c>
      <c r="Y1389" s="3" t="s">
        <v>30</v>
      </c>
      <c r="Z1389" s="0" t="str">
        <f aca="false">IF(M1389=1,P1389,"")</f>
        <v/>
      </c>
    </row>
    <row r="1390" customFormat="false" ht="15" hidden="false" customHeight="false" outlineLevel="0" collapsed="false">
      <c r="A1390" s="0" t="s">
        <v>1434</v>
      </c>
      <c r="B1390" s="2" t="n">
        <v>45722</v>
      </c>
      <c r="C1390" s="3" t="s">
        <v>736</v>
      </c>
      <c r="D1390" s="3" t="s">
        <v>43</v>
      </c>
      <c r="E1390" s="3" t="s">
        <v>29</v>
      </c>
      <c r="F1390" s="3" t="s">
        <v>30</v>
      </c>
      <c r="G1390" s="3" t="s">
        <v>36</v>
      </c>
      <c r="H1390" s="3" t="s">
        <v>30</v>
      </c>
      <c r="I1390" s="3" t="s">
        <v>37</v>
      </c>
      <c r="J1390" s="0" t="n">
        <v>1</v>
      </c>
      <c r="K1390" s="0" t="n">
        <v>0</v>
      </c>
      <c r="L1390" s="0" t="n">
        <v>0</v>
      </c>
      <c r="M1390" s="0" t="n">
        <v>0</v>
      </c>
      <c r="N1390" s="0" t="str">
        <f aca="false">IF(OR(NOT(OR(J1390=0,J1390=1)),NOT(OR(K1390=0,K1390=1)),NOT(OR(L1390=0,L1390=1)),NOT(OR(M1390=0,M1390=1)),NOT(OR(U1390=0,U1390=1))),"Yes","No")</f>
        <v>No</v>
      </c>
      <c r="O1390" s="0" t="str">
        <f aca="false">IF(OR(AND(M1390=1,L1390=0),AND(L1390=1,K1390=0),AND(K1390=1,J1390=0)),"Yes","No")</f>
        <v>No</v>
      </c>
      <c r="P1390" s="0" t="n">
        <v>0</v>
      </c>
      <c r="Q1390" s="0" t="str">
        <f aca="false">IF(OR(AND(M1390=0,P1390&gt;0),AND(M1390=1,P1390&lt;=0)),"Yes","No")</f>
        <v>No</v>
      </c>
      <c r="R1390" s="0" t="str">
        <f aca="false">IF(AND(M1390=1,P1390&gt;calc_helpers!$B$5),"Yes","No")</f>
        <v>No</v>
      </c>
      <c r="S1390" s="0" t="n">
        <v>0</v>
      </c>
      <c r="T1390" s="0" t="str">
        <f aca="false">IF(S1390&gt;0,"Yes","No")</f>
        <v>No</v>
      </c>
      <c r="U1390" s="0" t="n">
        <v>0</v>
      </c>
      <c r="W1390" s="0" t="str">
        <f aca="false">IF(OR(AND(M1390=1,ISBLANK(V1390)),AND(M1390=0,NOT(ISBLANK(V1390)))),"Yes","No")</f>
        <v>No</v>
      </c>
      <c r="X1390" s="0" t="n">
        <v>66.8</v>
      </c>
      <c r="Y1390" s="3" t="s">
        <v>30</v>
      </c>
      <c r="Z1390" s="0" t="str">
        <f aca="false">IF(M1390=1,P1390,"")</f>
        <v/>
      </c>
    </row>
    <row r="1391" customFormat="false" ht="15" hidden="false" customHeight="false" outlineLevel="0" collapsed="false">
      <c r="A1391" s="0" t="s">
        <v>1435</v>
      </c>
      <c r="B1391" s="2" t="n">
        <v>45765</v>
      </c>
      <c r="C1391" s="3" t="s">
        <v>736</v>
      </c>
      <c r="D1391" s="3" t="s">
        <v>28</v>
      </c>
      <c r="E1391" s="3" t="s">
        <v>35</v>
      </c>
      <c r="F1391" s="3" t="s">
        <v>30</v>
      </c>
      <c r="G1391" s="3" t="s">
        <v>40</v>
      </c>
      <c r="H1391" s="3" t="s">
        <v>30</v>
      </c>
      <c r="I1391" s="3" t="s">
        <v>37</v>
      </c>
      <c r="J1391" s="0" t="n">
        <v>1</v>
      </c>
      <c r="K1391" s="0" t="n">
        <v>0</v>
      </c>
      <c r="L1391" s="0" t="n">
        <v>0</v>
      </c>
      <c r="M1391" s="0" t="n">
        <v>0</v>
      </c>
      <c r="N1391" s="0" t="str">
        <f aca="false">IF(OR(NOT(OR(J1391=0,J1391=1)),NOT(OR(K1391=0,K1391=1)),NOT(OR(L1391=0,L1391=1)),NOT(OR(M1391=0,M1391=1)),NOT(OR(U1391=0,U1391=1))),"Yes","No")</f>
        <v>No</v>
      </c>
      <c r="O1391" s="0" t="str">
        <f aca="false">IF(OR(AND(M1391=1,L1391=0),AND(L1391=1,K1391=0),AND(K1391=1,J1391=0)),"Yes","No")</f>
        <v>No</v>
      </c>
      <c r="P1391" s="0" t="n">
        <v>0</v>
      </c>
      <c r="Q1391" s="0" t="str">
        <f aca="false">IF(OR(AND(M1391=0,P1391&gt;0),AND(M1391=1,P1391&lt;=0)),"Yes","No")</f>
        <v>No</v>
      </c>
      <c r="R1391" s="0" t="str">
        <f aca="false">IF(AND(M1391=1,P1391&gt;calc_helpers!$B$5),"Yes","No")</f>
        <v>No</v>
      </c>
      <c r="S1391" s="0" t="n">
        <v>3</v>
      </c>
      <c r="T1391" s="0" t="str">
        <f aca="false">IF(S1391&gt;0,"Yes","No")</f>
        <v>Yes</v>
      </c>
      <c r="U1391" s="0" t="n">
        <v>0</v>
      </c>
      <c r="W1391" s="0" t="str">
        <f aca="false">IF(OR(AND(M1391=1,ISBLANK(V1391)),AND(M1391=0,NOT(ISBLANK(V1391)))),"Yes","No")</f>
        <v>No</v>
      </c>
      <c r="X1391" s="0" t="n">
        <v>58.3</v>
      </c>
      <c r="Y1391" s="3" t="s">
        <v>30</v>
      </c>
      <c r="Z1391" s="0" t="str">
        <f aca="false">IF(M1391=1,P1391,"")</f>
        <v/>
      </c>
    </row>
    <row r="1392" customFormat="false" ht="15" hidden="false" customHeight="false" outlineLevel="0" collapsed="false">
      <c r="A1392" s="0" t="s">
        <v>1436</v>
      </c>
      <c r="B1392" s="2" t="n">
        <v>45762</v>
      </c>
      <c r="C1392" s="3" t="s">
        <v>736</v>
      </c>
      <c r="D1392" s="3" t="s">
        <v>34</v>
      </c>
      <c r="E1392" s="3" t="s">
        <v>35</v>
      </c>
      <c r="F1392" s="3" t="s">
        <v>30</v>
      </c>
      <c r="G1392" s="3" t="s">
        <v>36</v>
      </c>
      <c r="H1392" s="3" t="s">
        <v>30</v>
      </c>
      <c r="I1392" s="3" t="s">
        <v>32</v>
      </c>
      <c r="J1392" s="0" t="n">
        <v>1</v>
      </c>
      <c r="K1392" s="0" t="n">
        <v>1</v>
      </c>
      <c r="L1392" s="0" t="n">
        <v>1</v>
      </c>
      <c r="M1392" s="0" t="n">
        <v>0</v>
      </c>
      <c r="N1392" s="0" t="str">
        <f aca="false">IF(OR(NOT(OR(J1392=0,J1392=1)),NOT(OR(K1392=0,K1392=1)),NOT(OR(L1392=0,L1392=1)),NOT(OR(M1392=0,M1392=1)),NOT(OR(U1392=0,U1392=1))),"Yes","No")</f>
        <v>No</v>
      </c>
      <c r="O1392" s="0" t="str">
        <f aca="false">IF(OR(AND(M1392=1,L1392=0),AND(L1392=1,K1392=0),AND(K1392=1,J1392=0)),"Yes","No")</f>
        <v>No</v>
      </c>
      <c r="P1392" s="0" t="n">
        <v>0</v>
      </c>
      <c r="Q1392" s="0" t="str">
        <f aca="false">IF(OR(AND(M1392=0,P1392&gt;0),AND(M1392=1,P1392&lt;=0)),"Yes","No")</f>
        <v>No</v>
      </c>
      <c r="R1392" s="0" t="str">
        <f aca="false">IF(AND(M1392=1,P1392&gt;calc_helpers!$B$5),"Yes","No")</f>
        <v>No</v>
      </c>
      <c r="S1392" s="0" t="n">
        <v>0</v>
      </c>
      <c r="T1392" s="0" t="str">
        <f aca="false">IF(S1392&gt;0,"Yes","No")</f>
        <v>No</v>
      </c>
      <c r="U1392" s="0" t="n">
        <v>0</v>
      </c>
      <c r="W1392" s="0" t="str">
        <f aca="false">IF(OR(AND(M1392=1,ISBLANK(V1392)),AND(M1392=0,NOT(ISBLANK(V1392)))),"Yes","No")</f>
        <v>No</v>
      </c>
      <c r="X1392" s="0" t="n">
        <v>38.5</v>
      </c>
      <c r="Y1392" s="3" t="s">
        <v>30</v>
      </c>
      <c r="Z1392" s="0" t="str">
        <f aca="false">IF(M1392=1,P1392,"")</f>
        <v/>
      </c>
    </row>
    <row r="1393" customFormat="false" ht="15" hidden="false" customHeight="false" outlineLevel="0" collapsed="false">
      <c r="A1393" s="0" t="s">
        <v>1437</v>
      </c>
      <c r="B1393" s="2" t="n">
        <v>45698</v>
      </c>
      <c r="C1393" s="3" t="s">
        <v>736</v>
      </c>
      <c r="D1393" s="3" t="s">
        <v>39</v>
      </c>
      <c r="E1393" s="3" t="s">
        <v>35</v>
      </c>
      <c r="F1393" s="3" t="s">
        <v>30</v>
      </c>
      <c r="G1393" s="3" t="s">
        <v>40</v>
      </c>
      <c r="H1393" s="3" t="s">
        <v>30</v>
      </c>
      <c r="I1393" s="3" t="s">
        <v>37</v>
      </c>
      <c r="J1393" s="0" t="n">
        <v>1</v>
      </c>
      <c r="K1393" s="0" t="n">
        <v>0</v>
      </c>
      <c r="L1393" s="0" t="n">
        <v>0</v>
      </c>
      <c r="M1393" s="0" t="n">
        <v>0</v>
      </c>
      <c r="N1393" s="0" t="str">
        <f aca="false">IF(OR(NOT(OR(J1393=0,J1393=1)),NOT(OR(K1393=0,K1393=1)),NOT(OR(L1393=0,L1393=1)),NOT(OR(M1393=0,M1393=1)),NOT(OR(U1393=0,U1393=1))),"Yes","No")</f>
        <v>No</v>
      </c>
      <c r="O1393" s="0" t="str">
        <f aca="false">IF(OR(AND(M1393=1,L1393=0),AND(L1393=1,K1393=0),AND(K1393=1,J1393=0)),"Yes","No")</f>
        <v>No</v>
      </c>
      <c r="P1393" s="0" t="n">
        <v>0</v>
      </c>
      <c r="Q1393" s="0" t="str">
        <f aca="false">IF(OR(AND(M1393=0,P1393&gt;0),AND(M1393=1,P1393&lt;=0)),"Yes","No")</f>
        <v>No</v>
      </c>
      <c r="R1393" s="0" t="str">
        <f aca="false">IF(AND(M1393=1,P1393&gt;calc_helpers!$B$5),"Yes","No")</f>
        <v>No</v>
      </c>
      <c r="S1393" s="0" t="n">
        <v>0</v>
      </c>
      <c r="T1393" s="0" t="str">
        <f aca="false">IF(S1393&gt;0,"Yes","No")</f>
        <v>No</v>
      </c>
      <c r="U1393" s="0" t="n">
        <v>0</v>
      </c>
      <c r="W1393" s="0" t="str">
        <f aca="false">IF(OR(AND(M1393=1,ISBLANK(V1393)),AND(M1393=0,NOT(ISBLANK(V1393)))),"Yes","No")</f>
        <v>No</v>
      </c>
      <c r="X1393" s="0" t="n">
        <v>76.9</v>
      </c>
      <c r="Y1393" s="3" t="s">
        <v>30</v>
      </c>
      <c r="Z1393" s="0" t="str">
        <f aca="false">IF(M1393=1,P1393,"")</f>
        <v/>
      </c>
    </row>
    <row r="1394" customFormat="false" ht="15" hidden="false" customHeight="false" outlineLevel="0" collapsed="false">
      <c r="A1394" s="0" t="s">
        <v>1438</v>
      </c>
      <c r="B1394" s="2" t="n">
        <v>45785</v>
      </c>
      <c r="C1394" s="3" t="s">
        <v>736</v>
      </c>
      <c r="D1394" s="3" t="s">
        <v>39</v>
      </c>
      <c r="E1394" s="3" t="s">
        <v>35</v>
      </c>
      <c r="F1394" s="3" t="s">
        <v>30</v>
      </c>
      <c r="G1394" s="3" t="s">
        <v>36</v>
      </c>
      <c r="H1394" s="3" t="s">
        <v>30</v>
      </c>
      <c r="I1394" s="3" t="s">
        <v>37</v>
      </c>
      <c r="J1394" s="0" t="n">
        <v>1</v>
      </c>
      <c r="K1394" s="0" t="n">
        <v>0</v>
      </c>
      <c r="L1394" s="0" t="n">
        <v>0</v>
      </c>
      <c r="M1394" s="0" t="n">
        <v>0</v>
      </c>
      <c r="N1394" s="0" t="str">
        <f aca="false">IF(OR(NOT(OR(J1394=0,J1394=1)),NOT(OR(K1394=0,K1394=1)),NOT(OR(L1394=0,L1394=1)),NOT(OR(M1394=0,M1394=1)),NOT(OR(U1394=0,U1394=1))),"Yes","No")</f>
        <v>No</v>
      </c>
      <c r="O1394" s="0" t="str">
        <f aca="false">IF(OR(AND(M1394=1,L1394=0),AND(L1394=1,K1394=0),AND(K1394=1,J1394=0)),"Yes","No")</f>
        <v>No</v>
      </c>
      <c r="P1394" s="0" t="n">
        <v>0</v>
      </c>
      <c r="Q1394" s="0" t="str">
        <f aca="false">IF(OR(AND(M1394=0,P1394&gt;0),AND(M1394=1,P1394&lt;=0)),"Yes","No")</f>
        <v>No</v>
      </c>
      <c r="R1394" s="0" t="str">
        <f aca="false">IF(AND(M1394=1,P1394&gt;calc_helpers!$B$5),"Yes","No")</f>
        <v>No</v>
      </c>
      <c r="S1394" s="0" t="n">
        <v>0</v>
      </c>
      <c r="T1394" s="0" t="str">
        <f aca="false">IF(S1394&gt;0,"Yes","No")</f>
        <v>No</v>
      </c>
      <c r="U1394" s="0" t="n">
        <v>0</v>
      </c>
      <c r="W1394" s="0" t="str">
        <f aca="false">IF(OR(AND(M1394=1,ISBLANK(V1394)),AND(M1394=0,NOT(ISBLANK(V1394)))),"Yes","No")</f>
        <v>No</v>
      </c>
      <c r="X1394" s="0" t="n">
        <v>54</v>
      </c>
      <c r="Y1394" s="3" t="s">
        <v>30</v>
      </c>
      <c r="Z1394" s="0" t="str">
        <f aca="false">IF(M1394=1,P1394,"")</f>
        <v/>
      </c>
    </row>
    <row r="1395" customFormat="false" ht="15" hidden="false" customHeight="false" outlineLevel="0" collapsed="false">
      <c r="A1395" s="0" t="s">
        <v>1439</v>
      </c>
      <c r="B1395" s="2" t="n">
        <v>45805</v>
      </c>
      <c r="C1395" s="3" t="s">
        <v>736</v>
      </c>
      <c r="D1395" s="3" t="s">
        <v>39</v>
      </c>
      <c r="E1395" s="3" t="s">
        <v>45</v>
      </c>
      <c r="F1395" s="3" t="s">
        <v>30</v>
      </c>
      <c r="G1395" s="3" t="s">
        <v>36</v>
      </c>
      <c r="H1395" s="3" t="s">
        <v>30</v>
      </c>
      <c r="I1395" s="3" t="s">
        <v>37</v>
      </c>
      <c r="J1395" s="0" t="n">
        <v>1</v>
      </c>
      <c r="K1395" s="0" t="n">
        <v>0</v>
      </c>
      <c r="L1395" s="0" t="n">
        <v>0</v>
      </c>
      <c r="M1395" s="0" t="n">
        <v>0</v>
      </c>
      <c r="N1395" s="0" t="str">
        <f aca="false">IF(OR(NOT(OR(J1395=0,J1395=1)),NOT(OR(K1395=0,K1395=1)),NOT(OR(L1395=0,L1395=1)),NOT(OR(M1395=0,M1395=1)),NOT(OR(U1395=0,U1395=1))),"Yes","No")</f>
        <v>No</v>
      </c>
      <c r="O1395" s="0" t="str">
        <f aca="false">IF(OR(AND(M1395=1,L1395=0),AND(L1395=1,K1395=0),AND(K1395=1,J1395=0)),"Yes","No")</f>
        <v>No</v>
      </c>
      <c r="P1395" s="0" t="n">
        <v>0</v>
      </c>
      <c r="Q1395" s="0" t="str">
        <f aca="false">IF(OR(AND(M1395=0,P1395&gt;0),AND(M1395=1,P1395&lt;=0)),"Yes","No")</f>
        <v>No</v>
      </c>
      <c r="R1395" s="0" t="str">
        <f aca="false">IF(AND(M1395=1,P1395&gt;calc_helpers!$B$5),"Yes","No")</f>
        <v>No</v>
      </c>
      <c r="S1395" s="0" t="n">
        <v>0</v>
      </c>
      <c r="T1395" s="0" t="str">
        <f aca="false">IF(S1395&gt;0,"Yes","No")</f>
        <v>No</v>
      </c>
      <c r="U1395" s="0" t="n">
        <v>0</v>
      </c>
      <c r="W1395" s="0" t="str">
        <f aca="false">IF(OR(AND(M1395=1,ISBLANK(V1395)),AND(M1395=0,NOT(ISBLANK(V1395)))),"Yes","No")</f>
        <v>No</v>
      </c>
      <c r="X1395" s="0" t="n">
        <v>70.6</v>
      </c>
      <c r="Y1395" s="3" t="s">
        <v>30</v>
      </c>
      <c r="Z1395" s="0" t="str">
        <f aca="false">IF(M1395=1,P1395,"")</f>
        <v/>
      </c>
    </row>
    <row r="1396" customFormat="false" ht="15" hidden="false" customHeight="false" outlineLevel="0" collapsed="false">
      <c r="A1396" s="0" t="s">
        <v>1440</v>
      </c>
      <c r="B1396" s="2" t="n">
        <v>45772</v>
      </c>
      <c r="C1396" s="3" t="s">
        <v>736</v>
      </c>
      <c r="D1396" s="3" t="s">
        <v>28</v>
      </c>
      <c r="E1396" s="3" t="s">
        <v>45</v>
      </c>
      <c r="F1396" s="3" t="s">
        <v>30</v>
      </c>
      <c r="G1396" s="3" t="s">
        <v>50</v>
      </c>
      <c r="H1396" s="3" t="s">
        <v>30</v>
      </c>
      <c r="I1396" s="3" t="s">
        <v>41</v>
      </c>
      <c r="J1396" s="0" t="n">
        <v>1</v>
      </c>
      <c r="K1396" s="0" t="n">
        <v>1</v>
      </c>
      <c r="L1396" s="0" t="n">
        <v>1</v>
      </c>
      <c r="M1396" s="0" t="n">
        <v>0</v>
      </c>
      <c r="N1396" s="0" t="str">
        <f aca="false">IF(OR(NOT(OR(J1396=0,J1396=1)),NOT(OR(K1396=0,K1396=1)),NOT(OR(L1396=0,L1396=1)),NOT(OR(M1396=0,M1396=1)),NOT(OR(U1396=0,U1396=1))),"Yes","No")</f>
        <v>No</v>
      </c>
      <c r="O1396" s="0" t="str">
        <f aca="false">IF(OR(AND(M1396=1,L1396=0),AND(L1396=1,K1396=0),AND(K1396=1,J1396=0)),"Yes","No")</f>
        <v>No</v>
      </c>
      <c r="P1396" s="0" t="n">
        <v>0</v>
      </c>
      <c r="Q1396" s="0" t="str">
        <f aca="false">IF(OR(AND(M1396=0,P1396&gt;0),AND(M1396=1,P1396&lt;=0)),"Yes","No")</f>
        <v>No</v>
      </c>
      <c r="R1396" s="0" t="str">
        <f aca="false">IF(AND(M1396=1,P1396&gt;calc_helpers!$B$5),"Yes","No")</f>
        <v>No</v>
      </c>
      <c r="S1396" s="0" t="n">
        <v>1</v>
      </c>
      <c r="T1396" s="0" t="str">
        <f aca="false">IF(S1396&gt;0,"Yes","No")</f>
        <v>Yes</v>
      </c>
      <c r="U1396" s="0" t="n">
        <v>0</v>
      </c>
      <c r="W1396" s="0" t="str">
        <f aca="false">IF(OR(AND(M1396=1,ISBLANK(V1396)),AND(M1396=0,NOT(ISBLANK(V1396)))),"Yes","No")</f>
        <v>No</v>
      </c>
      <c r="X1396" s="0" t="n">
        <v>69.4</v>
      </c>
      <c r="Y1396" s="3" t="s">
        <v>30</v>
      </c>
      <c r="Z1396" s="0" t="str">
        <f aca="false">IF(M1396=1,P1396,"")</f>
        <v/>
      </c>
    </row>
    <row r="1397" customFormat="false" ht="15" hidden="false" customHeight="false" outlineLevel="0" collapsed="false">
      <c r="A1397" s="0" t="s">
        <v>1441</v>
      </c>
      <c r="B1397" s="2" t="n">
        <v>45699</v>
      </c>
      <c r="C1397" s="3" t="s">
        <v>736</v>
      </c>
      <c r="D1397" s="3" t="s">
        <v>43</v>
      </c>
      <c r="E1397" s="3" t="s">
        <v>35</v>
      </c>
      <c r="F1397" s="3" t="s">
        <v>30</v>
      </c>
      <c r="G1397" s="3" t="s">
        <v>167</v>
      </c>
      <c r="H1397" s="3" t="s">
        <v>168</v>
      </c>
      <c r="I1397" s="3" t="s">
        <v>41</v>
      </c>
      <c r="J1397" s="0" t="n">
        <v>1</v>
      </c>
      <c r="K1397" s="0" t="n">
        <v>1</v>
      </c>
      <c r="L1397" s="0" t="n">
        <v>1</v>
      </c>
      <c r="M1397" s="0" t="n">
        <v>1</v>
      </c>
      <c r="N1397" s="0" t="str">
        <f aca="false">IF(OR(NOT(OR(J1397=0,J1397=1)),NOT(OR(K1397=0,K1397=1)),NOT(OR(L1397=0,L1397=1)),NOT(OR(M1397=0,M1397=1)),NOT(OR(U1397=0,U1397=1))),"Yes","No")</f>
        <v>No</v>
      </c>
      <c r="O1397" s="0" t="str">
        <f aca="false">IF(OR(AND(M1397=1,L1397=0),AND(L1397=1,K1397=0),AND(K1397=1,J1397=0)),"Yes","No")</f>
        <v>No</v>
      </c>
      <c r="P1397" s="0" t="n">
        <v>1009.9</v>
      </c>
      <c r="Q1397" s="0" t="str">
        <f aca="false">IF(OR(AND(M1397=0,P1397&gt;0),AND(M1397=1,P1397&lt;=0)),"Yes","No")</f>
        <v>No</v>
      </c>
      <c r="R1397" s="0" t="str">
        <f aca="false">IF(AND(M1397=1,P1397&gt;calc_helpers!$B$5),"Yes","No")</f>
        <v>No</v>
      </c>
      <c r="S1397" s="0" t="n">
        <v>0</v>
      </c>
      <c r="T1397" s="0" t="str">
        <f aca="false">IF(S1397&gt;0,"Yes","No")</f>
        <v>No</v>
      </c>
      <c r="U1397" s="0" t="n">
        <v>0</v>
      </c>
      <c r="V1397" s="0" t="n">
        <v>6</v>
      </c>
      <c r="W1397" s="0" t="str">
        <f aca="false">IF(OR(AND(M1397=1,ISBLANK(V1397)),AND(M1397=0,NOT(ISBLANK(V1397)))),"Yes","No")</f>
        <v>No</v>
      </c>
      <c r="X1397" s="0" t="n">
        <v>89.7</v>
      </c>
      <c r="Y1397" s="3" t="s">
        <v>30</v>
      </c>
      <c r="Z1397" s="3" t="n">
        <f aca="false">IF(M1397=1,P1397,"")</f>
        <v>1009.9</v>
      </c>
    </row>
    <row r="1398" customFormat="false" ht="15" hidden="false" customHeight="false" outlineLevel="0" collapsed="false">
      <c r="A1398" s="0" t="s">
        <v>1442</v>
      </c>
      <c r="B1398" s="2" t="n">
        <v>45761</v>
      </c>
      <c r="C1398" s="3" t="s">
        <v>736</v>
      </c>
      <c r="D1398" s="3" t="s">
        <v>34</v>
      </c>
      <c r="E1398" s="3" t="s">
        <v>35</v>
      </c>
      <c r="F1398" s="3" t="s">
        <v>30</v>
      </c>
      <c r="G1398" s="3" t="s">
        <v>36</v>
      </c>
      <c r="H1398" s="3" t="s">
        <v>30</v>
      </c>
      <c r="I1398" s="3" t="s">
        <v>37</v>
      </c>
      <c r="J1398" s="0" t="n">
        <v>1</v>
      </c>
      <c r="K1398" s="0" t="n">
        <v>0</v>
      </c>
      <c r="L1398" s="0" t="n">
        <v>0</v>
      </c>
      <c r="M1398" s="0" t="n">
        <v>0</v>
      </c>
      <c r="N1398" s="0" t="str">
        <f aca="false">IF(OR(NOT(OR(J1398=0,J1398=1)),NOT(OR(K1398=0,K1398=1)),NOT(OR(L1398=0,L1398=1)),NOT(OR(M1398=0,M1398=1)),NOT(OR(U1398=0,U1398=1))),"Yes","No")</f>
        <v>No</v>
      </c>
      <c r="O1398" s="0" t="str">
        <f aca="false">IF(OR(AND(M1398=1,L1398=0),AND(L1398=1,K1398=0),AND(K1398=1,J1398=0)),"Yes","No")</f>
        <v>No</v>
      </c>
      <c r="P1398" s="0" t="n">
        <v>0</v>
      </c>
      <c r="Q1398" s="0" t="str">
        <f aca="false">IF(OR(AND(M1398=0,P1398&gt;0),AND(M1398=1,P1398&lt;=0)),"Yes","No")</f>
        <v>No</v>
      </c>
      <c r="R1398" s="0" t="str">
        <f aca="false">IF(AND(M1398=1,P1398&gt;calc_helpers!$B$5),"Yes","No")</f>
        <v>No</v>
      </c>
      <c r="S1398" s="0" t="n">
        <v>0</v>
      </c>
      <c r="T1398" s="0" t="str">
        <f aca="false">IF(S1398&gt;0,"Yes","No")</f>
        <v>No</v>
      </c>
      <c r="U1398" s="0" t="n">
        <v>0</v>
      </c>
      <c r="W1398" s="0" t="str">
        <f aca="false">IF(OR(AND(M1398=1,ISBLANK(V1398)),AND(M1398=0,NOT(ISBLANK(V1398)))),"Yes","No")</f>
        <v>No</v>
      </c>
      <c r="X1398" s="0" t="n">
        <v>62.4</v>
      </c>
      <c r="Y1398" s="3" t="s">
        <v>30</v>
      </c>
      <c r="Z1398" s="0" t="str">
        <f aca="false">IF(M1398=1,P1398,"")</f>
        <v/>
      </c>
    </row>
    <row r="1399" customFormat="false" ht="15" hidden="false" customHeight="false" outlineLevel="0" collapsed="false">
      <c r="A1399" s="0" t="s">
        <v>1443</v>
      </c>
      <c r="B1399" s="2" t="n">
        <v>45692</v>
      </c>
      <c r="C1399" s="3" t="s">
        <v>736</v>
      </c>
      <c r="D1399" s="3" t="s">
        <v>34</v>
      </c>
      <c r="E1399" s="3" t="s">
        <v>45</v>
      </c>
      <c r="F1399" s="3" t="s">
        <v>30</v>
      </c>
      <c r="G1399" s="3" t="s">
        <v>36</v>
      </c>
      <c r="H1399" s="3" t="s">
        <v>30</v>
      </c>
      <c r="I1399" s="3" t="s">
        <v>41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str">
        <f aca="false">IF(OR(NOT(OR(J1399=0,J1399=1)),NOT(OR(K1399=0,K1399=1)),NOT(OR(L1399=0,L1399=1)),NOT(OR(M1399=0,M1399=1)),NOT(OR(U1399=0,U1399=1))),"Yes","No")</f>
        <v>No</v>
      </c>
      <c r="O1399" s="0" t="str">
        <f aca="false">IF(OR(AND(M1399=1,L1399=0),AND(L1399=1,K1399=0),AND(K1399=1,J1399=0)),"Yes","No")</f>
        <v>No</v>
      </c>
      <c r="P1399" s="0" t="n">
        <v>0</v>
      </c>
      <c r="Q1399" s="0" t="str">
        <f aca="false">IF(OR(AND(M1399=0,P1399&gt;0),AND(M1399=1,P1399&lt;=0)),"Yes","No")</f>
        <v>No</v>
      </c>
      <c r="R1399" s="0" t="str">
        <f aca="false">IF(AND(M1399=1,P1399&gt;calc_helpers!$B$5),"Yes","No")</f>
        <v>No</v>
      </c>
      <c r="S1399" s="0" t="n">
        <v>0</v>
      </c>
      <c r="T1399" s="0" t="str">
        <f aca="false">IF(S1399&gt;0,"Yes","No")</f>
        <v>No</v>
      </c>
      <c r="U1399" s="0" t="n">
        <v>0</v>
      </c>
      <c r="W1399" s="0" t="str">
        <f aca="false">IF(OR(AND(M1399=1,ISBLANK(V1399)),AND(M1399=0,NOT(ISBLANK(V1399)))),"Yes","No")</f>
        <v>No</v>
      </c>
      <c r="X1399" s="0" t="n">
        <v>67.3</v>
      </c>
      <c r="Y1399" s="3" t="s">
        <v>30</v>
      </c>
      <c r="Z1399" s="0" t="str">
        <f aca="false">IF(M1399=1,P1399,"")</f>
        <v/>
      </c>
    </row>
    <row r="1400" customFormat="false" ht="15" hidden="false" customHeight="false" outlineLevel="0" collapsed="false">
      <c r="A1400" s="0" t="s">
        <v>1444</v>
      </c>
      <c r="B1400" s="2" t="n">
        <v>45738</v>
      </c>
      <c r="C1400" s="3" t="s">
        <v>736</v>
      </c>
      <c r="D1400" s="3" t="s">
        <v>39</v>
      </c>
      <c r="E1400" s="3" t="s">
        <v>35</v>
      </c>
      <c r="F1400" s="3" t="s">
        <v>30</v>
      </c>
      <c r="G1400" s="3" t="s">
        <v>50</v>
      </c>
      <c r="H1400" s="3" t="s">
        <v>30</v>
      </c>
      <c r="I1400" s="3" t="s">
        <v>37</v>
      </c>
      <c r="J1400" s="0" t="n">
        <v>1</v>
      </c>
      <c r="K1400" s="0" t="n">
        <v>0</v>
      </c>
      <c r="L1400" s="0" t="n">
        <v>0</v>
      </c>
      <c r="M1400" s="0" t="n">
        <v>0</v>
      </c>
      <c r="N1400" s="0" t="str">
        <f aca="false">IF(OR(NOT(OR(J1400=0,J1400=1)),NOT(OR(K1400=0,K1400=1)),NOT(OR(L1400=0,L1400=1)),NOT(OR(M1400=0,M1400=1)),NOT(OR(U1400=0,U1400=1))),"Yes","No")</f>
        <v>No</v>
      </c>
      <c r="O1400" s="0" t="str">
        <f aca="false">IF(OR(AND(M1400=1,L1400=0),AND(L1400=1,K1400=0),AND(K1400=1,J1400=0)),"Yes","No")</f>
        <v>No</v>
      </c>
      <c r="P1400" s="0" t="n">
        <v>0</v>
      </c>
      <c r="Q1400" s="0" t="str">
        <f aca="false">IF(OR(AND(M1400=0,P1400&gt;0),AND(M1400=1,P1400&lt;=0)),"Yes","No")</f>
        <v>No</v>
      </c>
      <c r="R1400" s="0" t="str">
        <f aca="false">IF(AND(M1400=1,P1400&gt;calc_helpers!$B$5),"Yes","No")</f>
        <v>No</v>
      </c>
      <c r="S1400" s="0" t="n">
        <v>0</v>
      </c>
      <c r="T1400" s="0" t="str">
        <f aca="false">IF(S1400&gt;0,"Yes","No")</f>
        <v>No</v>
      </c>
      <c r="U1400" s="0" t="n">
        <v>0</v>
      </c>
      <c r="W1400" s="0" t="str">
        <f aca="false">IF(OR(AND(M1400=1,ISBLANK(V1400)),AND(M1400=0,NOT(ISBLANK(V1400)))),"Yes","No")</f>
        <v>No</v>
      </c>
      <c r="X1400" s="0" t="n">
        <v>54.9</v>
      </c>
      <c r="Y1400" s="3" t="s">
        <v>30</v>
      </c>
      <c r="Z1400" s="0" t="str">
        <f aca="false">IF(M1400=1,P1400,"")</f>
        <v/>
      </c>
    </row>
    <row r="1401" customFormat="false" ht="15" hidden="false" customHeight="false" outlineLevel="0" collapsed="false">
      <c r="A1401" s="0" t="s">
        <v>1445</v>
      </c>
      <c r="B1401" s="2" t="n">
        <v>45765</v>
      </c>
      <c r="C1401" s="3" t="s">
        <v>736</v>
      </c>
      <c r="D1401" s="3" t="s">
        <v>39</v>
      </c>
      <c r="E1401" s="3" t="s">
        <v>29</v>
      </c>
      <c r="F1401" s="3" t="s">
        <v>30</v>
      </c>
      <c r="G1401" s="3" t="s">
        <v>52</v>
      </c>
      <c r="H1401" s="3" t="s">
        <v>30</v>
      </c>
      <c r="I1401" s="3" t="s">
        <v>37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str">
        <f aca="false">IF(OR(NOT(OR(J1401=0,J1401=1)),NOT(OR(K1401=0,K1401=1)),NOT(OR(L1401=0,L1401=1)),NOT(OR(M1401=0,M1401=1)),NOT(OR(U1401=0,U1401=1))),"Yes","No")</f>
        <v>No</v>
      </c>
      <c r="O1401" s="0" t="str">
        <f aca="false">IF(OR(AND(M1401=1,L1401=0),AND(L1401=1,K1401=0),AND(K1401=1,J1401=0)),"Yes","No")</f>
        <v>No</v>
      </c>
      <c r="P1401" s="0" t="n">
        <v>0</v>
      </c>
      <c r="Q1401" s="0" t="str">
        <f aca="false">IF(OR(AND(M1401=0,P1401&gt;0),AND(M1401=1,P1401&lt;=0)),"Yes","No")</f>
        <v>No</v>
      </c>
      <c r="R1401" s="0" t="str">
        <f aca="false">IF(AND(M1401=1,P1401&gt;calc_helpers!$B$5),"Yes","No")</f>
        <v>No</v>
      </c>
      <c r="S1401" s="0" t="n">
        <v>0</v>
      </c>
      <c r="T1401" s="0" t="str">
        <f aca="false">IF(S1401&gt;0,"Yes","No")</f>
        <v>No</v>
      </c>
      <c r="U1401" s="0" t="n">
        <v>0</v>
      </c>
      <c r="W1401" s="0" t="str">
        <f aca="false">IF(OR(AND(M1401=1,ISBLANK(V1401)),AND(M1401=0,NOT(ISBLANK(V1401)))),"Yes","No")</f>
        <v>No</v>
      </c>
      <c r="X1401" s="0" t="n">
        <v>55.7</v>
      </c>
      <c r="Y1401" s="3" t="s">
        <v>30</v>
      </c>
      <c r="Z1401" s="0" t="str">
        <f aca="false">IF(M1401=1,P1401,"")</f>
        <v/>
      </c>
    </row>
  </sheetData>
  <autoFilter ref="A1:Z1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1446</v>
      </c>
    </row>
    <row r="2" customFormat="false" ht="15" hidden="false" customHeight="false" outlineLevel="0" collapsed="false">
      <c r="A2" s="5" t="s">
        <v>1447</v>
      </c>
      <c r="B2" s="5" t="n">
        <f aca="false">QUARTILE(experiment_data_clean!Z2:Z1401,1)</f>
        <v>404.02</v>
      </c>
    </row>
    <row r="3" customFormat="false" ht="15" hidden="false" customHeight="false" outlineLevel="0" collapsed="false">
      <c r="A3" s="5" t="s">
        <v>1448</v>
      </c>
      <c r="B3" s="5" t="n">
        <f aca="false">QUARTILE(experiment_data_clean!Z2:Z1401,3)</f>
        <v>1178.665</v>
      </c>
    </row>
    <row r="4" customFormat="false" ht="15" hidden="false" customHeight="false" outlineLevel="0" collapsed="false">
      <c r="A4" s="5" t="s">
        <v>1449</v>
      </c>
      <c r="B4" s="5" t="n">
        <f aca="false">B3-B2</f>
        <v>774.645</v>
      </c>
    </row>
    <row r="5" customFormat="false" ht="15" hidden="false" customHeight="false" outlineLevel="0" collapsed="false">
      <c r="A5" s="5" t="s">
        <v>1450</v>
      </c>
      <c r="B5" s="5" t="n">
        <f aca="false">B3+1.5*B4</f>
        <v>2340.6325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6" t="s">
        <v>1451</v>
      </c>
      <c r="B1" s="6" t="s">
        <v>1452</v>
      </c>
      <c r="C1" s="6" t="s">
        <v>1453</v>
      </c>
    </row>
    <row r="2" customFormat="false" ht="15" hidden="false" customHeight="false" outlineLevel="0" collapsed="false">
      <c r="A2" s="7" t="s">
        <v>1454</v>
      </c>
      <c r="B2" s="7" t="n">
        <v>1408</v>
      </c>
      <c r="C2" s="7"/>
    </row>
    <row r="3" customFormat="false" ht="15" hidden="false" customHeight="false" outlineLevel="0" collapsed="false">
      <c r="A3" s="7" t="s">
        <v>1455</v>
      </c>
      <c r="B3" s="7" t="n">
        <v>8</v>
      </c>
      <c r="C3" s="7" t="s">
        <v>1456</v>
      </c>
    </row>
    <row r="4" customFormat="false" ht="15" hidden="false" customHeight="false" outlineLevel="0" collapsed="false">
      <c r="A4" s="7" t="s">
        <v>1457</v>
      </c>
      <c r="B4" s="7" t="n">
        <v>1400</v>
      </c>
      <c r="C4" s="7"/>
    </row>
    <row r="5" customFormat="false" ht="15" hidden="false" customHeight="false" outlineLevel="0" collapsed="false">
      <c r="A5" s="7" t="s">
        <v>1458</v>
      </c>
      <c r="B5" s="7" t="n">
        <v>0</v>
      </c>
      <c r="C5" s="7" t="s">
        <v>1459</v>
      </c>
    </row>
    <row r="6" customFormat="false" ht="15" hidden="false" customHeight="false" outlineLevel="0" collapsed="false">
      <c r="A6" s="7" t="s">
        <v>1460</v>
      </c>
      <c r="B6" s="7" t="n">
        <v>18</v>
      </c>
      <c r="C6" s="7" t="s">
        <v>1461</v>
      </c>
    </row>
    <row r="7" customFormat="false" ht="15" hidden="false" customHeight="false" outlineLevel="0" collapsed="false">
      <c r="A7" s="7" t="s">
        <v>1462</v>
      </c>
      <c r="B7" s="7" t="n">
        <v>24</v>
      </c>
      <c r="C7" s="7" t="s">
        <v>1463</v>
      </c>
    </row>
    <row r="8" customFormat="false" ht="23.85" hidden="false" customHeight="false" outlineLevel="0" collapsed="false">
      <c r="A8" s="7" t="s">
        <v>1464</v>
      </c>
      <c r="B8" s="7" t="n">
        <v>14</v>
      </c>
      <c r="C8" s="7" t="s">
        <v>1465</v>
      </c>
    </row>
    <row r="9" customFormat="false" ht="15" hidden="false" customHeight="false" outlineLevel="0" collapsed="false">
      <c r="A9" s="7" t="s">
        <v>1466</v>
      </c>
      <c r="B9" s="7" t="n">
        <v>0</v>
      </c>
      <c r="C9" s="7" t="s">
        <v>1467</v>
      </c>
    </row>
    <row r="10" customFormat="false" ht="23.85" hidden="false" customHeight="false" outlineLevel="0" collapsed="false">
      <c r="A10" s="7" t="s">
        <v>1468</v>
      </c>
      <c r="B10" s="7" t="n">
        <v>0</v>
      </c>
      <c r="C10" s="7" t="s">
        <v>1469</v>
      </c>
    </row>
    <row r="11" customFormat="false" ht="23.85" hidden="false" customHeight="false" outlineLevel="0" collapsed="false">
      <c r="A11" s="7" t="s">
        <v>1470</v>
      </c>
      <c r="B11" s="7" t="n">
        <v>0</v>
      </c>
      <c r="C11" s="7" t="s">
        <v>1471</v>
      </c>
    </row>
    <row r="12" customFormat="false" ht="15" hidden="false" customHeight="false" outlineLevel="0" collapsed="false">
      <c r="A12" s="7" t="s">
        <v>1472</v>
      </c>
      <c r="B12" s="7" t="n">
        <v>0</v>
      </c>
      <c r="C12" s="7" t="s">
        <v>1473</v>
      </c>
    </row>
    <row r="13" customFormat="false" ht="23.85" hidden="false" customHeight="false" outlineLevel="0" collapsed="false">
      <c r="A13" s="7" t="s">
        <v>1474</v>
      </c>
      <c r="B13" s="7" t="n">
        <v>4</v>
      </c>
      <c r="C13" s="7" t="s">
        <v>1475</v>
      </c>
    </row>
    <row r="14" customFormat="false" ht="23.85" hidden="false" customHeight="false" outlineLevel="0" collapsed="false">
      <c r="A14" s="7" t="s">
        <v>1476</v>
      </c>
      <c r="B14" s="7" t="s">
        <v>1477</v>
      </c>
      <c r="C14" s="7" t="s">
        <v>1478</v>
      </c>
    </row>
    <row r="15" customFormat="false" ht="23.85" hidden="false" customHeight="false" outlineLevel="0" collapsed="false">
      <c r="A15" s="7" t="s">
        <v>1479</v>
      </c>
      <c r="B15" s="7" t="s">
        <v>1480</v>
      </c>
      <c r="C15" s="7" t="s">
        <v>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2026-06-26T07:22:55Z</dcterms:created>
  <dc:creator>openpyxl</dc:creator>
  <dc:description/>
  <dc:language>en-US</dc:language>
  <cp:lastModifiedBy/>
  <dcterms:modified xsi:type="dcterms:W3CDTF">2026-06-26T07:22:55Z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